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oonis\Desktop\"/>
    </mc:Choice>
  </mc:AlternateContent>
  <bookViews>
    <workbookView xWindow="0" yWindow="0" windowWidth="15600" windowHeight="9150" tabRatio="922" firstSheet="12" activeTab="31"/>
  </bookViews>
  <sheets>
    <sheet name="사용법" sheetId="96" r:id="rId1"/>
    <sheet name="1일" sheetId="1" r:id="rId2"/>
    <sheet name="2일" sheetId="62" r:id="rId3"/>
    <sheet name="3일" sheetId="68" r:id="rId4"/>
    <sheet name="4일" sheetId="69" r:id="rId5"/>
    <sheet name="5일" sheetId="70" r:id="rId6"/>
    <sheet name="6일" sheetId="71" r:id="rId7"/>
    <sheet name="7일" sheetId="72" r:id="rId8"/>
    <sheet name="8일" sheetId="73" r:id="rId9"/>
    <sheet name="9일" sheetId="74" r:id="rId10"/>
    <sheet name="10일" sheetId="75" r:id="rId11"/>
    <sheet name="11일" sheetId="76" r:id="rId12"/>
    <sheet name="12일" sheetId="77" r:id="rId13"/>
    <sheet name="13일" sheetId="78" r:id="rId14"/>
    <sheet name="14일" sheetId="79" r:id="rId15"/>
    <sheet name="15일" sheetId="80" r:id="rId16"/>
    <sheet name="16일" sheetId="81" r:id="rId17"/>
    <sheet name="17일" sheetId="82" r:id="rId18"/>
    <sheet name="18일" sheetId="83" r:id="rId19"/>
    <sheet name="19일" sheetId="84" r:id="rId20"/>
    <sheet name="20일" sheetId="85" r:id="rId21"/>
    <sheet name="21일" sheetId="86" r:id="rId22"/>
    <sheet name="22일" sheetId="87" r:id="rId23"/>
    <sheet name="23일" sheetId="88" r:id="rId24"/>
    <sheet name="24일" sheetId="89" r:id="rId25"/>
    <sheet name="25일" sheetId="90" r:id="rId26"/>
    <sheet name="26일" sheetId="91" r:id="rId27"/>
    <sheet name="27일" sheetId="92" r:id="rId28"/>
    <sheet name="28일" sheetId="93" r:id="rId29"/>
    <sheet name="29일" sheetId="94" r:id="rId30"/>
    <sheet name="30일" sheetId="95" r:id="rId31"/>
    <sheet name="31일" sheetId="67" r:id="rId32"/>
    <sheet name="결산" sheetId="36" r:id="rId33"/>
  </sheets>
  <definedNames>
    <definedName name="_xlnm.Print_Area" localSheetId="10">'10일'!#REF!</definedName>
    <definedName name="_xlnm.Print_Area" localSheetId="11">'11일'!#REF!</definedName>
    <definedName name="_xlnm.Print_Area" localSheetId="12">'12일'!#REF!</definedName>
    <definedName name="_xlnm.Print_Area" localSheetId="13">'13일'!#REF!</definedName>
    <definedName name="_xlnm.Print_Area" localSheetId="14">'14일'!#REF!</definedName>
    <definedName name="_xlnm.Print_Area" localSheetId="15">'15일'!#REF!</definedName>
    <definedName name="_xlnm.Print_Area" localSheetId="16">'16일'!#REF!</definedName>
    <definedName name="_xlnm.Print_Area" localSheetId="17">'17일'!#REF!</definedName>
    <definedName name="_xlnm.Print_Area" localSheetId="18">'18일'!#REF!</definedName>
    <definedName name="_xlnm.Print_Area" localSheetId="19">'19일'!#REF!</definedName>
    <definedName name="_xlnm.Print_Area" localSheetId="1">'1일'!$A$1:$I$80</definedName>
    <definedName name="_xlnm.Print_Area" localSheetId="20">'20일'!#REF!</definedName>
    <definedName name="_xlnm.Print_Area" localSheetId="21">'21일'!#REF!</definedName>
    <definedName name="_xlnm.Print_Area" localSheetId="22">'22일'!#REF!</definedName>
    <definedName name="_xlnm.Print_Area" localSheetId="23">'23일'!#REF!</definedName>
    <definedName name="_xlnm.Print_Area" localSheetId="24">'24일'!#REF!</definedName>
    <definedName name="_xlnm.Print_Area" localSheetId="25">'25일'!#REF!</definedName>
    <definedName name="_xlnm.Print_Area" localSheetId="26">'26일'!#REF!</definedName>
    <definedName name="_xlnm.Print_Area" localSheetId="27">'27일'!#REF!</definedName>
    <definedName name="_xlnm.Print_Area" localSheetId="28">'28일'!#REF!</definedName>
    <definedName name="_xlnm.Print_Area" localSheetId="29">'29일'!#REF!</definedName>
    <definedName name="_xlnm.Print_Area" localSheetId="2">'2일'!#REF!</definedName>
    <definedName name="_xlnm.Print_Area" localSheetId="30">'30일'!#REF!</definedName>
    <definedName name="_xlnm.Print_Area" localSheetId="31">'31일'!#REF!</definedName>
    <definedName name="_xlnm.Print_Area" localSheetId="3">'3일'!#REF!</definedName>
    <definedName name="_xlnm.Print_Area" localSheetId="4">'4일'!#REF!</definedName>
    <definedName name="_xlnm.Print_Area" localSheetId="5">'5일'!#REF!</definedName>
    <definedName name="_xlnm.Print_Area" localSheetId="6">'6일'!#REF!</definedName>
    <definedName name="_xlnm.Print_Area" localSheetId="7">'7일'!#REF!</definedName>
    <definedName name="_xlnm.Print_Area" localSheetId="8">'8일'!#REF!</definedName>
    <definedName name="_xlnm.Print_Area" localSheetId="9">'9일'!#REF!</definedName>
    <definedName name="_xlnm.Print_Area" localSheetId="32">결산!$A$1:$I$41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70" l="1"/>
  <c r="H3" i="71" s="1"/>
  <c r="H3" i="72" s="1"/>
  <c r="G11" i="70"/>
  <c r="H11" i="70"/>
  <c r="D11" i="36" l="1"/>
  <c r="E51" i="1"/>
  <c r="C35" i="36"/>
  <c r="C36" i="36"/>
  <c r="C37" i="36"/>
  <c r="C38" i="36"/>
  <c r="C39" i="36"/>
  <c r="C40" i="36"/>
  <c r="C41" i="36"/>
  <c r="C42" i="36"/>
  <c r="C43" i="36"/>
  <c r="C44" i="36"/>
  <c r="C45" i="36"/>
  <c r="C46" i="36"/>
  <c r="C47" i="36"/>
  <c r="C48" i="36"/>
  <c r="C49" i="36"/>
  <c r="C50" i="36"/>
  <c r="I32" i="36"/>
  <c r="I33" i="36"/>
  <c r="I34" i="36"/>
  <c r="I38" i="36"/>
  <c r="I40" i="36"/>
  <c r="I42" i="36"/>
  <c r="I43" i="36"/>
  <c r="I44" i="36"/>
  <c r="I45" i="36"/>
  <c r="I49" i="36"/>
  <c r="I50" i="36"/>
  <c r="I39" i="1"/>
  <c r="H32" i="36"/>
  <c r="H33" i="36"/>
  <c r="H34" i="36"/>
  <c r="H35" i="36"/>
  <c r="H36" i="36"/>
  <c r="H37" i="36"/>
  <c r="H38" i="36"/>
  <c r="H39" i="36"/>
  <c r="H40" i="36"/>
  <c r="H41" i="36"/>
  <c r="H42" i="36"/>
  <c r="F32" i="36"/>
  <c r="F33" i="36"/>
  <c r="F34" i="36"/>
  <c r="F35" i="36"/>
  <c r="F36" i="36"/>
  <c r="F37" i="36"/>
  <c r="F38" i="36"/>
  <c r="F39" i="36"/>
  <c r="F40" i="36"/>
  <c r="F41" i="36"/>
  <c r="F42" i="36"/>
  <c r="E32" i="36"/>
  <c r="E33" i="36"/>
  <c r="E34" i="36"/>
  <c r="E35" i="36"/>
  <c r="E36" i="36"/>
  <c r="E37" i="36"/>
  <c r="E38" i="36"/>
  <c r="E39" i="36"/>
  <c r="E40" i="36"/>
  <c r="E41" i="36"/>
  <c r="E42" i="36"/>
  <c r="D32" i="36"/>
  <c r="D33" i="36"/>
  <c r="D34" i="36"/>
  <c r="D35" i="36"/>
  <c r="D36" i="36"/>
  <c r="D37" i="36"/>
  <c r="D38" i="36"/>
  <c r="D39" i="36"/>
  <c r="D40" i="36"/>
  <c r="D41" i="36"/>
  <c r="D42" i="36"/>
  <c r="C32" i="36"/>
  <c r="C33" i="36"/>
  <c r="C34" i="36"/>
  <c r="I39" i="62"/>
  <c r="I41" i="62"/>
  <c r="I41" i="68"/>
  <c r="I39" i="68" s="1"/>
  <c r="I41" i="69"/>
  <c r="I39" i="69" s="1"/>
  <c r="I41" i="70"/>
  <c r="I41" i="71"/>
  <c r="I39" i="71" s="1"/>
  <c r="I41" i="72"/>
  <c r="I39" i="72" s="1"/>
  <c r="I41" i="73"/>
  <c r="I39" i="73" s="1"/>
  <c r="I41" i="74"/>
  <c r="I39" i="74" s="1"/>
  <c r="I39" i="75"/>
  <c r="I41" i="75"/>
  <c r="I41" i="76"/>
  <c r="I39" i="76" s="1"/>
  <c r="I41" i="77"/>
  <c r="I39" i="77" s="1"/>
  <c r="I41" i="78"/>
  <c r="I41" i="79"/>
  <c r="I39" i="79" s="1"/>
  <c r="I41" i="80"/>
  <c r="I39" i="80" s="1"/>
  <c r="I41" i="81"/>
  <c r="I39" i="81" s="1"/>
  <c r="I41" i="82"/>
  <c r="I39" i="82" s="1"/>
  <c r="I39" i="83"/>
  <c r="I41" i="83"/>
  <c r="I41" i="84"/>
  <c r="I39" i="84" s="1"/>
  <c r="I41" i="85"/>
  <c r="I39" i="85" s="1"/>
  <c r="I41" i="86"/>
  <c r="I39" i="86" s="1"/>
  <c r="I41" i="87"/>
  <c r="I39" i="87" s="1"/>
  <c r="I41" i="88"/>
  <c r="I39" i="88" s="1"/>
  <c r="I41" i="89"/>
  <c r="I39" i="89" s="1"/>
  <c r="I41" i="90"/>
  <c r="I39" i="90" s="1"/>
  <c r="I39" i="91"/>
  <c r="I41" i="91"/>
  <c r="I41" i="92"/>
  <c r="I39" i="92" s="1"/>
  <c r="I41" i="93"/>
  <c r="I39" i="93" s="1"/>
  <c r="I41" i="94"/>
  <c r="I39" i="94" s="1"/>
  <c r="I41" i="95"/>
  <c r="I39" i="95" s="1"/>
  <c r="I41" i="67"/>
  <c r="I39" i="67" s="1"/>
  <c r="I41" i="1"/>
  <c r="I41" i="36" s="1"/>
  <c r="I39" i="70"/>
  <c r="I39" i="78"/>
  <c r="I37" i="62"/>
  <c r="I37" i="68"/>
  <c r="I37" i="71"/>
  <c r="I37" i="72"/>
  <c r="I37" i="75"/>
  <c r="I37" i="76"/>
  <c r="I37" i="79"/>
  <c r="I37" i="80"/>
  <c r="I37" i="83"/>
  <c r="I37" i="84"/>
  <c r="I37" i="86"/>
  <c r="I37" i="87"/>
  <c r="I37" i="88"/>
  <c r="I37" i="91"/>
  <c r="I37" i="92"/>
  <c r="I37" i="94"/>
  <c r="I37" i="95"/>
  <c r="I37" i="67"/>
  <c r="I37" i="69"/>
  <c r="I37" i="70"/>
  <c r="I37" i="73"/>
  <c r="I37" i="74"/>
  <c r="I37" i="77"/>
  <c r="I37" i="78"/>
  <c r="I37" i="81"/>
  <c r="I37" i="82"/>
  <c r="I37" i="85"/>
  <c r="I37" i="89"/>
  <c r="I37" i="90"/>
  <c r="I37" i="93"/>
  <c r="I37" i="1"/>
  <c r="I13" i="62"/>
  <c r="I13" i="68"/>
  <c r="I13" i="69"/>
  <c r="I13" i="70"/>
  <c r="I13" i="71"/>
  <c r="I13" i="72"/>
  <c r="I13" i="73"/>
  <c r="I13" i="74"/>
  <c r="I13" i="75"/>
  <c r="I13" i="76"/>
  <c r="I13" i="77"/>
  <c r="I13" i="78"/>
  <c r="I13" i="79"/>
  <c r="I13" i="80"/>
  <c r="I13" i="81"/>
  <c r="I13" i="82"/>
  <c r="I13" i="83"/>
  <c r="I13" i="84"/>
  <c r="I13" i="85"/>
  <c r="I13" i="86"/>
  <c r="I13" i="87"/>
  <c r="I13" i="88"/>
  <c r="I13" i="89"/>
  <c r="I13" i="90"/>
  <c r="I13" i="91"/>
  <c r="I13" i="92"/>
  <c r="I13" i="93"/>
  <c r="I13" i="94"/>
  <c r="I13" i="95"/>
  <c r="I13" i="67"/>
  <c r="I13" i="1"/>
  <c r="I36" i="62"/>
  <c r="I36" i="68"/>
  <c r="I36" i="69"/>
  <c r="I36" i="70"/>
  <c r="I36" i="71"/>
  <c r="I36" i="72"/>
  <c r="I36" i="73"/>
  <c r="I36" i="74"/>
  <c r="I36" i="75"/>
  <c r="I36" i="76"/>
  <c r="I36" i="77"/>
  <c r="I36" i="78"/>
  <c r="I36" i="79"/>
  <c r="I36" i="80"/>
  <c r="I36" i="81"/>
  <c r="I36" i="82"/>
  <c r="I36" i="83"/>
  <c r="I36" i="84"/>
  <c r="I36" i="85"/>
  <c r="I36" i="86"/>
  <c r="I36" i="87"/>
  <c r="I36" i="88"/>
  <c r="I36" i="89"/>
  <c r="I36" i="90"/>
  <c r="I36" i="91"/>
  <c r="I36" i="92"/>
  <c r="I36" i="93"/>
  <c r="I36" i="94"/>
  <c r="I36" i="95"/>
  <c r="I36" i="67"/>
  <c r="I36" i="1"/>
  <c r="I14" i="36"/>
  <c r="D13" i="36"/>
  <c r="E13" i="36"/>
  <c r="F13" i="36"/>
  <c r="H13" i="36"/>
  <c r="D14" i="36"/>
  <c r="E14" i="36"/>
  <c r="F14" i="36"/>
  <c r="H14" i="36"/>
  <c r="D15" i="36"/>
  <c r="E15" i="36"/>
  <c r="F15" i="36"/>
  <c r="H15" i="36"/>
  <c r="D16" i="36"/>
  <c r="E16" i="36"/>
  <c r="F16" i="36"/>
  <c r="H16" i="36"/>
  <c r="I16" i="36"/>
  <c r="D17" i="36"/>
  <c r="E17" i="36"/>
  <c r="F17" i="36"/>
  <c r="H17" i="36"/>
  <c r="D18" i="36"/>
  <c r="E18" i="36"/>
  <c r="F18" i="36"/>
  <c r="H18" i="36"/>
  <c r="I18" i="36"/>
  <c r="D19" i="36"/>
  <c r="E19" i="36"/>
  <c r="F19" i="36"/>
  <c r="H19" i="36"/>
  <c r="D20" i="36"/>
  <c r="E20" i="36"/>
  <c r="F20" i="36"/>
  <c r="H20" i="36"/>
  <c r="I20" i="36"/>
  <c r="D21" i="36"/>
  <c r="E21" i="36"/>
  <c r="F21" i="36"/>
  <c r="H21" i="36"/>
  <c r="D22" i="36"/>
  <c r="E22" i="36"/>
  <c r="F22" i="36"/>
  <c r="H22" i="36"/>
  <c r="D23" i="36"/>
  <c r="E23" i="36"/>
  <c r="F23" i="36"/>
  <c r="H23" i="36"/>
  <c r="D24" i="36"/>
  <c r="E24" i="36"/>
  <c r="F24" i="36"/>
  <c r="H24" i="36"/>
  <c r="I24" i="36"/>
  <c r="D25" i="36"/>
  <c r="E25" i="36"/>
  <c r="F25" i="36"/>
  <c r="H25" i="36"/>
  <c r="D26" i="36"/>
  <c r="E26" i="36"/>
  <c r="F26" i="36"/>
  <c r="H26" i="36"/>
  <c r="D27" i="36"/>
  <c r="E27" i="36"/>
  <c r="F27" i="36"/>
  <c r="H27" i="36"/>
  <c r="D28" i="36"/>
  <c r="E28" i="36"/>
  <c r="F28" i="36"/>
  <c r="H28" i="36"/>
  <c r="D29" i="36"/>
  <c r="E29" i="36"/>
  <c r="F29" i="36"/>
  <c r="H29" i="36"/>
  <c r="D30" i="36"/>
  <c r="E30" i="36"/>
  <c r="F30" i="36"/>
  <c r="H30" i="36"/>
  <c r="D31" i="36"/>
  <c r="E31" i="36"/>
  <c r="F31" i="36"/>
  <c r="H31" i="36"/>
  <c r="I31" i="36"/>
  <c r="D43" i="36"/>
  <c r="M43" i="36" s="1"/>
  <c r="E43" i="36"/>
  <c r="F43" i="36"/>
  <c r="H43" i="36"/>
  <c r="D44" i="36"/>
  <c r="E44" i="36"/>
  <c r="F44" i="36"/>
  <c r="H44" i="36"/>
  <c r="D45" i="36"/>
  <c r="M45" i="36" s="1"/>
  <c r="E45" i="36"/>
  <c r="F45" i="36"/>
  <c r="H45" i="36"/>
  <c r="D46" i="36"/>
  <c r="E46" i="36"/>
  <c r="F46" i="36"/>
  <c r="H46" i="36"/>
  <c r="D47" i="36"/>
  <c r="E47" i="36"/>
  <c r="F47" i="36"/>
  <c r="H47" i="36"/>
  <c r="D48" i="36"/>
  <c r="E48" i="36"/>
  <c r="F48" i="36"/>
  <c r="H48" i="36"/>
  <c r="D49" i="36"/>
  <c r="M49" i="36" s="1"/>
  <c r="E49" i="36"/>
  <c r="F49" i="36"/>
  <c r="H49" i="36"/>
  <c r="D50" i="36"/>
  <c r="M50" i="36" s="1"/>
  <c r="E50" i="36"/>
  <c r="F50" i="36"/>
  <c r="H50" i="36"/>
  <c r="C14" i="36"/>
  <c r="C15" i="36"/>
  <c r="C16" i="36"/>
  <c r="C17" i="36"/>
  <c r="C18" i="36"/>
  <c r="C19" i="36"/>
  <c r="C20" i="36"/>
  <c r="C21" i="36"/>
  <c r="C22" i="36"/>
  <c r="C23" i="36"/>
  <c r="C24" i="36"/>
  <c r="C25" i="36"/>
  <c r="C26" i="36"/>
  <c r="C27" i="36"/>
  <c r="C28" i="36"/>
  <c r="C29" i="36"/>
  <c r="C30" i="36"/>
  <c r="C31" i="36"/>
  <c r="C13" i="36"/>
  <c r="C11" i="36"/>
  <c r="H51" i="67"/>
  <c r="F51" i="67"/>
  <c r="E51" i="67"/>
  <c r="D51" i="67"/>
  <c r="C51" i="67"/>
  <c r="I48" i="67"/>
  <c r="I47" i="67"/>
  <c r="I46" i="67"/>
  <c r="I30" i="67"/>
  <c r="I29" i="67"/>
  <c r="I28" i="67"/>
  <c r="I27" i="67"/>
  <c r="I26" i="67"/>
  <c r="I25" i="67"/>
  <c r="I23" i="67"/>
  <c r="I22" i="67"/>
  <c r="I21" i="67"/>
  <c r="I19" i="67"/>
  <c r="I17" i="67"/>
  <c r="I15" i="67"/>
  <c r="F11" i="67"/>
  <c r="H11" i="67" s="1"/>
  <c r="E11" i="67"/>
  <c r="G11" i="67" s="1"/>
  <c r="H51" i="95"/>
  <c r="F51" i="95"/>
  <c r="E51" i="95"/>
  <c r="D51" i="95"/>
  <c r="C51" i="95"/>
  <c r="I48" i="95"/>
  <c r="I47" i="95"/>
  <c r="I46" i="95"/>
  <c r="I30" i="95"/>
  <c r="I29" i="95"/>
  <c r="I28" i="95"/>
  <c r="I27" i="95"/>
  <c r="I26" i="95"/>
  <c r="I25" i="95"/>
  <c r="I23" i="95"/>
  <c r="I22" i="95"/>
  <c r="I21" i="95"/>
  <c r="I19" i="95"/>
  <c r="I17" i="95"/>
  <c r="I15" i="95"/>
  <c r="F11" i="95"/>
  <c r="H11" i="95" s="1"/>
  <c r="E11" i="95"/>
  <c r="G11" i="95" s="1"/>
  <c r="H51" i="94"/>
  <c r="F51" i="94"/>
  <c r="E51" i="94"/>
  <c r="D51" i="94"/>
  <c r="C51" i="94"/>
  <c r="I48" i="94"/>
  <c r="I47" i="94"/>
  <c r="I46" i="94"/>
  <c r="I30" i="94"/>
  <c r="I29" i="94"/>
  <c r="I28" i="94"/>
  <c r="I27" i="94"/>
  <c r="I26" i="94"/>
  <c r="I25" i="94"/>
  <c r="I23" i="94"/>
  <c r="I22" i="94"/>
  <c r="I21" i="94"/>
  <c r="I19" i="94"/>
  <c r="I17" i="94"/>
  <c r="I15" i="94"/>
  <c r="F11" i="94"/>
  <c r="H11" i="94" s="1"/>
  <c r="E11" i="94"/>
  <c r="G11" i="94" s="1"/>
  <c r="H51" i="93"/>
  <c r="F51" i="93"/>
  <c r="E51" i="93"/>
  <c r="D51" i="93"/>
  <c r="C51" i="93"/>
  <c r="I48" i="93"/>
  <c r="I47" i="93"/>
  <c r="I46" i="93"/>
  <c r="I30" i="93"/>
  <c r="I29" i="93"/>
  <c r="I28" i="93"/>
  <c r="I27" i="93"/>
  <c r="I26" i="93"/>
  <c r="I25" i="93"/>
  <c r="I23" i="93"/>
  <c r="I22" i="93"/>
  <c r="I21" i="93"/>
  <c r="I19" i="93"/>
  <c r="I17" i="93"/>
  <c r="I15" i="93"/>
  <c r="F11" i="93"/>
  <c r="H11" i="93" s="1"/>
  <c r="E11" i="93"/>
  <c r="G11" i="93" s="1"/>
  <c r="H51" i="92"/>
  <c r="F51" i="92"/>
  <c r="E51" i="92"/>
  <c r="D51" i="92"/>
  <c r="C51" i="92"/>
  <c r="I48" i="92"/>
  <c r="I47" i="92"/>
  <c r="I46" i="92"/>
  <c r="I30" i="92"/>
  <c r="I29" i="92"/>
  <c r="I28" i="92"/>
  <c r="I27" i="92"/>
  <c r="I26" i="92"/>
  <c r="I25" i="92"/>
  <c r="I23" i="92"/>
  <c r="I22" i="92"/>
  <c r="I21" i="92"/>
  <c r="I19" i="92"/>
  <c r="I17" i="92"/>
  <c r="I15" i="92"/>
  <c r="F11" i="92"/>
  <c r="H11" i="92" s="1"/>
  <c r="E11" i="92"/>
  <c r="G11" i="92" s="1"/>
  <c r="H51" i="91"/>
  <c r="F51" i="91"/>
  <c r="E51" i="91"/>
  <c r="D51" i="91"/>
  <c r="C51" i="91"/>
  <c r="I48" i="91"/>
  <c r="I47" i="91"/>
  <c r="I46" i="91"/>
  <c r="I30" i="91"/>
  <c r="I29" i="91"/>
  <c r="I28" i="91"/>
  <c r="I27" i="91"/>
  <c r="I26" i="91"/>
  <c r="I25" i="91"/>
  <c r="I23" i="91"/>
  <c r="I22" i="91"/>
  <c r="I21" i="91"/>
  <c r="I19" i="91"/>
  <c r="I17" i="91"/>
  <c r="I15" i="91"/>
  <c r="F11" i="91"/>
  <c r="H11" i="91" s="1"/>
  <c r="E11" i="91"/>
  <c r="G11" i="91" s="1"/>
  <c r="H51" i="90"/>
  <c r="F51" i="90"/>
  <c r="E51" i="90"/>
  <c r="D51" i="90"/>
  <c r="C51" i="90"/>
  <c r="I48" i="90"/>
  <c r="I47" i="90"/>
  <c r="I46" i="90"/>
  <c r="I30" i="90"/>
  <c r="I29" i="90"/>
  <c r="I28" i="90"/>
  <c r="I27" i="90"/>
  <c r="I26" i="90"/>
  <c r="I25" i="90"/>
  <c r="I23" i="90"/>
  <c r="I22" i="90"/>
  <c r="I21" i="90"/>
  <c r="I19" i="90"/>
  <c r="I17" i="90"/>
  <c r="I15" i="90"/>
  <c r="F11" i="90"/>
  <c r="H11" i="90" s="1"/>
  <c r="E11" i="90"/>
  <c r="G11" i="90" s="1"/>
  <c r="H51" i="89"/>
  <c r="F51" i="89"/>
  <c r="E51" i="89"/>
  <c r="D51" i="89"/>
  <c r="C51" i="89"/>
  <c r="I48" i="89"/>
  <c r="I47" i="89"/>
  <c r="I46" i="89"/>
  <c r="I30" i="89"/>
  <c r="I29" i="89"/>
  <c r="I28" i="89"/>
  <c r="I27" i="89"/>
  <c r="I26" i="89"/>
  <c r="I25" i="89"/>
  <c r="I23" i="89"/>
  <c r="I22" i="89"/>
  <c r="I21" i="89"/>
  <c r="I19" i="89"/>
  <c r="I17" i="89"/>
  <c r="I15" i="89"/>
  <c r="F11" i="89"/>
  <c r="H11" i="89" s="1"/>
  <c r="E11" i="89"/>
  <c r="G11" i="89" s="1"/>
  <c r="H51" i="88"/>
  <c r="F51" i="88"/>
  <c r="E51" i="88"/>
  <c r="D51" i="88"/>
  <c r="C51" i="88"/>
  <c r="I48" i="88"/>
  <c r="I47" i="88"/>
  <c r="I46" i="88"/>
  <c r="I30" i="88"/>
  <c r="I29" i="88"/>
  <c r="I28" i="88"/>
  <c r="I27" i="88"/>
  <c r="I26" i="88"/>
  <c r="I25" i="88"/>
  <c r="I23" i="88"/>
  <c r="I22" i="88"/>
  <c r="I21" i="88"/>
  <c r="I19" i="88"/>
  <c r="I17" i="88"/>
  <c r="I15" i="88"/>
  <c r="F11" i="88"/>
  <c r="H11" i="88" s="1"/>
  <c r="E11" i="88"/>
  <c r="G11" i="88" s="1"/>
  <c r="H51" i="87"/>
  <c r="F51" i="87"/>
  <c r="E51" i="87"/>
  <c r="D51" i="87"/>
  <c r="C51" i="87"/>
  <c r="I48" i="87"/>
  <c r="I47" i="87"/>
  <c r="I46" i="87"/>
  <c r="I30" i="87"/>
  <c r="I29" i="87"/>
  <c r="I28" i="87"/>
  <c r="I27" i="87"/>
  <c r="I26" i="87"/>
  <c r="I25" i="87"/>
  <c r="I23" i="87"/>
  <c r="I22" i="87"/>
  <c r="I21" i="87"/>
  <c r="I19" i="87"/>
  <c r="I17" i="87"/>
  <c r="I15" i="87"/>
  <c r="F11" i="87"/>
  <c r="H11" i="87" s="1"/>
  <c r="E11" i="87"/>
  <c r="G11" i="87" s="1"/>
  <c r="H51" i="86"/>
  <c r="F51" i="86"/>
  <c r="E51" i="86"/>
  <c r="D51" i="86"/>
  <c r="C51" i="86"/>
  <c r="I48" i="86"/>
  <c r="I47" i="86"/>
  <c r="I46" i="86"/>
  <c r="I30" i="86"/>
  <c r="I29" i="86"/>
  <c r="I28" i="86"/>
  <c r="I27" i="86"/>
  <c r="I26" i="86"/>
  <c r="I25" i="86"/>
  <c r="I23" i="86"/>
  <c r="I22" i="86"/>
  <c r="I21" i="86"/>
  <c r="I19" i="86"/>
  <c r="I17" i="86"/>
  <c r="I15" i="86"/>
  <c r="F11" i="86"/>
  <c r="H11" i="86" s="1"/>
  <c r="E11" i="86"/>
  <c r="G11" i="86" s="1"/>
  <c r="H51" i="85"/>
  <c r="F51" i="85"/>
  <c r="E51" i="85"/>
  <c r="D51" i="85"/>
  <c r="C51" i="85"/>
  <c r="I48" i="85"/>
  <c r="I47" i="85"/>
  <c r="I46" i="85"/>
  <c r="I30" i="85"/>
  <c r="I29" i="85"/>
  <c r="I28" i="85"/>
  <c r="I27" i="85"/>
  <c r="I26" i="85"/>
  <c r="I25" i="85"/>
  <c r="I23" i="85"/>
  <c r="I22" i="85"/>
  <c r="I21" i="85"/>
  <c r="I19" i="85"/>
  <c r="I17" i="85"/>
  <c r="I15" i="85"/>
  <c r="F11" i="85"/>
  <c r="H11" i="85" s="1"/>
  <c r="E11" i="85"/>
  <c r="G11" i="85" s="1"/>
  <c r="H51" i="84"/>
  <c r="F51" i="84"/>
  <c r="E51" i="84"/>
  <c r="D51" i="84"/>
  <c r="C51" i="84"/>
  <c r="I48" i="84"/>
  <c r="I47" i="84"/>
  <c r="I46" i="84"/>
  <c r="I30" i="84"/>
  <c r="I29" i="84"/>
  <c r="I28" i="84"/>
  <c r="I27" i="84"/>
  <c r="I26" i="84"/>
  <c r="I25" i="84"/>
  <c r="I23" i="84"/>
  <c r="I22" i="84"/>
  <c r="I21" i="84"/>
  <c r="I19" i="84"/>
  <c r="I17" i="84"/>
  <c r="I15" i="84"/>
  <c r="F11" i="84"/>
  <c r="H11" i="84" s="1"/>
  <c r="I11" i="84" s="1"/>
  <c r="E11" i="84"/>
  <c r="G11" i="84" s="1"/>
  <c r="H51" i="83"/>
  <c r="F51" i="83"/>
  <c r="E51" i="83"/>
  <c r="D51" i="83"/>
  <c r="C51" i="83"/>
  <c r="I48" i="83"/>
  <c r="I47" i="83"/>
  <c r="I46" i="83"/>
  <c r="I30" i="83"/>
  <c r="I29" i="83"/>
  <c r="I28" i="83"/>
  <c r="I27" i="83"/>
  <c r="I26" i="83"/>
  <c r="I25" i="83"/>
  <c r="I23" i="83"/>
  <c r="I22" i="83"/>
  <c r="I21" i="83"/>
  <c r="I19" i="83"/>
  <c r="I17" i="83"/>
  <c r="I15" i="83"/>
  <c r="F11" i="83"/>
  <c r="H11" i="83" s="1"/>
  <c r="E11" i="83"/>
  <c r="G11" i="83" s="1"/>
  <c r="H51" i="82"/>
  <c r="F51" i="82"/>
  <c r="E51" i="82"/>
  <c r="D51" i="82"/>
  <c r="C51" i="82"/>
  <c r="I48" i="82"/>
  <c r="I47" i="82"/>
  <c r="I46" i="82"/>
  <c r="I30" i="82"/>
  <c r="I29" i="82"/>
  <c r="I28" i="82"/>
  <c r="I27" i="82"/>
  <c r="I26" i="82"/>
  <c r="I25" i="82"/>
  <c r="I23" i="82"/>
  <c r="I22" i="82"/>
  <c r="I21" i="82"/>
  <c r="I19" i="82"/>
  <c r="I17" i="82"/>
  <c r="I15" i="82"/>
  <c r="H11" i="82"/>
  <c r="F11" i="82"/>
  <c r="E11" i="82"/>
  <c r="G11" i="82" s="1"/>
  <c r="I11" i="82" s="1"/>
  <c r="H51" i="81"/>
  <c r="F51" i="81"/>
  <c r="E51" i="81"/>
  <c r="D51" i="81"/>
  <c r="C51" i="81"/>
  <c r="I48" i="81"/>
  <c r="I47" i="81"/>
  <c r="I46" i="81"/>
  <c r="I30" i="81"/>
  <c r="I29" i="81"/>
  <c r="I28" i="81"/>
  <c r="I27" i="81"/>
  <c r="I26" i="81"/>
  <c r="I25" i="81"/>
  <c r="I23" i="81"/>
  <c r="I22" i="81"/>
  <c r="I21" i="81"/>
  <c r="I19" i="81"/>
  <c r="I17" i="81"/>
  <c r="I15" i="81"/>
  <c r="F11" i="81"/>
  <c r="H11" i="81" s="1"/>
  <c r="E11" i="81"/>
  <c r="G11" i="81" s="1"/>
  <c r="I11" i="81" s="1"/>
  <c r="H51" i="80"/>
  <c r="F51" i="80"/>
  <c r="E51" i="80"/>
  <c r="D51" i="80"/>
  <c r="C51" i="80"/>
  <c r="I48" i="80"/>
  <c r="I47" i="80"/>
  <c r="I46" i="80"/>
  <c r="I30" i="80"/>
  <c r="I29" i="80"/>
  <c r="I28" i="80"/>
  <c r="I27" i="80"/>
  <c r="I26" i="80"/>
  <c r="I25" i="80"/>
  <c r="I23" i="80"/>
  <c r="I22" i="80"/>
  <c r="I21" i="80"/>
  <c r="I19" i="80"/>
  <c r="I17" i="80"/>
  <c r="I15" i="80"/>
  <c r="F11" i="80"/>
  <c r="H11" i="80" s="1"/>
  <c r="E11" i="80"/>
  <c r="G11" i="80" s="1"/>
  <c r="H51" i="79"/>
  <c r="F51" i="79"/>
  <c r="E51" i="79"/>
  <c r="D51" i="79"/>
  <c r="C51" i="79"/>
  <c r="I48" i="79"/>
  <c r="I47" i="79"/>
  <c r="I46" i="79"/>
  <c r="I30" i="79"/>
  <c r="I29" i="79"/>
  <c r="I28" i="79"/>
  <c r="I27" i="79"/>
  <c r="I26" i="79"/>
  <c r="I25" i="79"/>
  <c r="I23" i="79"/>
  <c r="I22" i="79"/>
  <c r="I21" i="79"/>
  <c r="I19" i="79"/>
  <c r="I17" i="79"/>
  <c r="I15" i="79"/>
  <c r="F11" i="79"/>
  <c r="H11" i="79" s="1"/>
  <c r="E11" i="79"/>
  <c r="G11" i="79" s="1"/>
  <c r="H51" i="78"/>
  <c r="F51" i="78"/>
  <c r="E51" i="78"/>
  <c r="D51" i="78"/>
  <c r="C51" i="78"/>
  <c r="I48" i="78"/>
  <c r="I47" i="78"/>
  <c r="I46" i="78"/>
  <c r="I30" i="78"/>
  <c r="I29" i="78"/>
  <c r="I28" i="78"/>
  <c r="I27" i="78"/>
  <c r="I26" i="78"/>
  <c r="I25" i="78"/>
  <c r="I23" i="78"/>
  <c r="I22" i="78"/>
  <c r="I21" i="78"/>
  <c r="I19" i="78"/>
  <c r="I17" i="78"/>
  <c r="I15" i="78"/>
  <c r="F11" i="78"/>
  <c r="H11" i="78" s="1"/>
  <c r="E11" i="78"/>
  <c r="G11" i="78" s="1"/>
  <c r="H51" i="77"/>
  <c r="F51" i="77"/>
  <c r="E51" i="77"/>
  <c r="D51" i="77"/>
  <c r="C51" i="77"/>
  <c r="I48" i="77"/>
  <c r="I47" i="77"/>
  <c r="I46" i="77"/>
  <c r="I30" i="77"/>
  <c r="I29" i="77"/>
  <c r="I28" i="77"/>
  <c r="I27" i="77"/>
  <c r="I26" i="77"/>
  <c r="I25" i="77"/>
  <c r="I23" i="77"/>
  <c r="I22" i="77"/>
  <c r="I21" i="77"/>
  <c r="I19" i="77"/>
  <c r="I17" i="77"/>
  <c r="I15" i="77"/>
  <c r="F11" i="77"/>
  <c r="H11" i="77" s="1"/>
  <c r="E11" i="77"/>
  <c r="G11" i="77" s="1"/>
  <c r="H51" i="76"/>
  <c r="F51" i="76"/>
  <c r="E51" i="76"/>
  <c r="D51" i="76"/>
  <c r="C51" i="76"/>
  <c r="I48" i="76"/>
  <c r="I47" i="76"/>
  <c r="I46" i="76"/>
  <c r="I30" i="76"/>
  <c r="I29" i="76"/>
  <c r="I28" i="76"/>
  <c r="I27" i="76"/>
  <c r="I26" i="76"/>
  <c r="I25" i="76"/>
  <c r="I23" i="76"/>
  <c r="I22" i="76"/>
  <c r="I21" i="76"/>
  <c r="I19" i="76"/>
  <c r="I17" i="76"/>
  <c r="I15" i="76"/>
  <c r="F11" i="76"/>
  <c r="H11" i="76" s="1"/>
  <c r="E11" i="76"/>
  <c r="G11" i="76" s="1"/>
  <c r="H51" i="75"/>
  <c r="F51" i="75"/>
  <c r="E51" i="75"/>
  <c r="D51" i="75"/>
  <c r="C51" i="75"/>
  <c r="I48" i="75"/>
  <c r="I47" i="75"/>
  <c r="I46" i="75"/>
  <c r="I30" i="75"/>
  <c r="I29" i="75"/>
  <c r="I28" i="75"/>
  <c r="I27" i="75"/>
  <c r="I26" i="75"/>
  <c r="I25" i="75"/>
  <c r="I23" i="75"/>
  <c r="I22" i="75"/>
  <c r="I21" i="75"/>
  <c r="I19" i="75"/>
  <c r="I17" i="75"/>
  <c r="I15" i="75"/>
  <c r="F11" i="75"/>
  <c r="H11" i="75" s="1"/>
  <c r="E11" i="75"/>
  <c r="G11" i="75" s="1"/>
  <c r="H51" i="74"/>
  <c r="F51" i="74"/>
  <c r="E51" i="74"/>
  <c r="D51" i="74"/>
  <c r="C51" i="74"/>
  <c r="I48" i="74"/>
  <c r="I47" i="74"/>
  <c r="I46" i="74"/>
  <c r="I30" i="74"/>
  <c r="I29" i="74"/>
  <c r="I28" i="74"/>
  <c r="I27" i="74"/>
  <c r="I26" i="74"/>
  <c r="I25" i="74"/>
  <c r="I23" i="74"/>
  <c r="I22" i="74"/>
  <c r="I21" i="74"/>
  <c r="I19" i="74"/>
  <c r="I17" i="74"/>
  <c r="I15" i="74"/>
  <c r="F11" i="74"/>
  <c r="H11" i="74" s="1"/>
  <c r="E11" i="74"/>
  <c r="G11" i="74" s="1"/>
  <c r="H51" i="73"/>
  <c r="F51" i="73"/>
  <c r="E51" i="73"/>
  <c r="D51" i="73"/>
  <c r="C51" i="73"/>
  <c r="I48" i="73"/>
  <c r="I47" i="73"/>
  <c r="I46" i="73"/>
  <c r="I30" i="73"/>
  <c r="I29" i="73"/>
  <c r="I28" i="73"/>
  <c r="I27" i="73"/>
  <c r="I26" i="73"/>
  <c r="I25" i="73"/>
  <c r="I23" i="73"/>
  <c r="I22" i="73"/>
  <c r="I21" i="73"/>
  <c r="I19" i="73"/>
  <c r="I17" i="73"/>
  <c r="I15" i="73"/>
  <c r="F11" i="73"/>
  <c r="H11" i="73" s="1"/>
  <c r="E11" i="73"/>
  <c r="G11" i="73" s="1"/>
  <c r="H51" i="72"/>
  <c r="F51" i="72"/>
  <c r="E51" i="72"/>
  <c r="D51" i="72"/>
  <c r="C51" i="72"/>
  <c r="I48" i="72"/>
  <c r="I47" i="72"/>
  <c r="I46" i="72"/>
  <c r="I30" i="72"/>
  <c r="I29" i="72"/>
  <c r="I28" i="72"/>
  <c r="I27" i="72"/>
  <c r="I26" i="72"/>
  <c r="I25" i="72"/>
  <c r="I23" i="72"/>
  <c r="I22" i="72"/>
  <c r="I21" i="72"/>
  <c r="I19" i="72"/>
  <c r="I17" i="72"/>
  <c r="I15" i="72"/>
  <c r="F11" i="72"/>
  <c r="H11" i="72" s="1"/>
  <c r="E11" i="72"/>
  <c r="G11" i="72" s="1"/>
  <c r="H51" i="71"/>
  <c r="F51" i="71"/>
  <c r="E51" i="71"/>
  <c r="D51" i="71"/>
  <c r="C51" i="71"/>
  <c r="I48" i="71"/>
  <c r="I47" i="71"/>
  <c r="I46" i="71"/>
  <c r="I30" i="71"/>
  <c r="I29" i="71"/>
  <c r="I28" i="71"/>
  <c r="I27" i="71"/>
  <c r="I26" i="71"/>
  <c r="I25" i="71"/>
  <c r="I23" i="71"/>
  <c r="I22" i="71"/>
  <c r="I21" i="71"/>
  <c r="I19" i="71"/>
  <c r="I17" i="71"/>
  <c r="I15" i="71"/>
  <c r="F11" i="71"/>
  <c r="H11" i="71" s="1"/>
  <c r="E11" i="71"/>
  <c r="G11" i="71" s="1"/>
  <c r="H51" i="70"/>
  <c r="F51" i="70"/>
  <c r="E51" i="70"/>
  <c r="D51" i="70"/>
  <c r="C51" i="70"/>
  <c r="I48" i="70"/>
  <c r="I47" i="70"/>
  <c r="I46" i="70"/>
  <c r="I30" i="70"/>
  <c r="I29" i="70"/>
  <c r="I28" i="70"/>
  <c r="I27" i="70"/>
  <c r="I26" i="70"/>
  <c r="I25" i="70"/>
  <c r="I23" i="70"/>
  <c r="I22" i="70"/>
  <c r="I21" i="70"/>
  <c r="I19" i="70"/>
  <c r="I17" i="70"/>
  <c r="I15" i="70"/>
  <c r="F11" i="70"/>
  <c r="E11" i="70"/>
  <c r="H51" i="69"/>
  <c r="F51" i="69"/>
  <c r="E51" i="69"/>
  <c r="D51" i="69"/>
  <c r="C51" i="69"/>
  <c r="I48" i="69"/>
  <c r="I47" i="69"/>
  <c r="I46" i="69"/>
  <c r="I30" i="69"/>
  <c r="I29" i="69"/>
  <c r="I28" i="69"/>
  <c r="I27" i="69"/>
  <c r="I26" i="69"/>
  <c r="I25" i="69"/>
  <c r="I23" i="69"/>
  <c r="I22" i="69"/>
  <c r="I21" i="69"/>
  <c r="I19" i="69"/>
  <c r="I17" i="69"/>
  <c r="I15" i="69"/>
  <c r="F11" i="69"/>
  <c r="H11" i="69" s="1"/>
  <c r="E11" i="69"/>
  <c r="G11" i="69" s="1"/>
  <c r="H51" i="68"/>
  <c r="F51" i="68"/>
  <c r="E51" i="68"/>
  <c r="D51" i="68"/>
  <c r="C51" i="68"/>
  <c r="I48" i="68"/>
  <c r="I47" i="68"/>
  <c r="I46" i="68"/>
  <c r="I30" i="68"/>
  <c r="I29" i="68"/>
  <c r="I28" i="68"/>
  <c r="I27" i="68"/>
  <c r="I26" i="68"/>
  <c r="I25" i="68"/>
  <c r="I23" i="68"/>
  <c r="I22" i="68"/>
  <c r="I21" i="68"/>
  <c r="I19" i="68"/>
  <c r="I17" i="68"/>
  <c r="I15" i="68"/>
  <c r="F11" i="68"/>
  <c r="H11" i="68" s="1"/>
  <c r="E11" i="68"/>
  <c r="G11" i="68" s="1"/>
  <c r="H51" i="62"/>
  <c r="F51" i="62"/>
  <c r="E51" i="62"/>
  <c r="D51" i="62"/>
  <c r="C51" i="62"/>
  <c r="I48" i="62"/>
  <c r="I47" i="62"/>
  <c r="I46" i="62"/>
  <c r="I30" i="62"/>
  <c r="I29" i="62"/>
  <c r="I28" i="62"/>
  <c r="I27" i="62"/>
  <c r="I26" i="62"/>
  <c r="I25" i="62"/>
  <c r="I23" i="62"/>
  <c r="I22" i="62"/>
  <c r="I21" i="62"/>
  <c r="I19" i="62"/>
  <c r="I17" i="62"/>
  <c r="I15" i="62"/>
  <c r="F11" i="62"/>
  <c r="H11" i="62" s="1"/>
  <c r="E11" i="62"/>
  <c r="G11" i="62" s="1"/>
  <c r="I11" i="67" l="1"/>
  <c r="I11" i="95"/>
  <c r="I11" i="94"/>
  <c r="I11" i="93"/>
  <c r="I11" i="92"/>
  <c r="I11" i="91"/>
  <c r="I11" i="90"/>
  <c r="I11" i="89"/>
  <c r="I11" i="88"/>
  <c r="I11" i="87"/>
  <c r="I11" i="86"/>
  <c r="I11" i="85"/>
  <c r="N28" i="36"/>
  <c r="I11" i="83"/>
  <c r="I11" i="80"/>
  <c r="I11" i="79"/>
  <c r="I11" i="78"/>
  <c r="I11" i="77"/>
  <c r="I11" i="76"/>
  <c r="I11" i="75"/>
  <c r="I11" i="74"/>
  <c r="I11" i="73"/>
  <c r="H3" i="73"/>
  <c r="I11" i="72"/>
  <c r="I11" i="71"/>
  <c r="I11" i="70"/>
  <c r="I11" i="69"/>
  <c r="I11" i="68"/>
  <c r="I11" i="62"/>
  <c r="I39" i="36"/>
  <c r="I36" i="36"/>
  <c r="L36" i="36" s="1"/>
  <c r="I37" i="36"/>
  <c r="M34" i="36"/>
  <c r="N21" i="36"/>
  <c r="N48" i="36"/>
  <c r="N46" i="36"/>
  <c r="N39" i="36"/>
  <c r="M33" i="36"/>
  <c r="M32" i="36"/>
  <c r="N47" i="36"/>
  <c r="M44" i="36"/>
  <c r="N29" i="36"/>
  <c r="L41" i="36"/>
  <c r="M41" i="36" s="1"/>
  <c r="N36" i="36"/>
  <c r="N41" i="36"/>
  <c r="N37" i="36"/>
  <c r="I51" i="91"/>
  <c r="I51" i="92"/>
  <c r="I51" i="74"/>
  <c r="I51" i="94"/>
  <c r="I51" i="82"/>
  <c r="I51" i="72"/>
  <c r="I51" i="71"/>
  <c r="I51" i="89"/>
  <c r="I51" i="62"/>
  <c r="I51" i="69"/>
  <c r="I51" i="84"/>
  <c r="I51" i="80"/>
  <c r="I51" i="95"/>
  <c r="I51" i="70"/>
  <c r="I51" i="87"/>
  <c r="I51" i="93"/>
  <c r="I51" i="68"/>
  <c r="I51" i="75"/>
  <c r="I51" i="76"/>
  <c r="I51" i="78"/>
  <c r="I51" i="83"/>
  <c r="I51" i="88"/>
  <c r="I51" i="90"/>
  <c r="I51" i="81"/>
  <c r="I51" i="86"/>
  <c r="I51" i="79"/>
  <c r="I51" i="85"/>
  <c r="I51" i="73"/>
  <c r="I51" i="77"/>
  <c r="I51" i="67"/>
  <c r="C51" i="36"/>
  <c r="N30" i="36"/>
  <c r="N26" i="36"/>
  <c r="N22" i="36"/>
  <c r="N15" i="36"/>
  <c r="N17" i="36"/>
  <c r="N13" i="36"/>
  <c r="N27" i="36"/>
  <c r="N25" i="36"/>
  <c r="N23" i="36"/>
  <c r="N19" i="36"/>
  <c r="N51" i="36" l="1"/>
  <c r="I35" i="36"/>
  <c r="M35" i="36" s="1"/>
  <c r="C51" i="1" l="1"/>
  <c r="I48" i="1"/>
  <c r="I48" i="36" s="1"/>
  <c r="I47" i="1"/>
  <c r="I47" i="36" s="1"/>
  <c r="I46" i="1"/>
  <c r="L47" i="36" l="1"/>
  <c r="M47" i="36"/>
  <c r="L48" i="36"/>
  <c r="M48" i="36"/>
  <c r="M36" i="36"/>
  <c r="I46" i="36"/>
  <c r="L37" i="36"/>
  <c r="M37" i="36" s="1"/>
  <c r="L46" i="36" l="1"/>
  <c r="M46" i="36"/>
  <c r="E11" i="1"/>
  <c r="F11" i="1"/>
  <c r="H51" i="1"/>
  <c r="F51" i="1"/>
  <c r="D51" i="1"/>
  <c r="I30" i="1"/>
  <c r="I30" i="36" s="1"/>
  <c r="I29" i="1"/>
  <c r="I29" i="36" s="1"/>
  <c r="I28" i="1"/>
  <c r="I28" i="36" s="1"/>
  <c r="L28" i="36" s="1"/>
  <c r="I27" i="1"/>
  <c r="I27" i="36" s="1"/>
  <c r="I26" i="1"/>
  <c r="I26" i="36" s="1"/>
  <c r="I25" i="1"/>
  <c r="I25" i="36" s="1"/>
  <c r="I23" i="1"/>
  <c r="I23" i="36" s="1"/>
  <c r="I22" i="1"/>
  <c r="I22" i="36" s="1"/>
  <c r="I21" i="1"/>
  <c r="I21" i="36" s="1"/>
  <c r="L21" i="36" s="1"/>
  <c r="M21" i="36" s="1"/>
  <c r="I19" i="1"/>
  <c r="I19" i="36" s="1"/>
  <c r="I17" i="1"/>
  <c r="I17" i="36" s="1"/>
  <c r="I15" i="1"/>
  <c r="I15" i="36" s="1"/>
  <c r="I13" i="36"/>
  <c r="L13" i="36" s="1"/>
  <c r="M13" i="36" l="1"/>
  <c r="H11" i="1"/>
  <c r="H11" i="36" s="1"/>
  <c r="F11" i="36"/>
  <c r="E11" i="36"/>
  <c r="G11" i="1"/>
  <c r="L22" i="36"/>
  <c r="M22" i="36" s="1"/>
  <c r="L17" i="36"/>
  <c r="M17" i="36" s="1"/>
  <c r="L23" i="36"/>
  <c r="M23" i="36" s="1"/>
  <c r="M28" i="36"/>
  <c r="L19" i="36"/>
  <c r="M19" i="36" s="1"/>
  <c r="L25" i="36"/>
  <c r="M25" i="36" s="1"/>
  <c r="L29" i="36"/>
  <c r="M29" i="36" s="1"/>
  <c r="L27" i="36"/>
  <c r="M27" i="36" s="1"/>
  <c r="L26" i="36"/>
  <c r="M26" i="36" s="1"/>
  <c r="L30" i="36"/>
  <c r="M30" i="36" s="1"/>
  <c r="L15" i="36"/>
  <c r="M15" i="36" s="1"/>
  <c r="H51" i="36"/>
  <c r="I51" i="1"/>
  <c r="L39" i="36" s="1"/>
  <c r="M39" i="36" s="1"/>
  <c r="L51" i="36" l="1"/>
  <c r="H3" i="1"/>
  <c r="H3" i="62" s="1"/>
  <c r="H3" i="68" s="1"/>
  <c r="H3" i="69" s="1"/>
  <c r="H3" i="74" s="1"/>
  <c r="H3" i="75" s="1"/>
  <c r="H3" i="76" s="1"/>
  <c r="H3" i="77" s="1"/>
  <c r="H3" i="78" s="1"/>
  <c r="H3" i="79" s="1"/>
  <c r="H3" i="80" s="1"/>
  <c r="H3" i="81" s="1"/>
  <c r="H3" i="82" s="1"/>
  <c r="H3" i="83" s="1"/>
  <c r="H3" i="84" s="1"/>
  <c r="H3" i="85" s="1"/>
  <c r="H3" i="86" s="1"/>
  <c r="H3" i="87" s="1"/>
  <c r="H3" i="88" s="1"/>
  <c r="H3" i="89" s="1"/>
  <c r="H3" i="90" s="1"/>
  <c r="H3" i="91" s="1"/>
  <c r="H3" i="92" s="1"/>
  <c r="H3" i="93" s="1"/>
  <c r="H3" i="94" s="1"/>
  <c r="H3" i="95" s="1"/>
  <c r="H3" i="67" s="1"/>
  <c r="I11" i="1"/>
  <c r="G11" i="36"/>
  <c r="I51" i="36"/>
  <c r="M51" i="36"/>
  <c r="D51" i="36"/>
  <c r="F51" i="36"/>
  <c r="E51" i="36"/>
  <c r="H3" i="36" l="1"/>
  <c r="I11" i="36"/>
</calcChain>
</file>

<file path=xl/comments1.xml><?xml version="1.0" encoding="utf-8"?>
<comments xmlns="http://schemas.openxmlformats.org/spreadsheetml/2006/main">
  <authors>
    <author>만든 이</author>
    <author>Windows 사용자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2" authorId="1" shapeId="0">
      <text>
        <r>
          <rPr>
            <b/>
            <sz val="9"/>
            <color indexed="81"/>
            <rFont val="돋움"/>
            <family val="3"/>
            <charset val="129"/>
          </rPr>
          <t>호밀시리즈는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I38" authorId="1" shapeId="0">
      <text>
        <r>
          <rPr>
            <sz val="9"/>
            <color indexed="81"/>
            <rFont val="Tahoma"/>
            <family val="2"/>
          </rPr>
          <t>Half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Whole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자동입력됩니다</t>
        </r>
        <r>
          <rPr>
            <sz val="9"/>
            <color indexed="81"/>
            <rFont val="Tahoma"/>
            <family val="2"/>
          </rPr>
          <t>.</t>
        </r>
      </text>
    </comment>
    <comment ref="I40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2" authorId="1" shapeId="0">
      <text>
        <r>
          <rPr>
            <b/>
            <sz val="9"/>
            <color indexed="81"/>
            <rFont val="Tahoma"/>
            <family val="2"/>
          </rPr>
          <t>Half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 xml:space="preserve"> Whole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자동입력됩니다</t>
        </r>
        <r>
          <rPr>
            <b/>
            <sz val="9"/>
            <color indexed="81"/>
            <rFont val="Tahoma"/>
            <family val="2"/>
          </rPr>
          <t xml:space="preserve">.
</t>
        </r>
      </text>
    </comment>
    <comment ref="I43" authorId="1" shapeId="0">
      <text>
        <r>
          <rPr>
            <b/>
            <sz val="9"/>
            <color indexed="81"/>
            <rFont val="돋움"/>
            <family val="3"/>
            <charset val="129"/>
          </rPr>
          <t>슈톨렌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파네토네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미니파네토네는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49" authorId="1" shapeId="0">
      <text>
        <r>
          <rPr>
            <b/>
            <sz val="9"/>
            <color indexed="81"/>
            <rFont val="돋움"/>
            <family val="3"/>
            <charset val="129"/>
          </rPr>
          <t>수프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기입
</t>
        </r>
      </text>
    </comment>
  </commentList>
</comments>
</file>

<file path=xl/comments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1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3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4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5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6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7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8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29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0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1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4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  <comment ref="I16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18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0" authorId="0" shapeId="0">
      <text>
        <r>
          <rPr>
            <b/>
            <sz val="10"/>
            <color indexed="81"/>
            <rFont val="Tahoma"/>
            <family val="2"/>
          </rPr>
          <t>Half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 </t>
        </r>
        <r>
          <rPr>
            <b/>
            <sz val="10"/>
            <color indexed="81"/>
            <rFont val="돋움"/>
            <family val="3"/>
            <charset val="129"/>
          </rPr>
          <t>먼저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
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Whole</t>
        </r>
        <r>
          <rPr>
            <b/>
            <sz val="10"/>
            <color indexed="81"/>
            <rFont val="돋움"/>
            <family val="3"/>
            <charset val="129"/>
          </rPr>
          <t>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24" authorId="0" shapeId="0">
      <text>
        <r>
          <rPr>
            <b/>
            <sz val="10"/>
            <color indexed="81"/>
            <rFont val="돋움"/>
            <family val="3"/>
            <charset val="129"/>
          </rPr>
          <t>화치아바타의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그러면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치아바타는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  <comment ref="I31" authorId="0" shapeId="0">
      <text>
        <r>
          <rPr>
            <b/>
            <sz val="10"/>
            <color indexed="81"/>
            <rFont val="돋움"/>
            <family val="3"/>
            <charset val="129"/>
          </rPr>
          <t>버터브레첼의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판매량과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재고량은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바로숫자로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입력해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주기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바랍니다</t>
        </r>
        <r>
          <rPr>
            <b/>
            <sz val="10"/>
            <color indexed="81"/>
            <rFont val="Tahoma"/>
            <family val="2"/>
          </rPr>
          <t xml:space="preserve">. </t>
        </r>
        <r>
          <rPr>
            <b/>
            <sz val="10"/>
            <color indexed="81"/>
            <rFont val="돋움"/>
            <family val="3"/>
            <charset val="129"/>
          </rPr>
          <t>스틱브레첼은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자동입력됩니다</t>
        </r>
        <r>
          <rPr>
            <b/>
            <sz val="10"/>
            <color indexed="81"/>
            <rFont val="Tahoma"/>
            <family val="2"/>
          </rPr>
          <t>.</t>
        </r>
      </text>
    </comment>
  </commentList>
</comments>
</file>

<file path=xl/comments32.xml><?xml version="1.0" encoding="utf-8"?>
<comments xmlns="http://schemas.openxmlformats.org/spreadsheetml/2006/main">
  <authors>
    <author>만든 이</author>
  </authors>
  <commentList>
    <comment ref="I13" authorId="0" shapeId="0">
      <text>
        <r>
          <rPr>
            <b/>
            <sz val="10"/>
            <color indexed="81"/>
            <rFont val="돋움"/>
            <family val="3"/>
            <charset val="129"/>
          </rPr>
          <t>입력 금지
수식 유지</t>
        </r>
      </text>
    </comment>
    <comment ref="I15" authorId="0" shapeId="0">
      <text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
수식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유지</t>
        </r>
      </text>
    </comment>
  </commentList>
</comments>
</file>

<file path=xl/sharedStrings.xml><?xml version="1.0" encoding="utf-8"?>
<sst xmlns="http://schemas.openxmlformats.org/spreadsheetml/2006/main" count="4028" uniqueCount="837">
  <si>
    <t>일 일 업 무 보 고 서</t>
    <phoneticPr fontId="4" type="noConversion"/>
  </si>
  <si>
    <t>일     시</t>
    <phoneticPr fontId="6" type="noConversion"/>
  </si>
  <si>
    <t>작성자</t>
    <phoneticPr fontId="4" type="noConversion"/>
  </si>
  <si>
    <t>지 점 명</t>
    <phoneticPr fontId="6" type="noConversion"/>
  </si>
  <si>
    <t>점</t>
    <phoneticPr fontId="6" type="noConversion"/>
  </si>
  <si>
    <t>날씨</t>
    <phoneticPr fontId="4" type="noConversion"/>
  </si>
  <si>
    <t>외부온도</t>
  </si>
  <si>
    <t>내부온도</t>
  </si>
  <si>
    <t>외부습도</t>
    <phoneticPr fontId="4" type="noConversion"/>
  </si>
  <si>
    <t>내부습도</t>
  </si>
  <si>
    <t>1. 금일
매출
실적</t>
    <phoneticPr fontId="6" type="noConversion"/>
  </si>
  <si>
    <t>실적</t>
    <phoneticPr fontId="6" type="noConversion"/>
  </si>
  <si>
    <t>매출액(원)</t>
    <phoneticPr fontId="6" type="noConversion"/>
  </si>
  <si>
    <t>매출건수(건)</t>
    <phoneticPr fontId="6" type="noConversion"/>
  </si>
  <si>
    <t>2. 제품
판매량</t>
    <phoneticPr fontId="4" type="noConversion"/>
  </si>
  <si>
    <t>제품명</t>
  </si>
  <si>
    <t>생산량(ea)</t>
    <phoneticPr fontId="4" type="noConversion"/>
  </si>
  <si>
    <t>손실량(ea)</t>
    <phoneticPr fontId="4" type="noConversion"/>
  </si>
  <si>
    <t>시식량(ea)</t>
    <phoneticPr fontId="4" type="noConversion"/>
  </si>
  <si>
    <t>기타(ea) In (+) / Out (-)</t>
    <phoneticPr fontId="4" type="noConversion"/>
  </si>
  <si>
    <t>재고량(ea)</t>
    <phoneticPr fontId="4" type="noConversion"/>
  </si>
  <si>
    <t>판매량(ea)</t>
    <phoneticPr fontId="4" type="noConversion"/>
  </si>
  <si>
    <t xml:space="preserve"> </t>
    <phoneticPr fontId="6" type="noConversion"/>
  </si>
  <si>
    <t>바게트</t>
    <phoneticPr fontId="6" type="noConversion"/>
  </si>
  <si>
    <t>바게트(H)</t>
    <phoneticPr fontId="6" type="noConversion"/>
  </si>
  <si>
    <t>화바게트</t>
    <phoneticPr fontId="6" type="noConversion"/>
  </si>
  <si>
    <t>화바게트(H)</t>
    <phoneticPr fontId="6" type="noConversion"/>
  </si>
  <si>
    <t>깜파뉴</t>
    <phoneticPr fontId="6" type="noConversion"/>
  </si>
  <si>
    <t>깜파뉴(H)</t>
    <phoneticPr fontId="6" type="noConversion"/>
  </si>
  <si>
    <t>식 빵</t>
    <phoneticPr fontId="6" type="noConversion"/>
  </si>
  <si>
    <t>식 빵(H)</t>
    <phoneticPr fontId="6" type="noConversion"/>
  </si>
  <si>
    <t>블랙올리브</t>
    <phoneticPr fontId="4" type="noConversion"/>
  </si>
  <si>
    <t xml:space="preserve">허 브 </t>
    <phoneticPr fontId="6" type="noConversion"/>
  </si>
  <si>
    <t xml:space="preserve">치아바타 </t>
  </si>
  <si>
    <t>화치아바타</t>
  </si>
  <si>
    <t xml:space="preserve">크로아상 </t>
    <phoneticPr fontId="6" type="noConversion"/>
  </si>
  <si>
    <t>뺑오쇼콜라</t>
    <phoneticPr fontId="6" type="noConversion"/>
  </si>
  <si>
    <t xml:space="preserve">플레인 스콘 </t>
    <phoneticPr fontId="6" type="noConversion"/>
  </si>
  <si>
    <t>크랜베리 스콘</t>
    <phoneticPr fontId="6" type="noConversion"/>
  </si>
  <si>
    <t>브 레 첼</t>
  </si>
  <si>
    <t>스틱브레첼</t>
    <phoneticPr fontId="4" type="noConversion"/>
  </si>
  <si>
    <t>버터브레첼</t>
    <phoneticPr fontId="6" type="noConversion"/>
  </si>
  <si>
    <t>합 계</t>
    <phoneticPr fontId="4" type="noConversion"/>
  </si>
  <si>
    <t>배 민</t>
    <phoneticPr fontId="6" type="noConversion"/>
  </si>
  <si>
    <t>제로페이</t>
  </si>
  <si>
    <t>4. 서비스내역 및
   손님 특이사항</t>
    <phoneticPr fontId="4" type="noConversion"/>
  </si>
  <si>
    <t>6. 매장
   관리</t>
    <phoneticPr fontId="6" type="noConversion"/>
  </si>
  <si>
    <t>시설/장비
특이사항</t>
    <phoneticPr fontId="4" type="noConversion"/>
  </si>
  <si>
    <t>청결/위생 
관련업무</t>
    <phoneticPr fontId="4" type="noConversion"/>
  </si>
  <si>
    <t>7. 지시 및 전달사항</t>
    <phoneticPr fontId="4" type="noConversion"/>
  </si>
  <si>
    <t>8. 내일 준비사항</t>
    <phoneticPr fontId="4" type="noConversion"/>
  </si>
  <si>
    <t>9. 직원 특이사항</t>
    <phoneticPr fontId="4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</si>
  <si>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</si>
  <si>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</si>
  <si>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</si>
  <si>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</si>
  <si>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</si>
  <si>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</si>
  <si>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</si>
  <si>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금일</t>
    <phoneticPr fontId="6" type="noConversion"/>
  </si>
  <si>
    <t>내일</t>
    <phoneticPr fontId="6" type="noConversion"/>
  </si>
  <si>
    <t>10. 시설 점검사항</t>
    <phoneticPr fontId="4" type="noConversion"/>
  </si>
  <si>
    <t>첫 출 근 자</t>
  </si>
  <si>
    <t>최 종 퇴 근 자</t>
  </si>
  <si>
    <t>위생/마감 점검</t>
    <phoneticPr fontId="4" type="noConversion"/>
  </si>
  <si>
    <t>최종 점검</t>
  </si>
  <si>
    <t>Paul &amp; Paulina</t>
  </si>
  <si>
    <t>POS 외 매출</t>
    <phoneticPr fontId="6" type="noConversion"/>
  </si>
  <si>
    <t>POS 매출</t>
    <phoneticPr fontId="6" type="noConversion"/>
  </si>
  <si>
    <t>총 매출</t>
    <phoneticPr fontId="6" type="noConversion"/>
  </si>
  <si>
    <t>총 매출액(원)</t>
    <phoneticPr fontId="6" type="noConversion"/>
  </si>
  <si>
    <t>총 매출건수(건)</t>
    <phoneticPr fontId="6" type="noConversion"/>
  </si>
  <si>
    <t>3. 예약 및 POS 외 매출</t>
    <phoneticPr fontId="4" type="noConversion"/>
  </si>
  <si>
    <t>5. 제품의견 / 손실</t>
    <phoneticPr fontId="4" type="noConversion"/>
  </si>
  <si>
    <t>매출건수(건)</t>
  </si>
  <si>
    <t>매출액(원)</t>
  </si>
  <si>
    <t>누계 매출액</t>
    <phoneticPr fontId="3" type="noConversion"/>
  </si>
  <si>
    <t>확인</t>
    <phoneticPr fontId="3" type="noConversion"/>
  </si>
  <si>
    <t>객단가</t>
    <phoneticPr fontId="3" type="noConversion"/>
  </si>
  <si>
    <t>구름빵</t>
    <phoneticPr fontId="3" type="noConversion"/>
  </si>
  <si>
    <t>무화과 호밀스틱</t>
    <phoneticPr fontId="3" type="noConversion"/>
  </si>
  <si>
    <t>2022 년 1 월</t>
    <phoneticPr fontId="3" type="noConversion"/>
  </si>
  <si>
    <t>누계생산량(ea)</t>
    <phoneticPr fontId="4" type="noConversion"/>
  </si>
  <si>
    <t>누계손실량(ea)</t>
    <phoneticPr fontId="4" type="noConversion"/>
  </si>
  <si>
    <t>누계시식량(ea)</t>
    <phoneticPr fontId="4" type="noConversion"/>
  </si>
  <si>
    <t>누계 기타(ea) In (+) / Out (-)</t>
    <phoneticPr fontId="4" type="noConversion"/>
  </si>
  <si>
    <t>누계재고량(ea)</t>
    <phoneticPr fontId="4" type="noConversion"/>
  </si>
  <si>
    <t>누계판매량(ea)</t>
    <phoneticPr fontId="4" type="noConversion"/>
  </si>
  <si>
    <t>치킨샌드위치</t>
    <phoneticPr fontId="3" type="noConversion"/>
  </si>
  <si>
    <t>햄치즈샌드위치</t>
    <phoneticPr fontId="3" type="noConversion"/>
  </si>
  <si>
    <t>쿠팡이츠</t>
    <phoneticPr fontId="6" type="noConversion"/>
  </si>
  <si>
    <t>배 민</t>
    <phoneticPr fontId="6" type="noConversion"/>
  </si>
  <si>
    <t>판매율</t>
    <phoneticPr fontId="6" type="noConversion"/>
  </si>
  <si>
    <t>로스율</t>
    <phoneticPr fontId="3" type="noConversion"/>
  </si>
  <si>
    <t>휴무</t>
    <phoneticPr fontId="4" type="noConversion"/>
  </si>
  <si>
    <t>휴가</t>
    <phoneticPr fontId="4" type="noConversion"/>
  </si>
  <si>
    <t>지각/조퇴</t>
    <phoneticPr fontId="4" type="noConversion"/>
  </si>
  <si>
    <t>지원</t>
    <phoneticPr fontId="4" type="noConversion"/>
  </si>
  <si>
    <t>생일</t>
    <phoneticPr fontId="4" type="noConversion"/>
  </si>
  <si>
    <t>신입</t>
    <phoneticPr fontId="4" type="noConversion"/>
  </si>
  <si>
    <t>기타사항</t>
    <phoneticPr fontId="4" type="noConversion"/>
  </si>
  <si>
    <t>위생/마감 점검</t>
    <phoneticPr fontId="4" type="noConversion"/>
  </si>
  <si>
    <t>재고율</t>
    <phoneticPr fontId="3" type="noConversion"/>
  </si>
  <si>
    <t>택배</t>
    <phoneticPr fontId="6" type="noConversion"/>
  </si>
  <si>
    <t>납품</t>
    <phoneticPr fontId="6" type="noConversion"/>
  </si>
  <si>
    <t>합계</t>
    <phoneticPr fontId="3" type="noConversion"/>
  </si>
  <si>
    <t>봄날깜빠뉴</t>
    <phoneticPr fontId="3" type="noConversion"/>
  </si>
  <si>
    <t>여름메밀빵</t>
    <phoneticPr fontId="3" type="noConversion"/>
  </si>
  <si>
    <t>여름메밀빵</t>
    <phoneticPr fontId="3" type="noConversion"/>
  </si>
  <si>
    <t>가을애깜빠뉴</t>
    <phoneticPr fontId="3" type="noConversion"/>
  </si>
  <si>
    <t>가을애깜빠뉴</t>
    <phoneticPr fontId="3" type="noConversion"/>
  </si>
  <si>
    <t>슈톨렌</t>
    <phoneticPr fontId="3" type="noConversion"/>
  </si>
  <si>
    <t>슈톨렌</t>
    <phoneticPr fontId="3" type="noConversion"/>
  </si>
  <si>
    <t>파네토네</t>
    <phoneticPr fontId="3" type="noConversion"/>
  </si>
  <si>
    <t>파네토네</t>
    <phoneticPr fontId="3" type="noConversion"/>
  </si>
  <si>
    <t>호라산 통밀</t>
    <phoneticPr fontId="3" type="noConversion"/>
  </si>
  <si>
    <t>호라산 통밀</t>
    <phoneticPr fontId="3" type="noConversion"/>
  </si>
  <si>
    <t>호밀비트</t>
    <phoneticPr fontId="3" type="noConversion"/>
  </si>
  <si>
    <t>호밀비트</t>
    <phoneticPr fontId="3" type="noConversion"/>
  </si>
  <si>
    <t>호밀후르츠</t>
    <phoneticPr fontId="3" type="noConversion"/>
  </si>
  <si>
    <t>호밀후르츠</t>
    <phoneticPr fontId="3" type="noConversion"/>
  </si>
  <si>
    <t>멜란자네</t>
    <phoneticPr fontId="3" type="noConversion"/>
  </si>
  <si>
    <t>멜란자네</t>
    <phoneticPr fontId="3" type="noConversion"/>
  </si>
  <si>
    <t>미니파네토네(여름)</t>
    <phoneticPr fontId="3" type="noConversion"/>
  </si>
  <si>
    <t>미니파네토네(여름)</t>
    <phoneticPr fontId="3" type="noConversion"/>
  </si>
  <si>
    <t>수프+샌드위치</t>
    <phoneticPr fontId="3" type="noConversion"/>
  </si>
  <si>
    <t>수프+샌드위치</t>
    <phoneticPr fontId="3" type="noConversion"/>
  </si>
  <si>
    <t>수프+빵</t>
    <phoneticPr fontId="3" type="noConversion"/>
  </si>
  <si>
    <t>수프+빵</t>
    <phoneticPr fontId="3" type="noConversion"/>
  </si>
  <si>
    <t>봄날깜빠뉴(H)</t>
    <phoneticPr fontId="3" type="noConversion"/>
  </si>
  <si>
    <t>봄날깜빠뉴(H)</t>
    <phoneticPr fontId="3" type="noConversion"/>
  </si>
  <si>
    <t>여름메밀빵(H)</t>
    <phoneticPr fontId="3" type="noConversion"/>
  </si>
  <si>
    <t>여름메밀빵(H)</t>
    <phoneticPr fontId="3" type="noConversion"/>
  </si>
  <si>
    <t>가을애깜빠뉴(H)</t>
    <phoneticPr fontId="3" type="noConversion"/>
  </si>
  <si>
    <t>가을애깜빠뉴(H)</t>
    <phoneticPr fontId="3" type="noConversion"/>
  </si>
  <si>
    <t xml:space="preserve">생산량 X, 재고량X, 판매량O, 시식량O, 손실량O </t>
  </si>
  <si>
    <t xml:space="preserve">손실량, 시식량 기준 : 수프 1잔 기준으로 절반 이하면 0.5 /절반 이상이면 1로 표기 </t>
    <phoneticPr fontId="3" type="noConversion"/>
  </si>
  <si>
    <t xml:space="preserve"> 기입X</t>
    <phoneticPr fontId="3" type="noConversion"/>
  </si>
  <si>
    <t>수동기입</t>
    <phoneticPr fontId="3" type="noConversion"/>
  </si>
  <si>
    <t>수식입력 되어 있으니 기입X</t>
    <phoneticPr fontId="3" type="noConversion"/>
  </si>
  <si>
    <t>(미니파네토네는 계절제품 상관없이 입력)</t>
    <phoneticPr fontId="3" type="noConversion"/>
  </si>
  <si>
    <t xml:space="preserve">선물 </t>
    <phoneticPr fontId="3" type="noConversion"/>
  </si>
  <si>
    <t xml:space="preserve">쿠팡 </t>
    <phoneticPr fontId="3" type="noConversion"/>
  </si>
  <si>
    <t>쿠팡잇츠 판매 내역</t>
    <phoneticPr fontId="3" type="noConversion"/>
  </si>
  <si>
    <t xml:space="preserve">배민 </t>
    <phoneticPr fontId="3" type="noConversion"/>
  </si>
  <si>
    <t xml:space="preserve">배달의민족 판매 내역 </t>
    <phoneticPr fontId="3" type="noConversion"/>
  </si>
  <si>
    <t>제로페이</t>
    <phoneticPr fontId="3" type="noConversion"/>
  </si>
  <si>
    <t xml:space="preserve">택배 </t>
    <phoneticPr fontId="3" type="noConversion"/>
  </si>
  <si>
    <t xml:space="preserve">택배 판매 내역 </t>
    <phoneticPr fontId="3" type="noConversion"/>
  </si>
  <si>
    <t xml:space="preserve">납품 </t>
    <phoneticPr fontId="3" type="noConversion"/>
  </si>
  <si>
    <t xml:space="preserve">월말결제를 주로 하는 모든 납품 업체 </t>
    <phoneticPr fontId="3" type="noConversion"/>
  </si>
  <si>
    <t xml:space="preserve">일일업무보고서 사용법 </t>
    <phoneticPr fontId="3" type="noConversion"/>
  </si>
  <si>
    <t xml:space="preserve">&lt;셀 색깔별 사용 법 &gt; </t>
    <phoneticPr fontId="3" type="noConversion"/>
  </si>
  <si>
    <t xml:space="preserve">&lt;메뉴 별 사용 법&gt; </t>
    <phoneticPr fontId="3" type="noConversion"/>
  </si>
  <si>
    <t xml:space="preserve">호밀시리즈 (호라산, 호밀후르츠, 호밀비트) </t>
    <phoneticPr fontId="3" type="noConversion"/>
  </si>
  <si>
    <t xml:space="preserve">생산량 X, 재고량X, 판매량O, 시식량O, 손실량O </t>
    <phoneticPr fontId="3" type="noConversion"/>
  </si>
  <si>
    <t xml:space="preserve">수프메뉴 </t>
    <phoneticPr fontId="3" type="noConversion"/>
  </si>
  <si>
    <t xml:space="preserve">* 일일업무 보고서에 숫자로 기입하는 것은 완제품 기준 입니다. </t>
    <phoneticPr fontId="3" type="noConversion"/>
  </si>
  <si>
    <t xml:space="preserve">* 생산 공정상 발생하는 손실은 손실보고서 작성 </t>
    <phoneticPr fontId="3" type="noConversion"/>
  </si>
  <si>
    <t xml:space="preserve">(손실보고서는 생산업무 전반에 발생하는 실수, 손해 모두 작성, 완제품으로 나오더라도 작성)  </t>
    <phoneticPr fontId="3" type="noConversion"/>
  </si>
  <si>
    <r>
      <t>* 일일업무보고서 내용 작성 누락 시 업무태도에 반영</t>
    </r>
    <r>
      <rPr>
        <sz val="11"/>
        <color theme="1"/>
        <rFont val="맑은 고딕"/>
        <family val="3"/>
        <charset val="129"/>
        <scheme val="minor"/>
      </rPr>
      <t>(제품의견, 서비스 내용은 출근직원은 반드시, 한줄이라도 작성할 것)</t>
    </r>
    <phoneticPr fontId="3" type="noConversion"/>
  </si>
  <si>
    <t>선물</t>
    <phoneticPr fontId="6" type="noConversion"/>
  </si>
  <si>
    <t>선물</t>
    <phoneticPr fontId="6" type="noConversion"/>
  </si>
  <si>
    <t>슈톨렌, 파네토네, 미니파네토네(여름),구름빵</t>
    <phoneticPr fontId="3" type="noConversion"/>
  </si>
  <si>
    <t>포스에 입력되지 않은 페이 결제 내역 (카카오, 서울페이 등), 계좌이체는 제외</t>
    <phoneticPr fontId="3" type="noConversion"/>
  </si>
  <si>
    <t>금액을 지불하지 않고 영업시간 내에 제공된 완제품(협찬 포함)</t>
    <phoneticPr fontId="3" type="noConversion"/>
  </si>
  <si>
    <t>오픈(김도현) : 반죽힘이 강해 물량 전체적으로 늘렸습니다./
냉장바게트가 평소에 비해 힘이 잘풀려있지않아 발효시간이 길어졌습니다.</t>
    <phoneticPr fontId="3" type="noConversion"/>
  </si>
  <si>
    <t>여의도</t>
    <phoneticPr fontId="3" type="noConversion"/>
  </si>
  <si>
    <t>2026년  5월  1일 ( 금요일)</t>
    <phoneticPr fontId="3" type="noConversion"/>
  </si>
  <si>
    <t>정희주</t>
    <phoneticPr fontId="3" type="noConversion"/>
  </si>
  <si>
    <t>27.5</t>
    <phoneticPr fontId="3" type="noConversion"/>
  </si>
  <si>
    <t>23</t>
    <phoneticPr fontId="3" type="noConversion"/>
  </si>
  <si>
    <t>맑음</t>
    <phoneticPr fontId="3" type="noConversion"/>
  </si>
  <si>
    <t>도현,희주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</si>
  <si>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</si>
  <si>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</si>
  <si>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</si>
  <si>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준모,용국</t>
    <phoneticPr fontId="3" type="noConversion"/>
  </si>
  <si>
    <t>세은,희주</t>
    <phoneticPr fontId="3" type="noConversion"/>
  </si>
  <si>
    <t>오픈(정희주) : 당일바게트 성형시 공기가 많이 차있었습니다. 바게트 성형 후 발효가 빨라 평소보다 이르게 발효 완료되었습니다.</t>
    <phoneticPr fontId="3" type="noConversion"/>
  </si>
  <si>
    <t xml:space="preserve">미들(김세은) : 브레첼 반죽에 덫가루 없이 믹싱 잘 해야 할 것 같습니다. / 크로와상 먹었을때 말라있는 느낌이였습니다. </t>
    <phoneticPr fontId="3" type="noConversion"/>
  </si>
  <si>
    <t>호밀빵 판매: 4개, (H) 4개/ 호밀쇼콜라오렌지 판매: 3개</t>
    <phoneticPr fontId="3" type="noConversion"/>
  </si>
  <si>
    <t>샌드위치를 종류별로 구매하시는 손님이 대부분이었습니다.</t>
    <phoneticPr fontId="3" type="noConversion"/>
  </si>
  <si>
    <t>일요일같은 분위기로 유동인구가 낮았습니다.</t>
    <phoneticPr fontId="3" type="noConversion"/>
  </si>
  <si>
    <t>가족단위 손님분들 많았고, 대부분 주차지원 요청하셨습니다.</t>
    <phoneticPr fontId="3" type="noConversion"/>
  </si>
  <si>
    <t>2026년  5월  2일 ( 토요일)</t>
    <phoneticPr fontId="3" type="noConversion"/>
  </si>
  <si>
    <t>여의도</t>
    <phoneticPr fontId="3" type="noConversion"/>
  </si>
  <si>
    <t>유준모</t>
    <phoneticPr fontId="3" type="noConversion"/>
  </si>
  <si>
    <t>구름</t>
    <phoneticPr fontId="3" type="noConversion"/>
  </si>
  <si>
    <t>25</t>
    <phoneticPr fontId="3" type="noConversion"/>
  </si>
  <si>
    <t>21</t>
    <phoneticPr fontId="3" type="noConversion"/>
  </si>
  <si>
    <t>바질치킨</t>
    <phoneticPr fontId="3" type="noConversion"/>
  </si>
  <si>
    <t>유준모(미들) : 호밀스틱 성형시 축축한 느낌 / 블랙올리브 반죽 특히 금방 풀려서 내일 반죽 체크 후 3번 접기 하겠습니다.</t>
    <phoneticPr fontId="3" type="noConversion"/>
  </si>
  <si>
    <t>파이실 에어컨, 정수기 동시에 사용시 차단기 내려갑니다 주의 해주세요.</t>
    <phoneticPr fontId="3" type="noConversion"/>
  </si>
  <si>
    <t>파브리키친 반죽 작업 했습니다.</t>
    <phoneticPr fontId="3" type="noConversion"/>
  </si>
  <si>
    <t>파브리키친 납품</t>
    <phoneticPr fontId="3" type="noConversion"/>
  </si>
  <si>
    <t>구름빵 반죽 작업</t>
    <phoneticPr fontId="3" type="noConversion"/>
  </si>
  <si>
    <t>세은, 희주</t>
    <phoneticPr fontId="3" type="noConversion"/>
  </si>
  <si>
    <t>윤경, 희주</t>
    <phoneticPr fontId="3" type="noConversion"/>
  </si>
  <si>
    <t>도현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</si>
  <si>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</si>
  <si>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</si>
  <si>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</si>
  <si>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 xml:space="preserve">무화과 럼에 담갔습니다. </t>
    <phoneticPr fontId="3" type="noConversion"/>
  </si>
  <si>
    <t xml:space="preserve">김윤희(미들) : 크로와상 볼륨감과 결이 잘 보였습니다. / 치아바타 구움색도 좋고, 내상이 촉촉하였습니다. </t>
    <phoneticPr fontId="3" type="noConversion"/>
  </si>
  <si>
    <t>박용국(마감) : 크로아상 반죽 4절1회 후 3절1회 하는 과정에서 성형에 필요한 cm를 재고 미는 법을 배웠습니다.</t>
    <phoneticPr fontId="3" type="noConversion"/>
  </si>
  <si>
    <t>호밀빵 판매: 4개, (H) 3개/ 호밀쇼콜라오렌지 판매: 5개</t>
    <phoneticPr fontId="3" type="noConversion"/>
  </si>
  <si>
    <t>화이트바게트는 12시, 브라운바게트는 1-2시쯤 품절되어 이후에도 찾으시는 손님많았습니다.</t>
    <phoneticPr fontId="3" type="noConversion"/>
  </si>
  <si>
    <t>식빵이 오전중에 수요가 높았습니다. /영종도에서 오신 손님 계셨습니다.</t>
    <phoneticPr fontId="3" type="noConversion"/>
  </si>
  <si>
    <t>살이 덜 찌는 빵을 고르시는 손님 계셨습니다. /4시 이후부터 방문이 뜸했습니다.</t>
    <phoneticPr fontId="3" type="noConversion"/>
  </si>
  <si>
    <t>2026년  5월  3일 ( 일요일)</t>
    <phoneticPr fontId="3" type="noConversion"/>
  </si>
  <si>
    <t>여의도</t>
    <phoneticPr fontId="3" type="noConversion"/>
  </si>
  <si>
    <t>유준모</t>
    <phoneticPr fontId="3" type="noConversion"/>
  </si>
  <si>
    <t>비</t>
    <phoneticPr fontId="3" type="noConversion"/>
  </si>
  <si>
    <t>15</t>
    <phoneticPr fontId="3" type="noConversion"/>
  </si>
  <si>
    <t>24</t>
    <phoneticPr fontId="3" type="noConversion"/>
  </si>
  <si>
    <t>바질치킨</t>
    <phoneticPr fontId="3" type="noConversion"/>
  </si>
  <si>
    <t>금일 파브리키친 납품 있었습니다.</t>
    <phoneticPr fontId="3" type="noConversion"/>
  </si>
  <si>
    <t>구름빵 반죽 작업했습니다.</t>
    <phoneticPr fontId="3" type="noConversion"/>
  </si>
  <si>
    <t>호두 구웠습니다.</t>
    <phoneticPr fontId="3" type="noConversion"/>
  </si>
  <si>
    <t>윤경, 희주</t>
    <phoneticPr fontId="3" type="noConversion"/>
  </si>
  <si>
    <t>도현, 윤경</t>
    <phoneticPr fontId="3" type="noConversion"/>
  </si>
  <si>
    <t>준모</t>
    <phoneticPr fontId="3" type="noConversion"/>
  </si>
  <si>
    <t>윤희</t>
    <phoneticPr fontId="3" type="noConversion"/>
  </si>
  <si>
    <t>용국</t>
    <phoneticPr fontId="3" type="noConversion"/>
  </si>
  <si>
    <t>용국</t>
    <phoneticPr fontId="3" type="noConversion"/>
  </si>
  <si>
    <t xml:space="preserve">유준모(오픈) : 바게트 반죽 냉, 당일 모두 3번 접었습니다. </t>
    <phoneticPr fontId="3" type="noConversion"/>
  </si>
  <si>
    <t xml:space="preserve">오전에 식빵과 깜빠뉴 같은 큰 빵을 찾으시는 손님이 많았습니다. </t>
    <phoneticPr fontId="3" type="noConversion"/>
  </si>
  <si>
    <t xml:space="preserve">날씨가 흐리고 비가 와서 배달 주문이 거의 없는편입니다. </t>
    <phoneticPr fontId="3" type="noConversion"/>
  </si>
  <si>
    <t xml:space="preserve">오후 2-3시 사이에 손님이 약간 몰리는 편이었습니다. </t>
    <phoneticPr fontId="3" type="noConversion"/>
  </si>
  <si>
    <t xml:space="preserve">4시 이후로 매장 방문해주시는 손님이 거의 없었습니다. </t>
    <phoneticPr fontId="3" type="noConversion"/>
  </si>
  <si>
    <t xml:space="preserve">김윤희(마감) : 당일 바게트 바삭하고 단맛이 잘 올라왔으나, 껍질이 약간 두꺼웠습니다. </t>
    <phoneticPr fontId="3" type="noConversion"/>
  </si>
  <si>
    <t>2026년  5월  4일 ( 화요일)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</si>
  <si>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</si>
  <si>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</si>
  <si>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</si>
  <si>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22</t>
    <phoneticPr fontId="3" type="noConversion"/>
  </si>
  <si>
    <t>25</t>
    <phoneticPr fontId="3" type="noConversion"/>
  </si>
  <si>
    <t>유준모(오픈) : 냉장 바게트 반죽 3번 접었습니다. / 당일 바게트 반죽 1차 발효 부족해 보였습니다.</t>
    <phoneticPr fontId="3" type="noConversion"/>
  </si>
  <si>
    <t>금일 심팩홀딩스 납품 있었습니다.</t>
    <phoneticPr fontId="3" type="noConversion"/>
  </si>
  <si>
    <t>연희동으로 청크 초콜렛 400g 이관 했습니다. (셰프님께서)</t>
    <phoneticPr fontId="3" type="noConversion"/>
  </si>
  <si>
    <t>내일 어린이날 휴무로 심팩 납품 없습니다.</t>
    <phoneticPr fontId="3" type="noConversion"/>
  </si>
  <si>
    <t>도현, 윤경</t>
    <phoneticPr fontId="3" type="noConversion"/>
  </si>
  <si>
    <t>세은, 용국</t>
    <phoneticPr fontId="3" type="noConversion"/>
  </si>
  <si>
    <t>준모</t>
    <phoneticPr fontId="3" type="noConversion"/>
  </si>
  <si>
    <t>윤희</t>
    <phoneticPr fontId="3" type="noConversion"/>
  </si>
  <si>
    <t>용국</t>
    <phoneticPr fontId="3" type="noConversion"/>
  </si>
  <si>
    <t>용국</t>
    <phoneticPr fontId="3" type="noConversion"/>
  </si>
  <si>
    <t xml:space="preserve">김세은(미들) : 바게트 껍질이 살짝 두꺼웠으나, 끝맛이 고소했습니다. </t>
    <phoneticPr fontId="3" type="noConversion"/>
  </si>
  <si>
    <t>정희주(미들) : 스콘 식감이 빵같고 버터향이 조금 부족했습니다. 치아바타 힘이 강해 2차발효 충분히 봤습니다.</t>
    <phoneticPr fontId="3" type="noConversion"/>
  </si>
  <si>
    <t xml:space="preserve">박용국(마감) : 치아바타를 오븐에 넣는 과정에서 간격 사이가 좁아 서로 붙어서 구워졌습니다. </t>
    <phoneticPr fontId="3" type="noConversion"/>
  </si>
  <si>
    <t xml:space="preserve">오전 시간에는 손님이 저조한 편이었으나, 점심시간 즈음에 손님이 조금 몰리는 편이었습니다. </t>
    <phoneticPr fontId="3" type="noConversion"/>
  </si>
  <si>
    <t xml:space="preserve">다음 계절 깜빠뉴 찾으시는 손님이 꽤 있었습니다, </t>
    <phoneticPr fontId="3" type="noConversion"/>
  </si>
  <si>
    <t>치아바타 3시즈음에 모두 품절되었습니다. / 허브와 블랙올리브 5시즈음에 모두 품절되었습니다.</t>
    <phoneticPr fontId="3" type="noConversion"/>
  </si>
  <si>
    <t>금일 크렌베리 스콘과 조각빵을 제외한 빵 모두 품절되었습니다.</t>
    <phoneticPr fontId="3" type="noConversion"/>
  </si>
  <si>
    <t>2026년  5월  5일 ( 화요일)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</si>
  <si>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</si>
  <si>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</si>
  <si>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</si>
  <si>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24</t>
    <phoneticPr fontId="3" type="noConversion"/>
  </si>
  <si>
    <t>20</t>
    <phoneticPr fontId="3" type="noConversion"/>
  </si>
  <si>
    <t>바질치킨</t>
    <phoneticPr fontId="3" type="noConversion"/>
  </si>
  <si>
    <t>유준모(오픈) : 크로아상 반죽 가다마리 조금 있었습니다. / 무화과호밀스틱 반죽 작업때 조정수 안들어가도 될거 같습니다.</t>
    <phoneticPr fontId="3" type="noConversion"/>
  </si>
  <si>
    <t>세은, 용국</t>
    <phoneticPr fontId="3" type="noConversion"/>
  </si>
  <si>
    <t>준모, 윤희</t>
    <phoneticPr fontId="3" type="noConversion"/>
  </si>
  <si>
    <t>준모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</si>
  <si>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</si>
  <si>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</si>
  <si>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</si>
  <si>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호밀빵 판매: 2개, (H) 1개/ 호밀쇼콜라오렌지: 1개</t>
    <phoneticPr fontId="3" type="noConversion"/>
  </si>
  <si>
    <t>정희주(미들) : 브레첼 성형시 조금 수축하는 느낌이 들었습니다. 스콘 믹싱이 살짝 많았던 것 같습니다.</t>
    <phoneticPr fontId="3" type="noConversion"/>
  </si>
  <si>
    <t>어린이 손님이 평소보다 많이 방문했습니다.</t>
    <phoneticPr fontId="3" type="noConversion"/>
  </si>
  <si>
    <t>유동인구가 낮았고, 객단가도 평소보다 많이 낮았습니다.</t>
    <phoneticPr fontId="3" type="noConversion"/>
  </si>
  <si>
    <t>계절깜빠뉴(봄, 여름)가 있는지 문의가 4건 정도 있었습니다.</t>
    <phoneticPr fontId="3" type="noConversion"/>
  </si>
  <si>
    <t>노란박스, 냉장고 필터 청소하였습니다.</t>
    <phoneticPr fontId="3" type="noConversion"/>
  </si>
  <si>
    <t>심팩홀딩스 납품 있습니다.</t>
    <phoneticPr fontId="3" type="noConversion"/>
  </si>
  <si>
    <t xml:space="preserve">김윤희(마감) : 크로와상 살짝 수축되어 나왔습니다. 치아바타 구움색과 크기 모두 좋았습니다. </t>
    <phoneticPr fontId="3" type="noConversion"/>
  </si>
  <si>
    <t>24</t>
    <phoneticPr fontId="3" type="noConversion"/>
  </si>
  <si>
    <t>2026 년  5월  6일 ( 수요일)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</si>
  <si>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</si>
  <si>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</si>
  <si>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</si>
  <si>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23</t>
    <phoneticPr fontId="3" type="noConversion"/>
  </si>
  <si>
    <t xml:space="preserve">오픈(김세은) : 치아바타 껍질이 얇고 바삭했습니다. 고소한 맛이 잘 났습니다. </t>
    <phoneticPr fontId="3" type="noConversion"/>
  </si>
  <si>
    <t>준모,윤희</t>
    <phoneticPr fontId="3" type="noConversion"/>
  </si>
  <si>
    <t>준모,윤희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</si>
  <si>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</si>
  <si>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</si>
  <si>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</si>
  <si>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</si>
  <si>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100%호밀빵 납품 예정으로 내일  50개 생산 예정입니다.</t>
    <phoneticPr fontId="3" type="noConversion"/>
  </si>
  <si>
    <t>셰프님</t>
    <phoneticPr fontId="3" type="noConversion"/>
  </si>
  <si>
    <t>미들(김도현) : 금일 나온 바게트 구움색 좋고 기공도 잘 열려있었습니다./
스콘 굽기전 냉이 많이 풀려있어 보기엔 살짝 퍼져있었지만 바삭한식감있었고 버터 풍미도 좋았습니다.</t>
    <phoneticPr fontId="3" type="noConversion"/>
  </si>
  <si>
    <t>미들(정희주) : 스콘 구워질때 버터가 조금 새어나왔습니다. 치아바타 평소 온습도로 7~80프로정도 발효보다가 도우컨 끈 상태로 천천히 발효 마무리했습니다.</t>
    <phoneticPr fontId="3" type="noConversion"/>
  </si>
  <si>
    <t>스콘이 스콘같지 않은 식감이라며 긍정적인 뉘앙스의 시식평이 2번 있었습니다.</t>
    <phoneticPr fontId="3" type="noConversion"/>
  </si>
  <si>
    <t>오전~점심 즈음에 바질치킨 샌드위치 품절되었습니다.</t>
    <phoneticPr fontId="3" type="noConversion"/>
  </si>
  <si>
    <t>통밀식빵 문의 있었습니다.</t>
    <phoneticPr fontId="3" type="noConversion"/>
  </si>
  <si>
    <t>마감(박용국) : 올리브랑 깜빠뉴 빵을 넣는 과정에서 서로 붙는 상황이 발생하여 넣는 연습을 많이 해야 할 것 같습니다.</t>
    <phoneticPr fontId="3" type="noConversion"/>
  </si>
  <si>
    <t>호밀빵 판매: 4개, (H) 4개 호밀쇼콜라오렌지 판매:5개</t>
    <phoneticPr fontId="3" type="noConversion"/>
  </si>
  <si>
    <t>2026 년  5월  7일 ( 목요일)</t>
    <phoneticPr fontId="3" type="noConversion"/>
  </si>
  <si>
    <t>여의도</t>
    <phoneticPr fontId="3" type="noConversion"/>
  </si>
  <si>
    <t>김세은</t>
    <phoneticPr fontId="3" type="noConversion"/>
  </si>
  <si>
    <t>16</t>
    <phoneticPr fontId="3" type="noConversion"/>
  </si>
  <si>
    <t>흐림</t>
    <phoneticPr fontId="3" type="noConversion"/>
  </si>
  <si>
    <t>25</t>
    <phoneticPr fontId="3" type="noConversion"/>
  </si>
  <si>
    <t xml:space="preserve">오픈(김세은) : 밀가루 1월달제분으로 바뀌어 전체적으로 물량 2%씩 줄일 예정입니다. </t>
    <phoneticPr fontId="3" type="noConversion"/>
  </si>
  <si>
    <t>솔른 깜빠뉴 10개 납품 완료 하였습니다.</t>
    <phoneticPr fontId="3" type="noConversion"/>
  </si>
  <si>
    <t xml:space="preserve">100%호밀 50개 준비 완료 하였습니다. </t>
    <phoneticPr fontId="3" type="noConversion"/>
  </si>
  <si>
    <t xml:space="preserve">르한스 100%호밀 50개 납품 있습니다. </t>
    <phoneticPr fontId="3" type="noConversion"/>
  </si>
  <si>
    <t>윤희,준모</t>
    <phoneticPr fontId="3" type="noConversion"/>
  </si>
  <si>
    <t>용국,희주</t>
    <phoneticPr fontId="3" type="noConversion"/>
  </si>
  <si>
    <t>도현,세은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</si>
  <si>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</si>
  <si>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</si>
  <si>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</si>
  <si>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바질치킨샌드위치</t>
    <phoneticPr fontId="3" type="noConversion"/>
  </si>
  <si>
    <t>오픈(김도현) : 금일 반죽 전체적으로 물을 뿜어내는 느낌이 강하고 비가와 습한 기운이 있었습니다.</t>
    <phoneticPr fontId="3" type="noConversion"/>
  </si>
  <si>
    <t>미들(정희주) : 빵이 전체적으로 축축해서 천에 많이 달라붙었습니다. 크로와상 반죽 성형시 축축했지만 냉이 빨리 풀리지는 않았습니다.</t>
    <phoneticPr fontId="3" type="noConversion"/>
  </si>
  <si>
    <t>박용국 (마감) : 스콘을 시식 하였는데 겉은 바삭하고 속은 약간의 퍼석한 느낌이 있어서 믹싱을 더 줄여야 할 것 같습니다.</t>
    <phoneticPr fontId="3" type="noConversion"/>
  </si>
  <si>
    <t>화이트치아바타를 6~9개씩 구매해가시는 손님 3분 정도 계셨습니다.</t>
    <phoneticPr fontId="3" type="noConversion"/>
  </si>
  <si>
    <t>뻉오쇼콜라를 자주 사먹었는데 3개월 전에 먹었던 뻉오쇼콜라는 바삭하지않고 맛이 없었다며, 만드는 분이 바뀌었냐는 문의가 있었습니다. 뻉오쇼콜라 시식을 해드리고 오늘은 어떠신지 말씀 부탁드렸더니 예전 그때보다는 나아졌으나 매번 사먹던 때보다는 덜 바삭하다고 말씀하셨습니다. 좀 더 신경쓰겠다고 말씀드렸습니다.</t>
    <phoneticPr fontId="3" type="noConversion"/>
  </si>
  <si>
    <t>오후 3-4시에 비가 갑작스레 내리면서 방문이 줄었습니다.</t>
    <phoneticPr fontId="3" type="noConversion"/>
  </si>
  <si>
    <t>호밀빵 판매: 2개, (H) 6개/ 호밀쇼콜라오렌지 판매:4개</t>
    <phoneticPr fontId="3" type="noConversion"/>
  </si>
  <si>
    <t>2026 년  5월  8일 ( 금요일)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</si>
  <si>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</si>
  <si>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</si>
  <si>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</si>
  <si>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24</t>
    <phoneticPr fontId="3" type="noConversion"/>
  </si>
  <si>
    <t>20</t>
    <phoneticPr fontId="3" type="noConversion"/>
  </si>
  <si>
    <t xml:space="preserve">오픈(김세은) : 바게트 물량 2% 줄여 81% 입니다. 크로와상도 20.5-&gt;20%로 낮췄습니다. </t>
    <phoneticPr fontId="3" type="noConversion"/>
  </si>
  <si>
    <t xml:space="preserve">르한스 호밀100% 납품 완료 했습니다. </t>
    <phoneticPr fontId="3" type="noConversion"/>
  </si>
  <si>
    <t xml:space="preserve">올리브 구웠습니다. </t>
    <phoneticPr fontId="3" type="noConversion"/>
  </si>
  <si>
    <t>용국,희주</t>
    <phoneticPr fontId="3" type="noConversion"/>
  </si>
  <si>
    <t>도현,세은</t>
    <phoneticPr fontId="3" type="noConversion"/>
  </si>
  <si>
    <t>세은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</si>
  <si>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</si>
  <si>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</si>
  <si>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</si>
  <si>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미들(유준모) : 치아바타 반죽 힘 쌔고 발효 평소보다 늦었습니다. 바게트 반죽들 겉면 축축한 느낌</t>
    <phoneticPr fontId="3" type="noConversion"/>
  </si>
  <si>
    <t>대표님께서 비품 이관 해주셨습니다.</t>
    <phoneticPr fontId="3" type="noConversion"/>
  </si>
  <si>
    <t>1`</t>
    <phoneticPr fontId="3" type="noConversion"/>
  </si>
  <si>
    <t>깜빠뉴 수요가 높았습니다./ 바게트는 2-3시, 깜빠뉴는 3-4시에 조기품절되었습니다.</t>
    <phoneticPr fontId="3" type="noConversion"/>
  </si>
  <si>
    <t>당일 예약만 15건 이상었습니다.</t>
    <phoneticPr fontId="3" type="noConversion"/>
  </si>
  <si>
    <t>퇴근시간대(6-7시) 손님들이 빵이 없어서 구매하지못하고 돌아가셨습니다.</t>
    <phoneticPr fontId="3" type="noConversion"/>
  </si>
  <si>
    <t>2026년  5월  9일 ( 토요일)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</si>
  <si>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</si>
  <si>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</si>
  <si>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</si>
  <si>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23</t>
    <phoneticPr fontId="3" type="noConversion"/>
  </si>
  <si>
    <t>21</t>
    <phoneticPr fontId="3" type="noConversion"/>
  </si>
  <si>
    <t>유준모(오픈) : 식빵 2단 믹싱이 조금 많았습니다. / 크로아상 물량 조금 줄여도 될거 같습니다. (현재 20)</t>
    <phoneticPr fontId="3" type="noConversion"/>
  </si>
  <si>
    <t>호두 구웠습니다. / 파브리키친 반죽 작업 했습니다.</t>
    <phoneticPr fontId="3" type="noConversion"/>
  </si>
  <si>
    <t>파브리키친 납품</t>
    <phoneticPr fontId="3" type="noConversion"/>
  </si>
  <si>
    <t>구름빵 반죽 작업</t>
    <phoneticPr fontId="3" type="noConversion"/>
  </si>
  <si>
    <t>세은, 도현</t>
    <phoneticPr fontId="3" type="noConversion"/>
  </si>
  <si>
    <t>준모, 윤희</t>
    <phoneticPr fontId="3" type="noConversion"/>
  </si>
  <si>
    <t>준모</t>
    <phoneticPr fontId="3" type="noConversion"/>
  </si>
  <si>
    <t>윤경</t>
    <phoneticPr fontId="3" type="noConversion"/>
  </si>
  <si>
    <t>용국</t>
    <phoneticPr fontId="3" type="noConversion"/>
  </si>
  <si>
    <t>크렌베리 럼에 담궜습니다.</t>
    <phoneticPr fontId="3" type="noConversion"/>
  </si>
  <si>
    <t xml:space="preserve">김윤희(미들) : 스콘 식감이나 버터의 풍미는 좋았으나, 버터가 세어나왔습니다. / 스콘 되기가 질어서 내일 물양 줄여도 될 거 같습니다. </t>
    <phoneticPr fontId="3" type="noConversion"/>
  </si>
  <si>
    <t>구웠더니 상태 괜찮았습니다 내상,맛도 좋았습니다.</t>
    <phoneticPr fontId="3" type="noConversion"/>
  </si>
  <si>
    <t xml:space="preserve">정희주(미들) : 치아바타 발효 속도가 평소보다 빨라서 최대한 조심히 옮긴 다음 스팀 짧게 주고 윗불 살짝 올려 </t>
    <phoneticPr fontId="3" type="noConversion"/>
  </si>
  <si>
    <t>박용국(마감) : 버터의 크기 편차가 있어서 반죽에 넣고 밀고 난 후 반죽의 모양이 일정하지 않았고 되기 조절에 있어 미흡하여 버터가 깨지는 결과가 있었습니다, 되기조절을 좀 더 여유있게 봐도 될 거 같습니다.</t>
    <phoneticPr fontId="3" type="noConversion"/>
  </si>
  <si>
    <t>호밀빵 판매: 4개, (H) 7개/ 호밀쇼콜라오렌지: 2개</t>
    <phoneticPr fontId="3" type="noConversion"/>
  </si>
  <si>
    <t>2-3시에 바게트와 깜빠뉴가 조기품절되었습니다.</t>
    <phoneticPr fontId="3" type="noConversion"/>
  </si>
  <si>
    <t>오픈 직후와 2시즈음에 손님이 줄을 섰습니다./ 바게트, 깜빠뉴, 식빵, 샌드위치의 수요가 높았습니다.</t>
    <phoneticPr fontId="3" type="noConversion"/>
  </si>
  <si>
    <t>구름빵 시식 반응이 좋았습니다.</t>
    <phoneticPr fontId="3" type="noConversion"/>
  </si>
  <si>
    <t>2026 년  5월  10일 ( 일요일)</t>
    <phoneticPr fontId="3" type="noConversion"/>
  </si>
  <si>
    <t>여의도</t>
    <phoneticPr fontId="3" type="noConversion"/>
  </si>
  <si>
    <t>김세은</t>
    <phoneticPr fontId="3" type="noConversion"/>
  </si>
  <si>
    <t>23</t>
    <phoneticPr fontId="3" type="noConversion"/>
  </si>
  <si>
    <t>24</t>
    <phoneticPr fontId="3" type="noConversion"/>
  </si>
  <si>
    <t>흐림</t>
    <phoneticPr fontId="3" type="noConversion"/>
  </si>
  <si>
    <t xml:space="preserve">오픈(김세은) : 치아바타, 바게트 힘이 센 편이라 조정수 100g 씩 더 넣었습니다. </t>
    <phoneticPr fontId="3" type="noConversion"/>
  </si>
  <si>
    <t xml:space="preserve">파브리 깜빠뉴 40개 납품 완료 했습니다. </t>
    <phoneticPr fontId="3" type="noConversion"/>
  </si>
  <si>
    <t>윤경,윤희,준모</t>
    <phoneticPr fontId="3" type="noConversion"/>
  </si>
  <si>
    <t>윤경,도현</t>
    <phoneticPr fontId="3" type="noConversion"/>
  </si>
  <si>
    <t>세은</t>
    <phoneticPr fontId="3" type="noConversion"/>
  </si>
  <si>
    <t>희주</t>
    <phoneticPr fontId="3" type="noConversion"/>
  </si>
  <si>
    <t>용국</t>
    <phoneticPr fontId="3" type="noConversion"/>
  </si>
  <si>
    <t>용국</t>
    <phoneticPr fontId="3" type="noConversion"/>
  </si>
  <si>
    <t>미들(김도현) : 식빵 2차발효 힘이 약해 구워졌을때 오븐스프링 약했습니다.(2차발효도 오래 걸렸습니다.)</t>
    <phoneticPr fontId="3" type="noConversion"/>
  </si>
  <si>
    <t>전체 빵 이르게 품절됐습니다.</t>
    <phoneticPr fontId="3" type="noConversion"/>
  </si>
  <si>
    <t>일요일 오픈 모르고 계시는 손님분들께 안내 도와드렸습니다.</t>
    <phoneticPr fontId="3" type="noConversion"/>
  </si>
  <si>
    <t>첫방문 손님 많았고 치아바타류 많이 구매하셨습니다.</t>
    <phoneticPr fontId="3" type="noConversion"/>
  </si>
  <si>
    <t xml:space="preserve">마감(박용국) : 브레첼 반죽이 힘이 강하다 하여 조정수 10g 추가로 넣어 반죽 하였습니다. </t>
    <phoneticPr fontId="3" type="noConversion"/>
  </si>
  <si>
    <t>2026 년  5월  11일 ( 월요일)</t>
    <phoneticPr fontId="3" type="noConversion"/>
  </si>
  <si>
    <t>여의도</t>
    <phoneticPr fontId="3" type="noConversion"/>
  </si>
  <si>
    <t>김세은</t>
    <phoneticPr fontId="3" type="noConversion"/>
  </si>
  <si>
    <t>21</t>
    <phoneticPr fontId="3" type="noConversion"/>
  </si>
  <si>
    <t>25</t>
    <phoneticPr fontId="3" type="noConversion"/>
  </si>
  <si>
    <t>흐림</t>
    <phoneticPr fontId="3" type="noConversion"/>
  </si>
  <si>
    <t xml:space="preserve">오픈(김세은) : 치아바타 껍질이 얇고 풍미가 좋았습니다. 속도 윤기나게 나왔습니다. </t>
    <phoneticPr fontId="3" type="noConversion"/>
  </si>
  <si>
    <t xml:space="preserve">심팩 납품 완료 했습니다. </t>
    <phoneticPr fontId="3" type="noConversion"/>
  </si>
  <si>
    <t>크랜베리소분  완, 올리브 구웠습니다.</t>
    <phoneticPr fontId="3" type="noConversion"/>
  </si>
  <si>
    <t xml:space="preserve">도우컨 설정이 냉동으로 되어있어 식빵 발효 오래 했음에도 크지 않아 판매하지 못하였습니다. </t>
    <phoneticPr fontId="3" type="noConversion"/>
  </si>
  <si>
    <t>윤경,도현</t>
    <phoneticPr fontId="3" type="noConversion"/>
  </si>
  <si>
    <t>도현,용국</t>
    <phoneticPr fontId="3" type="noConversion"/>
  </si>
  <si>
    <t>세은</t>
    <phoneticPr fontId="3" type="noConversion"/>
  </si>
  <si>
    <t>희주</t>
    <phoneticPr fontId="3" type="noConversion"/>
  </si>
  <si>
    <t>용국</t>
    <phoneticPr fontId="3" type="noConversion"/>
  </si>
  <si>
    <t>미들(유준모) : 바게트 반죽 전체적으로 겉면 축축한 느낌 들었습니다. / 브레첼 반죽 해동 느렸습니다. /스콘 밀가루 작업 전 냉장고에 들어가야 할거 같습니다.</t>
    <phoneticPr fontId="3" type="noConversion"/>
  </si>
  <si>
    <t xml:space="preserve">미들(김윤희) : 바게트 맛과 버터의 풍미는 좋았으나, 껍질이 약간 눅눅하였습니다. </t>
    <phoneticPr fontId="3" type="noConversion"/>
  </si>
  <si>
    <t>마감(박용국) : 스콘 반죽 후 반죽온도가 높아서 작업전에 냉장고에 넣어야 될 거 같다는 피드백을 받았습니다.</t>
    <phoneticPr fontId="3" type="noConversion"/>
  </si>
  <si>
    <t>호밀빵 판매: 1개, (H) 11개/ 호밀쇼콜라오렌지 판매: 4개</t>
    <phoneticPr fontId="3" type="noConversion"/>
  </si>
  <si>
    <t>호밀빵 판매: 1개, (H) 4개</t>
    <phoneticPr fontId="3" type="noConversion"/>
  </si>
  <si>
    <t>우천 대비 배달 주문건이 적었습니다.</t>
    <phoneticPr fontId="3" type="noConversion"/>
  </si>
  <si>
    <t>갈색 바게트 찾는 손님분들 많았습니다.</t>
    <phoneticPr fontId="3" type="noConversion"/>
  </si>
  <si>
    <t>점심까지는 손님 방문이 뜸하다가 늦은 오후쯤부터 꾸준히 방문하여 빵 전체적으로 고르게 판매 완료되었습니다.</t>
    <phoneticPr fontId="3" type="noConversion"/>
  </si>
  <si>
    <t>26</t>
    <phoneticPr fontId="3" type="noConversion"/>
  </si>
  <si>
    <t>23</t>
    <phoneticPr fontId="3" type="noConversion"/>
  </si>
  <si>
    <t>김세은</t>
    <phoneticPr fontId="3" type="noConversion"/>
  </si>
  <si>
    <t>2026 년  5월  12일 ( 화요일)</t>
    <phoneticPr fontId="3" type="noConversion"/>
  </si>
  <si>
    <t>여의도</t>
    <phoneticPr fontId="3" type="noConversion"/>
  </si>
  <si>
    <t>흐림</t>
    <phoneticPr fontId="3" type="noConversion"/>
  </si>
  <si>
    <t xml:space="preserve">무화과 담궜습니다. </t>
    <phoneticPr fontId="3" type="noConversion"/>
  </si>
  <si>
    <t>도현,용국</t>
    <phoneticPr fontId="3" type="noConversion"/>
  </si>
  <si>
    <t>윤희,희주</t>
    <phoneticPr fontId="3" type="noConversion"/>
  </si>
  <si>
    <t>세은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</si>
  <si>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</si>
  <si>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</si>
  <si>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</si>
  <si>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미들(유준모) : 냉장 바게트 발효 많았습니다. / 식빵 불안정하게 생산 되었습니다.</t>
    <phoneticPr fontId="3" type="noConversion"/>
  </si>
  <si>
    <t xml:space="preserve"> 오픈(김세은) : 치아바타 반죽이 10월달 밀가루라 힘있게 쳤는데 조정수 조금 더 넣었어야 했던 것 같습니다.</t>
    <phoneticPr fontId="3" type="noConversion"/>
  </si>
  <si>
    <t>미들(정희주) : 전체적으로 빵이 빠르게 발효되었습니다./ 파이버터 모서리쪽으로 버터가 많이 쏠려있어 일정하게 미는것이 필요해 보입니다.</t>
    <phoneticPr fontId="3" type="noConversion"/>
  </si>
  <si>
    <t xml:space="preserve">마감(김윤희) : 치아바타 힘이 셌습니다. 발효를 조금 더 충분히 봐야합니다. 대표님께 피드백 받았습니다. </t>
    <phoneticPr fontId="3" type="noConversion"/>
  </si>
  <si>
    <t>박텔 오븐 청소하였습니다.</t>
    <phoneticPr fontId="3" type="noConversion"/>
  </si>
  <si>
    <t xml:space="preserve">심팩홀딩스 납품 있습니다. </t>
    <phoneticPr fontId="3" type="noConversion"/>
  </si>
  <si>
    <t xml:space="preserve">렉카 청소하였습니다. </t>
    <phoneticPr fontId="3" type="noConversion"/>
  </si>
  <si>
    <t>호밀빵 판매: 7개, (H) 4개</t>
    <phoneticPr fontId="3" type="noConversion"/>
  </si>
  <si>
    <t>통곡물 빵으로 만든 샌드위치 신제품 요청 있었습니다./ 뻉오쇼콜라와 샌드위치 수요가 높아 1-2시 조기품절되었습니다.</t>
    <phoneticPr fontId="3" type="noConversion"/>
  </si>
  <si>
    <t>바게트를 더 많이 만들어달라는 손님이 계셨습니다. 바게트는 3시 품절되었습니다.</t>
    <phoneticPr fontId="3" type="noConversion"/>
  </si>
  <si>
    <t>수프 구매문의가 3건 있었습니다. / 6시 30분에 전제품 품절되었습니다.</t>
    <phoneticPr fontId="3" type="noConversion"/>
  </si>
  <si>
    <t>여의도</t>
    <phoneticPr fontId="3" type="noConversion"/>
  </si>
  <si>
    <t>29</t>
    <phoneticPr fontId="3" type="noConversion"/>
  </si>
  <si>
    <t>김세은</t>
    <phoneticPr fontId="3" type="noConversion"/>
  </si>
  <si>
    <t>2026 년  5월  13일 ( 수요일)</t>
    <phoneticPr fontId="3" type="noConversion"/>
  </si>
  <si>
    <t>맑음</t>
    <phoneticPr fontId="3" type="noConversion"/>
  </si>
  <si>
    <t>23</t>
    <phoneticPr fontId="3" type="noConversion"/>
  </si>
  <si>
    <t xml:space="preserve">오픈(김세은) : 에어컨 고장으로 실내온도가 높아져 전체적으로 발효가 빨랐습니다. 내일 물량 1%씩 줄일 예정입니다. </t>
    <phoneticPr fontId="3" type="noConversion"/>
  </si>
  <si>
    <t>오븐 앞, 컨시어즈 구간 에어컨 둘 다 고장이 있어 수리 기사님 오셔서 견적 주고 가셨습니다.</t>
    <phoneticPr fontId="3" type="noConversion"/>
  </si>
  <si>
    <t xml:space="preserve">심팩 납품 있습니다. </t>
    <phoneticPr fontId="3" type="noConversion"/>
  </si>
  <si>
    <t>윤희,희주</t>
    <phoneticPr fontId="3" type="noConversion"/>
  </si>
  <si>
    <t>준모,희주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</si>
  <si>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</si>
  <si>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</si>
  <si>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</si>
  <si>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</si>
  <si>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미들(유준모) : 브레첼 반죽 마르메 전 발효 많았습니다. / 뺑오쇼콜라 성형 때 겉 면 축축한 느낌 들었습니다.</t>
    <phoneticPr fontId="3" type="noConversion"/>
  </si>
  <si>
    <t>14일(목) 부터 온도가 급격히 오릅니다 제품 생산에 참고 바랍니다.</t>
    <phoneticPr fontId="3" type="noConversion"/>
  </si>
  <si>
    <t>마감(박용국) : 스콘반죽이 실내온도가 높아서 인지 평소보다 질었습니다 / 올리브 구울 때 스팀을 깜박하고 쏘지 못 했습니다, 스팀을 항시 인지하겠습니다,</t>
    <phoneticPr fontId="3" type="noConversion"/>
  </si>
  <si>
    <t>호밀빵 판매: 3개, (H) 8개/ 호밀쇼콜라오렌지 8개</t>
    <phoneticPr fontId="3" type="noConversion"/>
  </si>
  <si>
    <t>수프 구매 문의 1번 있었습니다/ 할머니 단골 손님께서 처음으로 빵을 썰어달라고 부탁하셨습니다. 가위까지 구매했지만 썰기가 너무 어렵다고 속상해하셨습니다.</t>
    <phoneticPr fontId="3" type="noConversion"/>
  </si>
  <si>
    <t>호밀후르츠이 수요가 높았습니다.</t>
    <phoneticPr fontId="3" type="noConversion"/>
  </si>
  <si>
    <t>식빵이 1시 조기품절되었고, 이후에도 구매 문의가 다수 있었습니다.</t>
    <phoneticPr fontId="3" type="noConversion"/>
  </si>
  <si>
    <t>25</t>
    <phoneticPr fontId="3" type="noConversion"/>
  </si>
  <si>
    <t>2026년  5월  14일 ( 목요일)</t>
    <phoneticPr fontId="3" type="noConversion"/>
  </si>
  <si>
    <t>여의도</t>
    <phoneticPr fontId="3" type="noConversion"/>
  </si>
  <si>
    <t>김세은</t>
    <phoneticPr fontId="3" type="noConversion"/>
  </si>
  <si>
    <t>30</t>
    <phoneticPr fontId="3" type="noConversion"/>
  </si>
  <si>
    <t>맑음</t>
    <phoneticPr fontId="3" type="noConversion"/>
  </si>
  <si>
    <t>오픈(김세은) : 날씨가 덥고 강력분이 물을 뱉어내서 물량 1%씩 줄였습니다. / 바게트 과발효 없이 잘 들어갔습니다.</t>
    <phoneticPr fontId="3" type="noConversion"/>
  </si>
  <si>
    <t xml:space="preserve">올리브 구웠습니다. </t>
    <phoneticPr fontId="3" type="noConversion"/>
  </si>
  <si>
    <t xml:space="preserve">실장님께 전달드릴 블랙올리브 10개 구워 보관 해 놓았습니다. </t>
    <phoneticPr fontId="3" type="noConversion"/>
  </si>
  <si>
    <t>준모,희주</t>
    <phoneticPr fontId="3" type="noConversion"/>
  </si>
  <si>
    <t>세은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</si>
  <si>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</si>
  <si>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</si>
  <si>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</si>
  <si>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</si>
  <si>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미들(김도현) : 치아바타 분할시에는 힘이 강했으나 발효실에서 힘이 금방 풀렸습니다./
냉장 깜빠뉴 과발효로 인해 6개 손실 있었습니다.</t>
    <phoneticPr fontId="3" type="noConversion"/>
  </si>
  <si>
    <t xml:space="preserve">미들(김윤희) : 당일 바게트 구움색과 맛은 좋았으나, 내상이 많이 뭉쳐있었습니다. </t>
    <phoneticPr fontId="3" type="noConversion"/>
  </si>
  <si>
    <t>마감(박용국) : 크로아상 반죽 3절1회 할 떄 반죽과 버터의 상태가 안맞았는지 밀다 깨진 부분을 발견 하였습니다.</t>
    <phoneticPr fontId="3" type="noConversion"/>
  </si>
  <si>
    <t>호밀빵 판매: 4개, (h) 6개/ 호밀소콜라오렌지: 3개</t>
    <phoneticPr fontId="3" type="noConversion"/>
  </si>
  <si>
    <t>갓나온 구름빵 시식 반응이 좋아 구매로 많이 이어졌습니다.</t>
    <phoneticPr fontId="3" type="noConversion"/>
  </si>
  <si>
    <t>바질치킨샌드위치 수요가 높았습니다.</t>
    <phoneticPr fontId="3" type="noConversion"/>
  </si>
  <si>
    <t>화이트치아바타가 4시쯤 조기품절되어 이후에 찾으시는 손님 많았습니다.</t>
    <phoneticPr fontId="3" type="noConversion"/>
  </si>
  <si>
    <t>2026년  5월  15일 ( 금요일)</t>
    <phoneticPr fontId="3" type="noConversion"/>
  </si>
  <si>
    <t>여의도</t>
    <phoneticPr fontId="3" type="noConversion"/>
  </si>
  <si>
    <t>유준모</t>
    <phoneticPr fontId="3" type="noConversion"/>
  </si>
  <si>
    <t>유준모(오픈) : 당일 바게트 텐션감 강했습니다. / 크로아상 반죽 현재 물량 20 축축한 느낌 들었습니다.</t>
    <phoneticPr fontId="3" type="noConversion"/>
  </si>
  <si>
    <t>금일 부사장님께서 크랜베리스콘, 블랙올리브 챙겨 가셨습니다. / 실장님 지시로 제품 납품 있었습니다.</t>
    <phoneticPr fontId="3" type="noConversion"/>
  </si>
  <si>
    <t xml:space="preserve">금일 심팩홀딩스 납품 있었습니다. </t>
    <phoneticPr fontId="3" type="noConversion"/>
  </si>
  <si>
    <t>세은</t>
    <phoneticPr fontId="3" type="noConversion"/>
  </si>
  <si>
    <t>세은, 용국</t>
    <phoneticPr fontId="3" type="noConversion"/>
  </si>
  <si>
    <t>준모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</si>
  <si>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</si>
  <si>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</si>
  <si>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</si>
  <si>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 xml:space="preserve">김윤희(미들) : 브레첼 껍질 얇고, 바삭하였습니다. 이빨에 약간 끼임이 있었습니다. </t>
    <phoneticPr fontId="3" type="noConversion"/>
  </si>
  <si>
    <t>맑음</t>
    <phoneticPr fontId="3" type="noConversion"/>
  </si>
  <si>
    <t>28</t>
    <phoneticPr fontId="3" type="noConversion"/>
  </si>
  <si>
    <t>26</t>
    <phoneticPr fontId="3" type="noConversion"/>
  </si>
  <si>
    <t>윤경님 오후 2시부터 5시까지 실장님과 미팅 진행 했습니다. /전 날 스콘 반죽 밀가루 계량 문제로 손실 처리 했습니다.</t>
    <phoneticPr fontId="3" type="noConversion"/>
  </si>
  <si>
    <t xml:space="preserve">정희주(미들) : 치아바타 껍질 얇고 내상 윤기있게 나왔습니다. 발효가 전체적으로 빨라서 도우컨 온도 잘 체크해야할 것 같습니다. </t>
    <phoneticPr fontId="3" type="noConversion"/>
  </si>
  <si>
    <t>박용국(마감) : 전날 스콘반죽의 계량이 문제였는지 스콘이 퍽퍽하고 버터맛이 제대로 나지 않았습니다, 한번 더 확인하는 습관을 기르겠습니다.</t>
    <phoneticPr fontId="3" type="noConversion"/>
  </si>
  <si>
    <t>호밀빵 판매: 3개, (H) 12개/ 호밀쇼콜라오렌지 판매: 2개</t>
    <phoneticPr fontId="3" type="noConversion"/>
  </si>
  <si>
    <t>바질치킨 샌드위치가  1시에 조기품절되었습니다./ 깜빠뉴가 1차 품절 후에 1-2시 사이 공백시간이 생겼습니다.</t>
    <phoneticPr fontId="3" type="noConversion"/>
  </si>
  <si>
    <t>깜빠뉴와 바게트가 4시즈음 조기 품절되었고, 이후에도 수요가 높았습니다.</t>
    <phoneticPr fontId="3" type="noConversion"/>
  </si>
  <si>
    <t>2026 년  5월  16일 ( 토요일)</t>
    <phoneticPr fontId="3" type="noConversion"/>
  </si>
  <si>
    <t>여의도</t>
    <phoneticPr fontId="3" type="noConversion"/>
  </si>
  <si>
    <t>27</t>
    <phoneticPr fontId="3" type="noConversion"/>
  </si>
  <si>
    <t>맑음</t>
    <phoneticPr fontId="3" type="noConversion"/>
  </si>
  <si>
    <t>28</t>
    <phoneticPr fontId="3" type="noConversion"/>
  </si>
  <si>
    <t>오픈(정희주) : 치아바타 힘이 세서 물량 늘려도 될 것 같습니다.(82&gt;84)</t>
    <phoneticPr fontId="3" type="noConversion"/>
  </si>
  <si>
    <t>정희주</t>
    <phoneticPr fontId="3" type="noConversion"/>
  </si>
  <si>
    <t>올리브 구웠습니다.</t>
    <phoneticPr fontId="3" type="noConversion"/>
  </si>
  <si>
    <t>세은,용국</t>
    <phoneticPr fontId="3" type="noConversion"/>
  </si>
  <si>
    <t>윤희,희주,도현</t>
    <phoneticPr fontId="3" type="noConversion"/>
  </si>
  <si>
    <t>도현,희주</t>
    <phoneticPr fontId="3" type="noConversion"/>
  </si>
  <si>
    <t>윤경</t>
    <phoneticPr fontId="3" type="noConversion"/>
  </si>
  <si>
    <t>윤희</t>
    <phoneticPr fontId="3" type="noConversion"/>
  </si>
  <si>
    <t>윤희</t>
    <phoneticPr fontId="3" type="noConversion"/>
  </si>
  <si>
    <t>미들(유준모) : 치아바타 반죽 힘 쌨습니다. 2차 발효 충분히 보고 오븐  들어 갔습니다..</t>
    <phoneticPr fontId="3" type="noConversion"/>
  </si>
  <si>
    <t>구름빵 반죽</t>
    <phoneticPr fontId="3" type="noConversion"/>
  </si>
  <si>
    <t>퀵 예약 배송 보내기</t>
    <phoneticPr fontId="3" type="noConversion"/>
  </si>
  <si>
    <t>마감(김윤희) : 바게트 내상과 구움색 좋았고, 버터의 풍미가 잘 느껴졌습니다.</t>
    <phoneticPr fontId="3" type="noConversion"/>
  </si>
  <si>
    <t>호밀빵 판매: 7개, (H)2개/ 호밀쇼콜라오렌지 판매: 3개</t>
    <phoneticPr fontId="3" type="noConversion"/>
  </si>
  <si>
    <t>더운 날씨였고, 비교적 한가했습니다./ 옆 투썸에서는 사람이 많았습니다.</t>
    <phoneticPr fontId="3" type="noConversion"/>
  </si>
  <si>
    <t>손님의 아드님께서 제빵을 하시는데 폴앤폴리나와 목동의 몽뜨로얄의 크로와상과 바게트를 좋아한다고 말씀하셨습니다.</t>
    <phoneticPr fontId="3" type="noConversion"/>
  </si>
  <si>
    <t xml:space="preserve">브라운 바게트와 깜빠뉴는 3-4시쯤 조기품절되었습니다. </t>
    <phoneticPr fontId="3" type="noConversion"/>
  </si>
  <si>
    <t>2026 년  5월  17일 ( 일요일)</t>
    <phoneticPr fontId="3" type="noConversion"/>
  </si>
  <si>
    <t>여의도</t>
    <phoneticPr fontId="3" type="noConversion"/>
  </si>
  <si>
    <t>27</t>
    <phoneticPr fontId="3" type="noConversion"/>
  </si>
  <si>
    <t>27</t>
    <phoneticPr fontId="3" type="noConversion"/>
  </si>
  <si>
    <t>맑음</t>
    <phoneticPr fontId="3" type="noConversion"/>
  </si>
  <si>
    <t xml:space="preserve">오픈(김세은) : 브레첼 구움색이 잘 나지 않고, 탁하게 나오는 경향이 있었습니다. </t>
    <phoneticPr fontId="3" type="noConversion"/>
  </si>
  <si>
    <t xml:space="preserve">도우컨 날개 분리하여 닦았습니다. </t>
    <phoneticPr fontId="3" type="noConversion"/>
  </si>
  <si>
    <t>윤경,희주,도현</t>
    <phoneticPr fontId="3" type="noConversion"/>
  </si>
  <si>
    <t>희주,윤경</t>
    <phoneticPr fontId="3" type="noConversion"/>
  </si>
  <si>
    <t>세은</t>
    <phoneticPr fontId="3" type="noConversion"/>
  </si>
  <si>
    <t>윤희</t>
    <phoneticPr fontId="3" type="noConversion"/>
  </si>
  <si>
    <t>용국</t>
    <phoneticPr fontId="3" type="noConversion"/>
  </si>
  <si>
    <t>용국</t>
    <phoneticPr fontId="3" type="noConversion"/>
  </si>
  <si>
    <t>미들(유준모) : 식빵, 호밀빵 색깔 찐하게 나왔습니다. 식빵 윗 불 온도 조금 더 줄이면 좋을거 같습니다.</t>
    <phoneticPr fontId="3" type="noConversion"/>
  </si>
  <si>
    <t>금일 셰프님께서 용국님 치아바타 분할 교육 해주셨습니다.</t>
    <phoneticPr fontId="3" type="noConversion"/>
  </si>
  <si>
    <t>구름빵 반죽 작업 했습니다.</t>
    <phoneticPr fontId="3" type="noConversion"/>
  </si>
  <si>
    <t>크랜베리 전처리 해두기</t>
    <phoneticPr fontId="3" type="noConversion"/>
  </si>
  <si>
    <t>파브리키친 깜빠뉴 준비</t>
    <phoneticPr fontId="3" type="noConversion"/>
  </si>
  <si>
    <t>오전에는 손님의 방문수가 저조하였습니다.</t>
    <phoneticPr fontId="3" type="noConversion"/>
  </si>
  <si>
    <t xml:space="preserve">가족단위의 손님들보다 커플이나, 혼자 오시는 손님분들이 많았습니다. </t>
    <phoneticPr fontId="3" type="noConversion"/>
  </si>
  <si>
    <t xml:space="preserve">오전에는 작은 빵들의 구매가 많았으나, 오후에 큰 빵 찾으시는 손님들이 계셨습니다. </t>
    <phoneticPr fontId="3" type="noConversion"/>
  </si>
  <si>
    <t xml:space="preserve">오후에 쿠팡으로 배달해주시는 손님들이 많았습니다.(14건) / 계좌이체 1건 있습니다. </t>
    <phoneticPr fontId="3" type="noConversion"/>
  </si>
  <si>
    <t>2026 년  5월  18일 ( 월요일)</t>
    <phoneticPr fontId="3" type="noConversion"/>
  </si>
  <si>
    <t>여의도</t>
    <phoneticPr fontId="3" type="noConversion"/>
  </si>
  <si>
    <t>김세은</t>
    <phoneticPr fontId="3" type="noConversion"/>
  </si>
  <si>
    <t>28</t>
    <phoneticPr fontId="3" type="noConversion"/>
  </si>
  <si>
    <t>흐림</t>
    <phoneticPr fontId="3" type="noConversion"/>
  </si>
  <si>
    <t>27</t>
    <phoneticPr fontId="3" type="noConversion"/>
  </si>
  <si>
    <t>파브리 깜빠뉴 40개 납품 있습니다.</t>
    <phoneticPr fontId="3" type="noConversion"/>
  </si>
  <si>
    <t>윤경,희주</t>
    <phoneticPr fontId="3" type="noConversion"/>
  </si>
  <si>
    <t>윤희,용국</t>
    <phoneticPr fontId="3" type="noConversion"/>
  </si>
  <si>
    <t>세은</t>
    <phoneticPr fontId="3" type="noConversion"/>
  </si>
  <si>
    <t>윤희</t>
    <phoneticPr fontId="3" type="noConversion"/>
  </si>
  <si>
    <t>용국</t>
    <phoneticPr fontId="3" type="noConversion"/>
  </si>
  <si>
    <t>용국</t>
    <phoneticPr fontId="3" type="noConversion"/>
  </si>
  <si>
    <t xml:space="preserve">오픈(김세은) : 바게트 물량 82% 진 느낌이 있어서 81.5% 로 줄일 예정입니다. </t>
    <phoneticPr fontId="3" type="noConversion"/>
  </si>
  <si>
    <t>오픈(김도현) : 바게트 2차발효가 빨리 진행되는 느낌으로 먹어봤을때 기공이 꺼져있고 말라있는 느낌 강했습니다.</t>
    <phoneticPr fontId="3" type="noConversion"/>
  </si>
  <si>
    <t>무화과호밀스틱 찾으시는 분들이 많았고, 오후12시즈음에 모두 품절되었습니다.</t>
    <phoneticPr fontId="3" type="noConversion"/>
  </si>
  <si>
    <t xml:space="preserve">바게트 방문손님과, 예약해주시는 분들이 많았고, 오후3-4시즈음에 모두 품절되었습니다. </t>
    <phoneticPr fontId="3" type="noConversion"/>
  </si>
  <si>
    <t xml:space="preserve">식빵과 깜빠뉴는 오전 보다 오후에 찾으시는 분들이 많았습니다. </t>
    <phoneticPr fontId="3" type="noConversion"/>
  </si>
  <si>
    <t>배달 건수 1건 있었습니다. / 계좌이체 1건 있습니다.</t>
    <phoneticPr fontId="3" type="noConversion"/>
  </si>
  <si>
    <t>2026 년  5월  19일 ( 화요일)</t>
    <phoneticPr fontId="3" type="noConversion"/>
  </si>
  <si>
    <t>여의도</t>
    <phoneticPr fontId="3" type="noConversion"/>
  </si>
  <si>
    <t>정희주</t>
    <phoneticPr fontId="3" type="noConversion"/>
  </si>
  <si>
    <t>27</t>
    <phoneticPr fontId="3" type="noConversion"/>
  </si>
  <si>
    <t>흐림</t>
    <phoneticPr fontId="3" type="noConversion"/>
  </si>
  <si>
    <t>24</t>
    <phoneticPr fontId="3" type="noConversion"/>
  </si>
  <si>
    <t>바질치킨</t>
    <phoneticPr fontId="3" type="noConversion"/>
  </si>
  <si>
    <t>오픈(김도현) : 당일바게트 단맛의 풍미가 아쉬웠습니다.(펀치전 1차발효 충분히 보아도 될것 같습니다.)</t>
    <phoneticPr fontId="3" type="noConversion"/>
  </si>
  <si>
    <t>오픈(정희주) : 치아바타 힘은 셌지만 촉촉하고 오일맛이 잘 느껴졌습니다. 윗껍질은 얇았지만 밑껍질이 조금 두꺼웠습니다.</t>
    <phoneticPr fontId="3" type="noConversion"/>
  </si>
  <si>
    <t>윤희,용국</t>
    <phoneticPr fontId="3" type="noConversion"/>
  </si>
  <si>
    <t>세은,준모</t>
    <phoneticPr fontId="3" type="noConversion"/>
  </si>
  <si>
    <t>도현,희주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</si>
  <si>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</si>
  <si>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</si>
  <si>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</si>
  <si>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호밀빵 판매: 5개, (H) 4개/ 호밀쇼콜라오렌지 판매: 5개</t>
    <phoneticPr fontId="3" type="noConversion"/>
  </si>
  <si>
    <t>샌드위치 수요가 높아 2시에 조기품절되었습니다.</t>
    <phoneticPr fontId="3" type="noConversion"/>
  </si>
  <si>
    <t>식빵을 대부분 하프사이즈로 가져가셨습니다.</t>
    <phoneticPr fontId="3" type="noConversion"/>
  </si>
  <si>
    <t>2026 년  5월  20일 ( 수요일)</t>
    <phoneticPr fontId="3" type="noConversion"/>
  </si>
  <si>
    <t>여의도</t>
    <phoneticPr fontId="3" type="noConversion"/>
  </si>
  <si>
    <t>정희주</t>
    <phoneticPr fontId="3" type="noConversion"/>
  </si>
  <si>
    <t>27</t>
    <phoneticPr fontId="3" type="noConversion"/>
  </si>
  <si>
    <t>비</t>
    <phoneticPr fontId="3" type="noConversion"/>
  </si>
  <si>
    <t>17</t>
    <phoneticPr fontId="3" type="noConversion"/>
  </si>
  <si>
    <t>바질치킨</t>
    <phoneticPr fontId="3" type="noConversion"/>
  </si>
  <si>
    <t>올리브 1캔 구웠습니다.</t>
    <phoneticPr fontId="3" type="noConversion"/>
  </si>
  <si>
    <t>무화과 럼에 담가야합니다.</t>
    <phoneticPr fontId="3" type="noConversion"/>
  </si>
  <si>
    <t>준모,세은</t>
    <phoneticPr fontId="3" type="noConversion"/>
  </si>
  <si>
    <t>세은,도현</t>
    <phoneticPr fontId="3" type="noConversion"/>
  </si>
  <si>
    <t>도현,희주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</si>
  <si>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</si>
  <si>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</si>
  <si>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</si>
  <si>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오픈(정희주) : 당일바게트 건조한 느낌이었습니다. 기공은 괜찮았으나 단맛이 조금 부족했습니다.</t>
    <phoneticPr fontId="3" type="noConversion"/>
  </si>
  <si>
    <t>오픈(김도현) : 금일 날이 습하고 비가와서 치아바타 물량이 많은 느낌으로 전체적으로 발효 타이밍 빨랐습니다.</t>
    <phoneticPr fontId="3" type="noConversion"/>
  </si>
  <si>
    <t>마감(박용국) : 브레첼 반죽 분할에 있어 날씨가 습하고 주방온도가 높아 동일 시간대비 발효가 빨랐습니다</t>
    <phoneticPr fontId="3" type="noConversion"/>
  </si>
  <si>
    <t>호밀빵 판매: 3개, (H) 7개/ 호밀쇼콜라오렌지: 2개</t>
    <phoneticPr fontId="3" type="noConversion"/>
  </si>
  <si>
    <t>아침부터 비가 내렸고, 상가 내 유동인구가 적었습니다./ 샌드위치 중 햄치즈가 인기가 좋았습니다.</t>
    <phoneticPr fontId="3" type="noConversion"/>
  </si>
  <si>
    <t>비닐에 들어간 구름빵은 별로라는 손님의 대화가 있었습니다.</t>
    <phoneticPr fontId="3" type="noConversion"/>
  </si>
  <si>
    <t>무화과호밀스틱 시식 후에 구매로 이어졌습니다. 지인이 이 곳의 버터브레첼을 극찬해서 방문했다는 손님 계셨습니다.</t>
    <phoneticPr fontId="3" type="noConversion"/>
  </si>
  <si>
    <t>2026년  5월  21일 ( 목요일)</t>
    <phoneticPr fontId="3" type="noConversion"/>
  </si>
  <si>
    <t>여의도</t>
    <phoneticPr fontId="3" type="noConversion"/>
  </si>
  <si>
    <t>유준모</t>
    <phoneticPr fontId="3" type="noConversion"/>
  </si>
  <si>
    <t>흐림</t>
    <phoneticPr fontId="3" type="noConversion"/>
  </si>
  <si>
    <t>19</t>
    <phoneticPr fontId="3" type="noConversion"/>
  </si>
  <si>
    <t>25</t>
    <phoneticPr fontId="3" type="noConversion"/>
  </si>
  <si>
    <t>바질치킨</t>
    <phoneticPr fontId="3" type="noConversion"/>
  </si>
  <si>
    <t>유준모(오픈) : 냉장 바게트 반죽에서 바게트 대비 깜빠뉴, 블랙올리브 발효가 빨랐습니다.</t>
    <phoneticPr fontId="3" type="noConversion"/>
  </si>
  <si>
    <t>금일 심팩홀딩스 납품 있었습니다. / 컬리에 제품 배송 있었습니다.</t>
    <phoneticPr fontId="3" type="noConversion"/>
  </si>
  <si>
    <t>블랙올리브 구웠습니다. / 호밀비트 생산 했습니다.</t>
    <phoneticPr fontId="3" type="noConversion"/>
  </si>
  <si>
    <t>도현, 세은</t>
    <phoneticPr fontId="3" type="noConversion"/>
  </si>
  <si>
    <t>도현, 용국</t>
    <phoneticPr fontId="3" type="noConversion"/>
  </si>
  <si>
    <t>준모, 희주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</si>
  <si>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</si>
  <si>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</si>
  <si>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</si>
  <si>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정희주(오픈) : 치아바타 전날과 물량 비슷하게 진행했고 2단믹싱 조금 줄였습니다. 오일풍미 잘 느껴졌습니다.</t>
    <phoneticPr fontId="3" type="noConversion"/>
  </si>
  <si>
    <t>김윤희(미들) : 냉장 치아바타 발효가 부족하였습니다. 실온실에서 충분히 더 보고 들어가야 한다고 셰프님께 피드백 받았습니다.</t>
    <phoneticPr fontId="3" type="noConversion"/>
  </si>
  <si>
    <t xml:space="preserve">무화과 럼에 담궜습니다. / 크렌베리 소분 하였습니다. </t>
    <phoneticPr fontId="3" type="noConversion"/>
  </si>
  <si>
    <t xml:space="preserve">미들(김윤희) : 크로와상 결이 약간 뭉치고, 버터가 조금 세어나왔습니다. </t>
    <phoneticPr fontId="3" type="noConversion"/>
  </si>
  <si>
    <t>에어컨 실외기 수리 &gt; 부품이 맞지 않아 다음주에 다시 연락 주신다고 하셨습니다.</t>
    <phoneticPr fontId="3" type="noConversion"/>
  </si>
  <si>
    <t>박용국(마감) : 스콘의 되기가 우유를 넣었음에도 좀 되직했습니다 / 셰프님이 조금 덜 치라고 피드백 해주셨습니다.</t>
    <phoneticPr fontId="3" type="noConversion"/>
  </si>
  <si>
    <t>호밀빵 판매: 1개, (h) 5개/ 호밀쇼콜라오렌지 판매: 7개</t>
    <phoneticPr fontId="3" type="noConversion"/>
  </si>
  <si>
    <t>바질치킨 샌드위치 수요가 높아 2시쯤 조기품절되었습니다.</t>
    <phoneticPr fontId="3" type="noConversion"/>
  </si>
  <si>
    <t>손님께서 전시 되어있는 치킨 샌드위치에 벌레가 기어다니는 것을 목격하여 말씀해주셨습니다.</t>
    <phoneticPr fontId="3" type="noConversion"/>
  </si>
  <si>
    <t>비가 내리지 않았으며, 손님이 지속적으로 방문했습니다./ 스콘은 이 집이 가장 맛있다는 손님의 대화가 있었습니다.</t>
    <phoneticPr fontId="3" type="noConversion"/>
  </si>
  <si>
    <t>2026년  5월  22일 ( 금요일)</t>
    <phoneticPr fontId="3" type="noConversion"/>
  </si>
  <si>
    <t>여의도</t>
    <phoneticPr fontId="3" type="noConversion"/>
  </si>
  <si>
    <t>유준모</t>
    <phoneticPr fontId="3" type="noConversion"/>
  </si>
  <si>
    <t>맑음</t>
    <phoneticPr fontId="3" type="noConversion"/>
  </si>
  <si>
    <t>26</t>
    <phoneticPr fontId="3" type="noConversion"/>
  </si>
  <si>
    <t>25</t>
    <phoneticPr fontId="3" type="noConversion"/>
  </si>
  <si>
    <t>바질치킨</t>
    <phoneticPr fontId="3" type="noConversion"/>
  </si>
  <si>
    <t>유준모(오픈) : 2차 당일 바게트 발효 조금 많았습니다. / 식빵 성형 전 발효 조금 많았습니다.</t>
    <phoneticPr fontId="3" type="noConversion"/>
  </si>
  <si>
    <t xml:space="preserve">금일 심팩홀딩스 납품 있었습니다. </t>
    <phoneticPr fontId="3" type="noConversion"/>
  </si>
  <si>
    <t>연희동에서 비품 이관 있었습니다.</t>
    <phoneticPr fontId="3" type="noConversion"/>
  </si>
  <si>
    <t>도현, 용국</t>
    <phoneticPr fontId="3" type="noConversion"/>
  </si>
  <si>
    <t>준모, 윤희</t>
    <phoneticPr fontId="3" type="noConversion"/>
  </si>
  <si>
    <t>희주, 준모</t>
    <phoneticPr fontId="3" type="noConversion"/>
  </si>
  <si>
    <t>윤경</t>
    <phoneticPr fontId="3" type="noConversion"/>
  </si>
  <si>
    <t>세은</t>
    <phoneticPr fontId="3" type="noConversion"/>
  </si>
  <si>
    <t>세은</t>
    <phoneticPr fontId="3" type="noConversion"/>
  </si>
  <si>
    <t>정희주(오픈) : 깜빠뉴 발효 적절하여 볼륨감,내상 좋게 나왔습니다. 치아바타 내상 잘 풀려있고 오일향 잘 느껴졌습니다,.</t>
    <phoneticPr fontId="3" type="noConversion"/>
  </si>
  <si>
    <t>호밀빵 판매: 6개, (,H) 5개/ 호밀쇼콜라오렌지 판매: 5개</t>
    <phoneticPr fontId="3" type="noConversion"/>
  </si>
  <si>
    <t>바질치킨 샌드위치가 가장 가격이 높은 만큼 가장 맛있다고 말씀하시는 한 손님께서 동료들 것까지 4개 구매해가셨습니다./ 바질치킨샌드위치가 12시에 조기품절되었습니다.</t>
    <phoneticPr fontId="3" type="noConversion"/>
  </si>
  <si>
    <t>12-1시 시간대 매출이 77만원으로 높았습니다./ 깜빠뉴가 1시에 1차품절되었고 2시까지 공백시간 있었으며, 2-3분 정도 찾으셨습니다. 5시에 깜빠뉴 최종품절되었습니다.</t>
    <phoneticPr fontId="3" type="noConversion"/>
  </si>
  <si>
    <t>손님이 끊이지 않고 방문했으며, 6시부터는 남은 빵이 많이 없어 아쉽게 돌아가시는 손님 많았습니다./ 브라운바게트 2시 조기품절되었습니다.</t>
    <phoneticPr fontId="3" type="noConversion"/>
  </si>
  <si>
    <t>2026년  5월  23일 ( 토요일)</t>
    <phoneticPr fontId="3" type="noConversion"/>
  </si>
  <si>
    <t>정희주</t>
    <phoneticPr fontId="3" type="noConversion"/>
  </si>
  <si>
    <t>여의도</t>
    <phoneticPr fontId="3" type="noConversion"/>
  </si>
  <si>
    <t>맑음</t>
    <phoneticPr fontId="3" type="noConversion"/>
  </si>
  <si>
    <t>26</t>
    <phoneticPr fontId="3" type="noConversion"/>
  </si>
  <si>
    <t>22</t>
    <phoneticPr fontId="3" type="noConversion"/>
  </si>
  <si>
    <t>준모,윤희</t>
    <phoneticPr fontId="3" type="noConversion"/>
  </si>
  <si>
    <t>윤경,희주,세은</t>
    <phoneticPr fontId="3" type="noConversion"/>
  </si>
  <si>
    <t>도현,희주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</si>
  <si>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</si>
  <si>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</si>
  <si>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</si>
  <si>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바질치킨샌드위치</t>
    <phoneticPr fontId="3" type="noConversion"/>
  </si>
  <si>
    <t>올리브 , 호두 구웠습니다.</t>
    <phoneticPr fontId="3" type="noConversion"/>
  </si>
  <si>
    <t xml:space="preserve">오픈(정희주) : 당일바게트 구움색 좋았고 끝부분에 단맛이 올라왔습니다. 치아바타 맛은 잘 느껴졌지만 중간부분이 살짝 뭉쳐있었습니다. </t>
    <phoneticPr fontId="3" type="noConversion"/>
  </si>
  <si>
    <t>미들(김세은) : 1차 바게트 (냉장바게트) 고소하고 끝에 단맛 잘 올라왔습니다. 질기지 않고 바삭했습니다 .</t>
    <phoneticPr fontId="3" type="noConversion"/>
  </si>
  <si>
    <t>마감(박용국) : 전날에 반죽 친 스콘반죽에 버터가 얇게 안펴지고 덩어리채로 있었는지 구웠을때 기름이 흘러나왔으며 보안하겠습니다.</t>
    <phoneticPr fontId="3" type="noConversion"/>
  </si>
  <si>
    <t>호밀빵 판매: 3개, (H) 6개/ 호밀쇼콜라오렌지 판매: 2개</t>
    <phoneticPr fontId="3" type="noConversion"/>
  </si>
  <si>
    <t>치킨류 샌드위치 수요가 높아 2시에 조기품절되었습니다.</t>
    <phoneticPr fontId="3" type="noConversion"/>
  </si>
  <si>
    <t>식빵이 2시에 조기품절되었습니다./ 무화과호밀스틱의 시식 반응이 좋았습니다.</t>
    <phoneticPr fontId="3" type="noConversion"/>
  </si>
  <si>
    <t>호밀빵과 무화과호밀스틱의 컷팅 요청이 많았습니다.</t>
    <phoneticPr fontId="3" type="noConversion"/>
  </si>
  <si>
    <t>2026년 5월 24일 (일요일)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</si>
  <si>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</si>
  <si>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</si>
  <si>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</si>
  <si>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28</t>
    <phoneticPr fontId="3" type="noConversion"/>
  </si>
  <si>
    <t>24</t>
    <phoneticPr fontId="3" type="noConversion"/>
  </si>
  <si>
    <t>바질치킨샌드위치</t>
    <phoneticPr fontId="3" type="noConversion"/>
  </si>
  <si>
    <t xml:space="preserve">구름빵 반죽 하였습니다. </t>
    <phoneticPr fontId="3" type="noConversion"/>
  </si>
  <si>
    <t xml:space="preserve">심팩홀딩스 내일 납품 없습니다. </t>
    <phoneticPr fontId="3" type="noConversion"/>
  </si>
  <si>
    <t>윤경,희주,세은</t>
    <phoneticPr fontId="3" type="noConversion"/>
  </si>
  <si>
    <t>윤경,윤희,준모</t>
    <phoneticPr fontId="3" type="noConversion"/>
  </si>
  <si>
    <t>윤희</t>
    <phoneticPr fontId="3" type="noConversion"/>
  </si>
  <si>
    <t>준모</t>
    <phoneticPr fontId="3" type="noConversion"/>
  </si>
  <si>
    <t>용국</t>
    <phoneticPr fontId="3" type="noConversion"/>
  </si>
  <si>
    <t>용국</t>
    <phoneticPr fontId="3" type="noConversion"/>
  </si>
  <si>
    <t xml:space="preserve">김윤희(오픈) : 크로와상 식감은 바삭하였습니다. 버터의 풍미도 살짝 느껴졌지만, 기름진맛도 약간 느껴졌습니다. </t>
    <phoneticPr fontId="3" type="noConversion"/>
  </si>
  <si>
    <t>김도현(미들) : 치아바타 전체적으로 발효가 빠른느낌으로 먹었을때도 내상이 컸으며 금방 마르는 느낌이었습니다.
(조정수는 안넣었어도 괜찮았을것 같습니다.)</t>
    <phoneticPr fontId="3" type="noConversion"/>
  </si>
  <si>
    <t>박용국(마감) : 스콘이 반죽을 좀 덜 쳐도 되겠다 라는 피드백을 받았습니다, 또한 손으로 섞는 과정에서 횟수를 줄여 볼 생각합니다.</t>
    <phoneticPr fontId="3" type="noConversion"/>
  </si>
  <si>
    <t>2026 년  5월  25일 ( 월요일)</t>
    <phoneticPr fontId="3" type="noConversion"/>
  </si>
  <si>
    <t>여의도</t>
    <phoneticPr fontId="3" type="noConversion"/>
  </si>
  <si>
    <t>정희주</t>
    <phoneticPr fontId="3" type="noConversion"/>
  </si>
  <si>
    <t>28</t>
    <phoneticPr fontId="3" type="noConversion"/>
  </si>
  <si>
    <t>29</t>
    <phoneticPr fontId="3" type="noConversion"/>
  </si>
  <si>
    <t>흐림</t>
    <phoneticPr fontId="3" type="noConversion"/>
  </si>
  <si>
    <t>윤경,윤희,준모</t>
    <phoneticPr fontId="3" type="noConversion"/>
  </si>
  <si>
    <t>세은</t>
    <phoneticPr fontId="3" type="noConversion"/>
  </si>
  <si>
    <t>희주</t>
    <phoneticPr fontId="3" type="noConversion"/>
  </si>
  <si>
    <t>세은</t>
    <phoneticPr fontId="3" type="noConversion"/>
  </si>
  <si>
    <t>용국</t>
    <phoneticPr fontId="3" type="noConversion"/>
  </si>
  <si>
    <t>용국</t>
    <phoneticPr fontId="3" type="noConversion"/>
  </si>
  <si>
    <t xml:space="preserve">오픈(정희주) : 치아바타 내상 윤기 있고 기공 잘 열려있었습니다. </t>
    <phoneticPr fontId="3" type="noConversion"/>
  </si>
  <si>
    <t>바질치킨샌드위치</t>
    <phoneticPr fontId="3" type="noConversion"/>
  </si>
  <si>
    <t>미들(김도현) : 바게트 발효가 빠릅니다. 물량 줄이고 도우컨 온,습도 조절필요해보입니다.</t>
    <phoneticPr fontId="3" type="noConversion"/>
  </si>
  <si>
    <t>내일 심팩홀딩스 납품준비 완료 하였습니다.</t>
    <phoneticPr fontId="3" type="noConversion"/>
  </si>
  <si>
    <t>금일 오픈 직후에 손님 방문 꾸준하게 있다가 3시 넘어서 부터는 손님방문 저조한 편이었습니다.</t>
    <phoneticPr fontId="3" type="noConversion"/>
  </si>
  <si>
    <t>점심시간대 쯤 샌드위치찾는손님 종종 있었습니다.</t>
    <phoneticPr fontId="3" type="noConversion"/>
  </si>
  <si>
    <t>파이실 에어컨이 시원하지 않고 꺼졌다가 켜지기를 반복합니다. 이번주 에어컨업체에 문의예정입니다.</t>
    <phoneticPr fontId="3" type="noConversion"/>
  </si>
  <si>
    <t>마감(박용국) : 치아바타의 발효 속도가 빨라서 실온에 꺼내 오븐에 구웠습니다, 날씨에 따른 발효속도를 체크하는 습관을 가져야 할 것 같습니다.</t>
    <phoneticPr fontId="3" type="noConversion"/>
  </si>
  <si>
    <t>아몬드크로와상</t>
    <phoneticPr fontId="3" type="noConversion"/>
  </si>
  <si>
    <t>2026 년  5월  26일 ( 화요일)</t>
    <phoneticPr fontId="3" type="noConversion"/>
  </si>
  <si>
    <t>여의도</t>
    <phoneticPr fontId="3" type="noConversion"/>
  </si>
  <si>
    <t>정희주</t>
    <phoneticPr fontId="3" type="noConversion"/>
  </si>
  <si>
    <t>27</t>
    <phoneticPr fontId="3" type="noConversion"/>
  </si>
  <si>
    <t>흐림</t>
    <phoneticPr fontId="3" type="noConversion"/>
  </si>
  <si>
    <t>27</t>
    <phoneticPr fontId="3" type="noConversion"/>
  </si>
  <si>
    <t>도현,희주</t>
    <phoneticPr fontId="3" type="noConversion"/>
  </si>
  <si>
    <t>세은</t>
    <phoneticPr fontId="3" type="noConversion"/>
  </si>
  <si>
    <t>희주,도현</t>
    <phoneticPr fontId="3" type="noConversion"/>
  </si>
  <si>
    <t>윤경</t>
    <phoneticPr fontId="3" type="noConversion"/>
  </si>
  <si>
    <t>용국</t>
    <phoneticPr fontId="3" type="noConversion"/>
  </si>
  <si>
    <t>바질치킨샌드위치</t>
    <phoneticPr fontId="3" type="noConversion"/>
  </si>
  <si>
    <t>오픈(정희주) : 치아바타 2차발효시 힘이 빨리 풀려 전날보다 물량 줄였더니 안정적이었습니다, 맛,내상 좋았습니다.</t>
    <phoneticPr fontId="3" type="noConversion"/>
  </si>
  <si>
    <t>오픈(김도현) : 당일 바게트 기공이 잘 열리지않았으나 단맛의 풍미는 좋았습니다. 
2차발효를 좀더 충분히 봐도 좋을것 같습니다.</t>
    <phoneticPr fontId="3" type="noConversion"/>
  </si>
  <si>
    <t xml:space="preserve">미들(김윤희) : 크로와상 내상이 되게 촘촘하였습니다. 겉은 바삭하나 속은 눅눅하였습니다. </t>
    <phoneticPr fontId="3" type="noConversion"/>
  </si>
  <si>
    <t xml:space="preserve">심팩홀딩스 납품 있습니다. </t>
    <phoneticPr fontId="3" type="noConversion"/>
  </si>
  <si>
    <t xml:space="preserve">파브리키친 깜빠뉴 40개 예약 있습니다. </t>
    <phoneticPr fontId="3" type="noConversion"/>
  </si>
  <si>
    <t>호밀빵 판매: 3개, (H) 3개/ 호밀쇼콜라오렌지 판매: 1개</t>
    <phoneticPr fontId="3" type="noConversion"/>
  </si>
  <si>
    <t>오픈 직후 샌드위치 구매율 높았고 , 그중에서 바질치킨샌드위치가 인기였습니다. 1-2시에 바질치킨샌드위치 조기품절되었습니다.</t>
    <phoneticPr fontId="3" type="noConversion"/>
  </si>
  <si>
    <t>바게트를 4-5개씩 예약하여 구매해가시는 손님분이 2분 계셨습니다.</t>
    <phoneticPr fontId="3" type="noConversion"/>
  </si>
  <si>
    <t>갓구운 스틱브레첼을 시식했었는데 너무 맛있어서 집에서 만들어봤다는 손님분 계셨습니다/ 비가 내리기 시작한 5시부터 손님 방문이 뜸했습니다.</t>
    <phoneticPr fontId="3" type="noConversion"/>
  </si>
  <si>
    <t>2026년 5월 27일 (수요일)</t>
    <phoneticPr fontId="3" type="noConversion"/>
  </si>
  <si>
    <t>여의도</t>
    <phoneticPr fontId="3" type="noConversion"/>
  </si>
  <si>
    <t>김윤희</t>
    <phoneticPr fontId="3" type="noConversion"/>
  </si>
  <si>
    <t>흐림</t>
    <phoneticPr fontId="3" type="noConversion"/>
  </si>
  <si>
    <t>25</t>
    <phoneticPr fontId="3" type="noConversion"/>
  </si>
  <si>
    <t>26</t>
    <phoneticPr fontId="3" type="noConversion"/>
  </si>
  <si>
    <t>바질치킨샌드위치</t>
    <phoneticPr fontId="3" type="noConversion"/>
  </si>
  <si>
    <t xml:space="preserve">윤희(오픈) : 당일 바게트 물양80으로 했을 때 힘이 많이 세서 조정수를 계속 넣었습니다. 내일은 물양 늘려도 될 거 같습니다. </t>
    <phoneticPr fontId="3" type="noConversion"/>
  </si>
  <si>
    <t xml:space="preserve">파브리키친 깜빠뉴 40개 납품 완료하였습니다. </t>
    <phoneticPr fontId="3" type="noConversion"/>
  </si>
  <si>
    <t>호두 굽기</t>
    <phoneticPr fontId="3" type="noConversion"/>
  </si>
  <si>
    <t>희주</t>
    <phoneticPr fontId="3" type="noConversion"/>
  </si>
  <si>
    <t>도현,용국</t>
    <phoneticPr fontId="3" type="noConversion"/>
  </si>
  <si>
    <t>윤희</t>
    <phoneticPr fontId="3" type="noConversion"/>
  </si>
  <si>
    <t>윤경</t>
    <phoneticPr fontId="3" type="noConversion"/>
  </si>
  <si>
    <t>용국</t>
    <phoneticPr fontId="3" type="noConversion"/>
  </si>
  <si>
    <t xml:space="preserve">세은(미들): 브레첼 반죽 힘이 세서, 조정수 넣고 2단 믹싱 짧게 했습니다. 반죽온도가 좀 낮아 발효 30분 봤습니다. </t>
    <phoneticPr fontId="3" type="noConversion"/>
  </si>
  <si>
    <t>호밀빵 판매: 8개, (H) 2개/ 호밀쇼콜라오렌지 판매: 1개</t>
    <phoneticPr fontId="3" type="noConversion"/>
  </si>
  <si>
    <t>식빵을 대부분 반개씩 구매해가셨습니다.</t>
    <phoneticPr fontId="3" type="noConversion"/>
  </si>
  <si>
    <t>호밀빵과 호밀스틱은 대부분 컷팅을 요청하셨습니다.</t>
    <phoneticPr fontId="3" type="noConversion"/>
  </si>
  <si>
    <t>계란알러지가 있어 계란이 안들어간 제품에 대해 물어보시는 손님 계셨습니다.</t>
    <phoneticPr fontId="3" type="noConversion"/>
  </si>
  <si>
    <t>2026년 5월 28일 (목요일)</t>
    <phoneticPr fontId="3" type="noConversion"/>
  </si>
  <si>
    <t>여의도</t>
    <phoneticPr fontId="3" type="noConversion"/>
  </si>
  <si>
    <t>김윤희</t>
    <phoneticPr fontId="3" type="noConversion"/>
  </si>
  <si>
    <t>맑음</t>
    <phoneticPr fontId="3" type="noConversion"/>
  </si>
  <si>
    <t>26</t>
    <phoneticPr fontId="3" type="noConversion"/>
  </si>
  <si>
    <t>25</t>
    <phoneticPr fontId="3" type="noConversion"/>
  </si>
  <si>
    <t>바질치킨샌드위치</t>
    <phoneticPr fontId="3" type="noConversion"/>
  </si>
  <si>
    <t xml:space="preserve">호두 구웠습니다. </t>
    <phoneticPr fontId="3" type="noConversion"/>
  </si>
  <si>
    <t xml:space="preserve">크렌베리 소분 하였습니다. </t>
    <phoneticPr fontId="3" type="noConversion"/>
  </si>
  <si>
    <t>도현,용국</t>
    <phoneticPr fontId="3" type="noConversion"/>
  </si>
  <si>
    <t>윤희,용국</t>
    <phoneticPr fontId="3" type="noConversion"/>
  </si>
  <si>
    <t>윤희</t>
    <phoneticPr fontId="3" type="noConversion"/>
  </si>
  <si>
    <t>윤경</t>
    <phoneticPr fontId="3" type="noConversion"/>
  </si>
  <si>
    <t>희주</t>
    <phoneticPr fontId="3" type="noConversion"/>
  </si>
  <si>
    <t>희주</t>
    <phoneticPr fontId="3" type="noConversion"/>
  </si>
  <si>
    <t>심팩홀딩스 납품</t>
    <phoneticPr fontId="3" type="noConversion"/>
  </si>
  <si>
    <t xml:space="preserve">윤희(오픈) : 당일 바게트 맛은 좋으나, 껍질이 조금 두껍고 눅눅하게 느껴졌습니다. / 물양을 늘렸는데도 힘이 센 편입니다. </t>
    <phoneticPr fontId="3" type="noConversion"/>
  </si>
  <si>
    <t>세은(미들) : 플레인스콘이 살짝 퍽퍽한 느낌이였습니다. 크랜베리스콘은 모래알 같은 식감이였습니다.</t>
    <phoneticPr fontId="3" type="noConversion"/>
  </si>
  <si>
    <t>샌드위치 재료 준비용 노란반죽통 세척 했습니다.</t>
    <phoneticPr fontId="3" type="noConversion"/>
  </si>
  <si>
    <t>서민숙 여의도 근무 시작 했습니다.</t>
    <phoneticPr fontId="3" type="noConversion"/>
  </si>
  <si>
    <t>블랙올리브 구웠습니다. 무화과 세절후 럼에 담그었습니다.</t>
    <phoneticPr fontId="3" type="noConversion"/>
  </si>
  <si>
    <t>브레첼용 철판 세척 했습니다.</t>
    <phoneticPr fontId="3" type="noConversion"/>
  </si>
  <si>
    <t>크로와상 판 버터 만들었습니다.</t>
    <phoneticPr fontId="3" type="noConversion"/>
  </si>
  <si>
    <t>민숙(미들) 치아바타 맛 풍미 기공 좋았습니다.</t>
    <phoneticPr fontId="3" type="noConversion"/>
  </si>
  <si>
    <t>이 곳 바게트가 너무 맛있어서 살찐다는 손님 계셨습니다./ 바질치킨 샌드위치 재구매 손님이 2-3분 정도 방문하셨습니다.</t>
    <phoneticPr fontId="3" type="noConversion"/>
  </si>
  <si>
    <t>깜빠뉴가 통밀빵인지 문의 있었습니다./ 호밀빵을 구매했었는데 너무 단단해서 자르기가 골치 아팠다는 손님 계셨습니다.</t>
    <phoneticPr fontId="3" type="noConversion"/>
  </si>
  <si>
    <t>알러지 때문에 우유 계란이 들어가지 않는 제품이 있는지 문의 있었습니다./ 연희점이 품절이라 5시경에 여의도로 방문한 손님계셨습니다.</t>
    <phoneticPr fontId="3" type="noConversion"/>
  </si>
  <si>
    <t>민숙(미들) : 브레첼 맛 풍미 식감 좋았습니다. 희주(마감) : 치아바타 맛은 좋았으나 퍽퍽한 느낌이었습니다.</t>
    <phoneticPr fontId="3" type="noConversion"/>
  </si>
  <si>
    <t>호밀빵 판매: 3개, (h) 8개  호밀쇼콜라오렌지 판매: 1개</t>
    <phoneticPr fontId="3" type="noConversion"/>
  </si>
  <si>
    <t>2026 년  5월  29일 ( 금요일)</t>
    <phoneticPr fontId="3" type="noConversion"/>
  </si>
  <si>
    <t>여의도</t>
    <phoneticPr fontId="3" type="noConversion"/>
  </si>
  <si>
    <t>김세은</t>
    <phoneticPr fontId="3" type="noConversion"/>
  </si>
  <si>
    <t>27</t>
    <phoneticPr fontId="3" type="noConversion"/>
  </si>
  <si>
    <t>맑음</t>
    <phoneticPr fontId="3" type="noConversion"/>
  </si>
  <si>
    <t>24</t>
    <phoneticPr fontId="3" type="noConversion"/>
  </si>
  <si>
    <t>김세은(오픈) : 바게트 힘은 약한데 질어서 81.5-&gt;80.5로 물량 줄였습니다. 속이 촉촉하고 끝에 단맛이 잘 났습니다.</t>
    <phoneticPr fontId="3" type="noConversion"/>
  </si>
  <si>
    <t xml:space="preserve">올리브 구워야합니다. </t>
    <phoneticPr fontId="3" type="noConversion"/>
  </si>
  <si>
    <t>윤희,용국</t>
    <phoneticPr fontId="3" type="noConversion"/>
  </si>
  <si>
    <t>윤희,희주,민숙</t>
    <phoneticPr fontId="3" type="noConversion"/>
  </si>
  <si>
    <t xml:space="preserve">도현,세은 </t>
    <phoneticPr fontId="3" type="noConversion"/>
  </si>
  <si>
    <t>윤경</t>
    <phoneticPr fontId="3" type="noConversion"/>
  </si>
  <si>
    <t>희주</t>
    <phoneticPr fontId="3" type="noConversion"/>
  </si>
  <si>
    <t>호밀빵 판매: 5개, (H) 7개/ 호밀쇼콜라오렌지 판매: 2개/ 아몬드크로와상 판매: 7개</t>
    <phoneticPr fontId="3" type="noConversion"/>
  </si>
  <si>
    <t>평소 금요일보다 방문손님이 적었습니다.</t>
    <phoneticPr fontId="3" type="noConversion"/>
  </si>
  <si>
    <t>봄날깜빠뉴를 구매하러 방문하신 손님이 2분 계셨습니다.</t>
    <phoneticPr fontId="3" type="noConversion"/>
  </si>
  <si>
    <t>광화문점은 아직도 네이버지도에 뜬다며 영업하는건지 여쭤본 손님 계쎴습니다./ 5-7시 사이에 손님이 꾸준히 방문했습니다.</t>
    <phoneticPr fontId="3" type="noConversion"/>
  </si>
  <si>
    <t>2026 년  5월  30일 ( 토요일)</t>
    <phoneticPr fontId="3" type="noConversion"/>
  </si>
  <si>
    <t>여의도</t>
    <phoneticPr fontId="3" type="noConversion"/>
  </si>
  <si>
    <t>김세은</t>
    <phoneticPr fontId="3" type="noConversion"/>
  </si>
  <si>
    <t>맑음</t>
    <phoneticPr fontId="3" type="noConversion"/>
  </si>
  <si>
    <t>28</t>
    <phoneticPr fontId="3" type="noConversion"/>
  </si>
  <si>
    <t>24</t>
    <phoneticPr fontId="3" type="noConversion"/>
  </si>
  <si>
    <t xml:space="preserve">오픈(김세은) : 치아바타 2차발효 충분히 잘 된 것은 내상 윤기도 나고 맛도 고소했습니다. </t>
    <phoneticPr fontId="3" type="noConversion"/>
  </si>
  <si>
    <t xml:space="preserve">올리브구웠습니다. </t>
    <phoneticPr fontId="3" type="noConversion"/>
  </si>
  <si>
    <t>윤희,희주,민숙</t>
    <phoneticPr fontId="3" type="noConversion"/>
  </si>
  <si>
    <t>윤희,윤경,세은</t>
    <phoneticPr fontId="3" type="noConversion"/>
  </si>
  <si>
    <t>세은</t>
    <phoneticPr fontId="3" type="noConversion"/>
  </si>
  <si>
    <t>윤경</t>
    <phoneticPr fontId="3" type="noConversion"/>
  </si>
  <si>
    <t>용국</t>
    <phoneticPr fontId="3" type="noConversion"/>
  </si>
  <si>
    <t>용국</t>
    <phoneticPr fontId="3" type="noConversion"/>
  </si>
  <si>
    <t>호밀빵 판매: 3개, (H) 9개/ 호밀쇼콜라오렌지 판매: 2개</t>
    <phoneticPr fontId="3" type="noConversion"/>
  </si>
  <si>
    <t>갓 나온 크로와상 시식 후 반응이 좋아 구매로 대부분 이어졌습니다./ 갓나온 치아바타 시식 후 그동안 먹었던 빵중에 최고로 맛있다고 말씀하신 손님 계셨습니다.</t>
    <phoneticPr fontId="3" type="noConversion"/>
  </si>
  <si>
    <t>햄치즈샌드위치 수요가 높아 오픈 1시간 만에 품절되었습니다.</t>
    <phoneticPr fontId="3" type="noConversion"/>
  </si>
  <si>
    <t>깜빠뉴 4시, 브라운바게트 5시 조기품절되었습니다./ 잡곡식빵이 있었다며 구매문의하시는 손님 계셨습니다.</t>
    <phoneticPr fontId="3" type="noConversion"/>
  </si>
  <si>
    <t>2026 년  5월  31일 ( 일요일)</t>
    <phoneticPr fontId="3" type="noConversion"/>
  </si>
  <si>
    <t>여의도</t>
    <phoneticPr fontId="3" type="noConversion"/>
  </si>
  <si>
    <t>정희주</t>
    <phoneticPr fontId="3" type="noConversion"/>
  </si>
  <si>
    <t>맑음</t>
    <phoneticPr fontId="3" type="noConversion"/>
  </si>
  <si>
    <t>29</t>
    <phoneticPr fontId="3" type="noConversion"/>
  </si>
  <si>
    <t>25.5</t>
    <phoneticPr fontId="3" type="noConversion"/>
  </si>
  <si>
    <t>윤희,윤경,세은</t>
    <phoneticPr fontId="3" type="noConversion"/>
  </si>
  <si>
    <t>윤경,용국,민숙</t>
    <phoneticPr fontId="3" type="noConversion"/>
  </si>
  <si>
    <t>희주,도현</t>
    <phoneticPr fontId="3" type="noConversion"/>
  </si>
  <si>
    <t>민숙</t>
    <phoneticPr fontId="3" type="noConversion"/>
  </si>
  <si>
    <t>용국</t>
    <phoneticPr fontId="3" type="noConversion"/>
  </si>
  <si>
    <t>용국</t>
    <phoneticPr fontId="3" type="noConversion"/>
  </si>
  <si>
    <t>오픈(정희주) : 치아바타 크러스트,맛 좋았습니다. 2차 발효가 살짝 부족하여 좀 더 봤으면 내상이 더 좋았을 것 같습니다.</t>
    <phoneticPr fontId="3" type="noConversion"/>
  </si>
  <si>
    <t>오픈(김도현) : 냉장 바게트 펀치하기전 1차발효 충분히 보고 벤치타임 줄여 성형 했습니다.
(기공 균일하게 잘 나왔고 단맛의 풍미도 좋았습니다.)</t>
    <phoneticPr fontId="3" type="noConversion"/>
  </si>
  <si>
    <t>금일 도우컨 날개 청소 완료 하였습니다.</t>
    <phoneticPr fontId="3" type="noConversion"/>
  </si>
  <si>
    <t>구름빵 반죽 작업 있습니다.</t>
    <phoneticPr fontId="3" type="noConversion"/>
  </si>
  <si>
    <t>닭가슴살 재고 확인 필요합니다.(담당자 : 김세은님 확인)</t>
    <phoneticPr fontId="3" type="noConversion"/>
  </si>
  <si>
    <t>민숙(마감) : 구름빵 발효 조금 많아서 선별하여 시식 판매 했습니다.</t>
    <phoneticPr fontId="3" type="noConversion"/>
  </si>
  <si>
    <t>피칸 1봉 구웠습니다.</t>
    <phoneticPr fontId="3" type="noConversion"/>
  </si>
  <si>
    <t>호밀빵 판매: 5개, (H) 1개/ 호밀쇼콜라오렌지 판매: 2개 시식 1개</t>
    <phoneticPr fontId="3" type="noConversion"/>
  </si>
  <si>
    <t>오전에 마라톤 참가자 손님분들 방문 있었습니다.</t>
    <phoneticPr fontId="3" type="noConversion"/>
  </si>
  <si>
    <t>갓나온 빵 시식해드리면 판매로 이어졌습니다.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</si>
</sst>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 ;[Red]\-0\ "/>
    <numFmt numFmtId="177" formatCode="0.0_ ;[Red]\-0.0\ "/>
    <numFmt numFmtId="178" formatCode="0.0%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0" tint="-0.3499862666707357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430">
    <xf numFmtId="0" fontId="0" fillId="0" borderId="0" xfId="0">
      <alignment vertical="center"/>
    </xf>
    <xf numFmtId="0" fontId="2" fillId="0" borderId="0" xfId="3" applyNumberFormat="1" applyFont="1" applyFill="1" applyBorder="1" applyAlignment="1">
      <alignment horizontal="center" vertical="center"/>
    </xf>
    <xf numFmtId="0" fontId="1" fillId="0" borderId="0" xfId="3" applyNumberFormat="1" applyFill="1">
      <alignment vertical="center"/>
    </xf>
    <xf numFmtId="0" fontId="7" fillId="0" borderId="0" xfId="3" applyNumberFormat="1" applyFont="1" applyFill="1" applyBorder="1" applyAlignment="1">
      <alignment horizontal="left" vertical="center"/>
    </xf>
    <xf numFmtId="0" fontId="5" fillId="0" borderId="11" xfId="3" applyNumberFormat="1" applyFont="1" applyFill="1" applyBorder="1">
      <alignment vertical="center"/>
    </xf>
    <xf numFmtId="0" fontId="5" fillId="0" borderId="10" xfId="3" applyNumberFormat="1" applyFont="1" applyFill="1" applyBorder="1" applyAlignment="1">
      <alignment horizontal="left" vertical="center"/>
    </xf>
    <xf numFmtId="0" fontId="1" fillId="3" borderId="17" xfId="3" applyNumberFormat="1" applyFill="1" applyBorder="1">
      <alignment vertical="center"/>
    </xf>
    <xf numFmtId="0" fontId="1" fillId="3" borderId="16" xfId="3" applyNumberFormat="1" applyFill="1" applyBorder="1">
      <alignment vertical="center"/>
    </xf>
    <xf numFmtId="0" fontId="1" fillId="3" borderId="0" xfId="3" applyNumberFormat="1" applyFill="1" applyBorder="1">
      <alignment vertical="center"/>
    </xf>
    <xf numFmtId="0" fontId="1" fillId="3" borderId="0" xfId="3" applyNumberFormat="1" applyFill="1" applyBorder="1" applyAlignment="1">
      <alignment vertical="center"/>
    </xf>
    <xf numFmtId="0" fontId="1" fillId="2" borderId="12" xfId="3" applyNumberFormat="1" applyFont="1" applyFill="1" applyBorder="1" applyAlignment="1">
      <alignment horizontal="center" vertical="center"/>
    </xf>
    <xf numFmtId="0" fontId="1" fillId="2" borderId="14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0" fontId="1" fillId="0" borderId="12" xfId="3" applyNumberFormat="1" applyFont="1" applyFill="1" applyBorder="1" applyAlignment="1">
      <alignment vertical="center"/>
    </xf>
    <xf numFmtId="49" fontId="1" fillId="0" borderId="14" xfId="3" applyNumberFormat="1" applyFont="1" applyFill="1" applyBorder="1" applyAlignment="1">
      <alignment horizontal="left" vertical="center"/>
    </xf>
    <xf numFmtId="49" fontId="1" fillId="0" borderId="12" xfId="2" applyNumberFormat="1" applyFont="1" applyFill="1" applyBorder="1" applyAlignment="1">
      <alignment horizontal="left" vertical="center"/>
    </xf>
    <xf numFmtId="9" fontId="0" fillId="0" borderId="12" xfId="2" applyFont="1" applyFill="1" applyBorder="1" applyAlignment="1">
      <alignment horizontal="left" vertical="center"/>
    </xf>
    <xf numFmtId="9" fontId="0" fillId="0" borderId="18" xfId="2" applyFont="1" applyFill="1" applyBorder="1" applyAlignment="1">
      <alignment horizontal="left" vertical="center"/>
    </xf>
    <xf numFmtId="0" fontId="1" fillId="2" borderId="21" xfId="3" applyNumberFormat="1" applyFill="1" applyBorder="1" applyAlignment="1">
      <alignment horizontal="center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33" xfId="3" applyNumberFormat="1" applyFill="1" applyBorder="1" applyAlignment="1">
      <alignment horizontal="center" vertical="center"/>
    </xf>
    <xf numFmtId="176" fontId="1" fillId="3" borderId="34" xfId="1" applyNumberFormat="1" applyFont="1" applyFill="1" applyBorder="1" applyAlignment="1">
      <alignment horizontal="center" vertical="center"/>
    </xf>
    <xf numFmtId="176" fontId="1" fillId="3" borderId="35" xfId="1" applyNumberFormat="1" applyFont="1" applyFill="1" applyBorder="1" applyAlignment="1">
      <alignment horizontal="center" vertical="center"/>
    </xf>
    <xf numFmtId="176" fontId="9" fillId="3" borderId="35" xfId="1" applyNumberFormat="1" applyFont="1" applyFill="1" applyBorder="1" applyAlignment="1">
      <alignment horizontal="center" vertical="center"/>
    </xf>
    <xf numFmtId="176" fontId="7" fillId="3" borderId="36" xfId="1" applyNumberFormat="1" applyFont="1" applyFill="1" applyBorder="1" applyAlignment="1">
      <alignment horizontal="center" vertical="center"/>
    </xf>
    <xf numFmtId="177" fontId="1" fillId="4" borderId="33" xfId="1" applyNumberFormat="1" applyFont="1" applyFill="1" applyBorder="1" applyAlignment="1">
      <alignment horizontal="center" vertical="center"/>
    </xf>
    <xf numFmtId="0" fontId="1" fillId="2" borderId="38" xfId="3" applyNumberFormat="1" applyFill="1" applyBorder="1" applyAlignment="1">
      <alignment horizontal="center" vertical="center"/>
    </xf>
    <xf numFmtId="176" fontId="1" fillId="2" borderId="39" xfId="3" applyNumberFormat="1" applyFill="1" applyBorder="1" applyAlignment="1">
      <alignment horizontal="center" vertical="center"/>
    </xf>
    <xf numFmtId="176" fontId="1" fillId="3" borderId="36" xfId="1" applyNumberFormat="1" applyFont="1" applyFill="1" applyBorder="1" applyAlignment="1">
      <alignment horizontal="center" vertical="center"/>
    </xf>
    <xf numFmtId="176" fontId="1" fillId="3" borderId="39" xfId="1" applyNumberFormat="1" applyFont="1" applyFill="1" applyBorder="1" applyAlignment="1">
      <alignment horizontal="center" vertical="center"/>
    </xf>
    <xf numFmtId="176" fontId="11" fillId="2" borderId="36" xfId="1" applyNumberFormat="1" applyFont="1" applyFill="1" applyBorder="1" applyAlignment="1">
      <alignment horizontal="center" vertical="center"/>
    </xf>
    <xf numFmtId="177" fontId="1" fillId="0" borderId="40" xfId="1" applyNumberFormat="1" applyFont="1" applyFill="1" applyBorder="1" applyAlignment="1">
      <alignment horizontal="center" vertical="center"/>
    </xf>
    <xf numFmtId="176" fontId="1" fillId="3" borderId="39" xfId="3" applyNumberFormat="1" applyFill="1" applyBorder="1" applyAlignment="1">
      <alignment horizontal="center" vertical="center"/>
    </xf>
    <xf numFmtId="176" fontId="9" fillId="3" borderId="36" xfId="1" applyNumberFormat="1" applyFont="1" applyFill="1" applyBorder="1" applyAlignment="1">
      <alignment horizontal="center" vertical="center"/>
    </xf>
    <xf numFmtId="177" fontId="1" fillId="4" borderId="38" xfId="1" applyNumberFormat="1" applyFont="1" applyFill="1" applyBorder="1" applyAlignment="1">
      <alignment horizontal="center" vertical="center"/>
    </xf>
    <xf numFmtId="177" fontId="1" fillId="0" borderId="38" xfId="1" applyNumberFormat="1" applyFont="1" applyFill="1" applyBorder="1" applyAlignment="1">
      <alignment horizontal="center" vertical="center"/>
    </xf>
    <xf numFmtId="177" fontId="1" fillId="4" borderId="40" xfId="1" applyNumberFormat="1" applyFont="1" applyFill="1" applyBorder="1" applyAlignment="1">
      <alignment horizontal="center" vertical="center"/>
    </xf>
    <xf numFmtId="177" fontId="1" fillId="0" borderId="42" xfId="1" applyNumberFormat="1" applyFont="1" applyFill="1" applyBorder="1" applyAlignment="1">
      <alignment horizontal="center" vertical="center"/>
    </xf>
    <xf numFmtId="0" fontId="1" fillId="2" borderId="21" xfId="3" applyNumberFormat="1" applyFont="1" applyFill="1" applyBorder="1" applyAlignment="1">
      <alignment horizontal="center" vertical="center"/>
    </xf>
    <xf numFmtId="176" fontId="1" fillId="3" borderId="11" xfId="3" applyNumberFormat="1" applyFont="1" applyFill="1" applyBorder="1" applyAlignment="1">
      <alignment horizontal="center" vertical="center"/>
    </xf>
    <xf numFmtId="176" fontId="1" fillId="3" borderId="37" xfId="1" applyNumberFormat="1" applyFont="1" applyFill="1" applyBorder="1" applyAlignment="1">
      <alignment horizontal="center" vertical="center"/>
    </xf>
    <xf numFmtId="176" fontId="8" fillId="3" borderId="11" xfId="1" applyNumberFormat="1" applyFont="1" applyFill="1" applyBorder="1" applyAlignment="1">
      <alignment horizontal="center" vertical="center"/>
    </xf>
    <xf numFmtId="176" fontId="8" fillId="3" borderId="37" xfId="1" applyNumberFormat="1" applyFont="1" applyFill="1" applyBorder="1" applyAlignment="1">
      <alignment horizontal="center" vertical="center"/>
    </xf>
    <xf numFmtId="176" fontId="7" fillId="3" borderId="37" xfId="1" applyNumberFormat="1" applyFont="1" applyFill="1" applyBorder="1" applyAlignment="1">
      <alignment horizontal="center" vertical="center"/>
    </xf>
    <xf numFmtId="176" fontId="1" fillId="4" borderId="43" xfId="1" applyNumberFormat="1" applyFont="1" applyFill="1" applyBorder="1" applyAlignment="1">
      <alignment horizontal="center" vertical="center"/>
    </xf>
    <xf numFmtId="176" fontId="1" fillId="3" borderId="34" xfId="3" applyNumberFormat="1" applyFill="1" applyBorder="1" applyAlignment="1">
      <alignment horizontal="center" vertical="center"/>
    </xf>
    <xf numFmtId="176" fontId="8" fillId="3" borderId="34" xfId="1" applyNumberFormat="1" applyFont="1" applyFill="1" applyBorder="1" applyAlignment="1">
      <alignment horizontal="center" vertical="center"/>
    </xf>
    <xf numFmtId="176" fontId="8" fillId="3" borderId="35" xfId="1" applyNumberFormat="1" applyFont="1" applyFill="1" applyBorder="1" applyAlignment="1">
      <alignment horizontal="center" vertical="center"/>
    </xf>
    <xf numFmtId="176" fontId="1" fillId="4" borderId="44" xfId="1" applyNumberFormat="1" applyFont="1" applyFill="1" applyBorder="1" applyAlignment="1">
      <alignment horizontal="center" vertical="center"/>
    </xf>
    <xf numFmtId="176" fontId="8" fillId="3" borderId="39" xfId="1" applyNumberFormat="1" applyFont="1" applyFill="1" applyBorder="1" applyAlignment="1">
      <alignment horizontal="center" vertical="center"/>
    </xf>
    <xf numFmtId="176" fontId="8" fillId="3" borderId="36" xfId="1" applyNumberFormat="1" applyFont="1" applyFill="1" applyBorder="1" applyAlignment="1">
      <alignment horizontal="center" vertical="center"/>
    </xf>
    <xf numFmtId="176" fontId="1" fillId="4" borderId="45" xfId="1" applyNumberFormat="1" applyFont="1" applyFill="1" applyBorder="1" applyAlignment="1">
      <alignment horizontal="center" vertical="center"/>
    </xf>
    <xf numFmtId="176" fontId="1" fillId="2" borderId="11" xfId="3" applyNumberFormat="1" applyFill="1" applyBorder="1" applyAlignment="1">
      <alignment horizontal="center" vertical="center"/>
    </xf>
    <xf numFmtId="176" fontId="1" fillId="0" borderId="43" xfId="1" applyNumberFormat="1" applyFont="1" applyFill="1" applyBorder="1" applyAlignment="1">
      <alignment horizontal="center" vertical="center"/>
    </xf>
    <xf numFmtId="176" fontId="1" fillId="3" borderId="11" xfId="3" applyNumberFormat="1" applyFill="1" applyBorder="1" applyAlignment="1">
      <alignment horizontal="center" vertical="center"/>
    </xf>
    <xf numFmtId="0" fontId="1" fillId="2" borderId="38" xfId="3" applyNumberFormat="1" applyFont="1" applyFill="1" applyBorder="1" applyAlignment="1">
      <alignment horizontal="center" vertical="center"/>
    </xf>
    <xf numFmtId="176" fontId="1" fillId="3" borderId="39" xfId="3" applyNumberFormat="1" applyFont="1" applyFill="1" applyBorder="1" applyAlignment="1">
      <alignment horizontal="center" vertical="center"/>
    </xf>
    <xf numFmtId="0" fontId="1" fillId="2" borderId="46" xfId="3" applyNumberFormat="1" applyFont="1" applyFill="1" applyBorder="1" applyAlignment="1">
      <alignment horizontal="center" vertical="center"/>
    </xf>
    <xf numFmtId="176" fontId="1" fillId="2" borderId="47" xfId="3" applyNumberFormat="1" applyFont="1" applyFill="1" applyBorder="1" applyAlignment="1">
      <alignment horizontal="center" vertical="center"/>
    </xf>
    <xf numFmtId="176" fontId="1" fillId="3" borderId="48" xfId="1" applyNumberFormat="1" applyFont="1" applyFill="1" applyBorder="1" applyAlignment="1">
      <alignment horizontal="center" vertical="center"/>
    </xf>
    <xf numFmtId="176" fontId="8" fillId="3" borderId="47" xfId="1" applyNumberFormat="1" applyFont="1" applyFill="1" applyBorder="1" applyAlignment="1">
      <alignment horizontal="center" vertical="center"/>
    </xf>
    <xf numFmtId="176" fontId="8" fillId="3" borderId="48" xfId="1" applyNumberFormat="1" applyFont="1" applyFill="1" applyBorder="1" applyAlignment="1">
      <alignment horizontal="center" vertical="center"/>
    </xf>
    <xf numFmtId="176" fontId="1" fillId="0" borderId="49" xfId="1" applyNumberFormat="1" applyFont="1" applyFill="1" applyBorder="1" applyAlignment="1">
      <alignment horizontal="center" vertical="center"/>
    </xf>
    <xf numFmtId="0" fontId="5" fillId="2" borderId="27" xfId="3" applyNumberFormat="1" applyFont="1" applyFill="1" applyBorder="1" applyAlignment="1">
      <alignment horizontal="center" vertical="center"/>
    </xf>
    <xf numFmtId="176" fontId="5" fillId="2" borderId="55" xfId="3" applyNumberFormat="1" applyFont="1" applyFill="1" applyBorder="1" applyAlignment="1">
      <alignment horizontal="center" vertical="center"/>
    </xf>
    <xf numFmtId="176" fontId="5" fillId="2" borderId="56" xfId="1" applyNumberFormat="1" applyFont="1" applyFill="1" applyBorder="1" applyAlignment="1">
      <alignment horizontal="center" vertical="center"/>
    </xf>
    <xf numFmtId="176" fontId="12" fillId="2" borderId="56" xfId="1" applyNumberFormat="1" applyFont="1" applyFill="1" applyBorder="1" applyAlignment="1">
      <alignment horizontal="center" vertical="center"/>
    </xf>
    <xf numFmtId="176" fontId="13" fillId="2" borderId="56" xfId="1" applyNumberFormat="1" applyFont="1" applyFill="1" applyBorder="1" applyAlignment="1">
      <alignment horizontal="center" vertical="center"/>
    </xf>
    <xf numFmtId="176" fontId="12" fillId="2" borderId="55" xfId="1" applyNumberFormat="1" applyFont="1" applyFill="1" applyBorder="1" applyAlignment="1">
      <alignment horizontal="center" vertical="center"/>
    </xf>
    <xf numFmtId="176" fontId="5" fillId="2" borderId="27" xfId="1" applyNumberFormat="1" applyFont="1" applyFill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60" xfId="3" applyNumberFormat="1" applyFont="1" applyFill="1" applyBorder="1" applyAlignment="1">
      <alignment horizontal="center" vertical="center"/>
    </xf>
    <xf numFmtId="0" fontId="11" fillId="0" borderId="61" xfId="3" applyNumberFormat="1" applyFont="1" applyFill="1" applyBorder="1" applyAlignment="1">
      <alignment horizontal="center" vertical="center"/>
    </xf>
    <xf numFmtId="0" fontId="11" fillId="0" borderId="7" xfId="3" applyNumberFormat="1" applyFont="1" applyFill="1" applyBorder="1" applyAlignment="1">
      <alignment horizontal="center" vertical="center"/>
    </xf>
    <xf numFmtId="0" fontId="11" fillId="0" borderId="59" xfId="3" applyNumberFormat="1" applyFont="1" applyFill="1" applyBorder="1" applyAlignment="1">
      <alignment horizontal="center" vertical="center"/>
    </xf>
    <xf numFmtId="41" fontId="1" fillId="0" borderId="0" xfId="1" applyFont="1" applyFill="1">
      <alignment vertical="center"/>
    </xf>
    <xf numFmtId="0" fontId="7" fillId="0" borderId="0" xfId="3" applyNumberFormat="1" applyFont="1" applyFill="1" applyBorder="1" applyAlignment="1">
      <alignment horizontal="center" vertical="center"/>
    </xf>
    <xf numFmtId="0" fontId="1" fillId="2" borderId="5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/>
    </xf>
    <xf numFmtId="0" fontId="1" fillId="2" borderId="23" xfId="3" applyNumberFormat="1" applyFont="1" applyFill="1" applyBorder="1" applyAlignment="1">
      <alignment horizontal="center" vertical="center"/>
    </xf>
    <xf numFmtId="0" fontId="5" fillId="2" borderId="16" xfId="3" applyNumberFormat="1" applyFont="1" applyFill="1" applyBorder="1" applyAlignment="1">
      <alignment vertical="center"/>
    </xf>
    <xf numFmtId="0" fontId="5" fillId="2" borderId="18" xfId="3" applyNumberFormat="1" applyFont="1" applyFill="1" applyBorder="1" applyAlignment="1">
      <alignment horizontal="center" vertical="center"/>
    </xf>
    <xf numFmtId="0" fontId="1" fillId="0" borderId="69" xfId="3" applyNumberFormat="1" applyFont="1" applyFill="1" applyBorder="1" applyAlignment="1">
      <alignment horizontal="center" vertical="center"/>
    </xf>
    <xf numFmtId="0" fontId="1" fillId="0" borderId="0" xfId="3" applyNumberFormat="1" applyFill="1" applyBorder="1" applyAlignment="1">
      <alignment horizontal="center" vertical="center"/>
    </xf>
    <xf numFmtId="0" fontId="5" fillId="2" borderId="19" xfId="3" applyNumberFormat="1" applyFont="1" applyFill="1" applyBorder="1" applyAlignment="1">
      <alignment vertical="center"/>
    </xf>
    <xf numFmtId="0" fontId="5" fillId="2" borderId="32" xfId="3" applyNumberFormat="1" applyFont="1" applyFill="1" applyBorder="1" applyAlignment="1">
      <alignment horizontal="center" vertical="center"/>
    </xf>
    <xf numFmtId="0" fontId="1" fillId="0" borderId="29" xfId="3" applyNumberFormat="1" applyFill="1" applyBorder="1" applyAlignment="1">
      <alignment horizontal="center" vertical="center"/>
    </xf>
    <xf numFmtId="0" fontId="1" fillId="0" borderId="52" xfId="3" applyNumberFormat="1" applyFill="1" applyBorder="1" applyAlignment="1">
      <alignment horizontal="center" vertical="center"/>
    </xf>
    <xf numFmtId="0" fontId="1" fillId="0" borderId="32" xfId="3" applyNumberFormat="1" applyFill="1" applyBorder="1" applyAlignment="1">
      <alignment horizontal="center" vertical="center"/>
    </xf>
    <xf numFmtId="0" fontId="1" fillId="0" borderId="23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20" fontId="1" fillId="0" borderId="54" xfId="3" applyNumberFormat="1" applyFont="1" applyFill="1" applyBorder="1" applyAlignment="1">
      <alignment horizontal="left" vertical="center"/>
    </xf>
    <xf numFmtId="0" fontId="1" fillId="0" borderId="52" xfId="3" applyNumberFormat="1" applyFont="1" applyFill="1" applyBorder="1">
      <alignment vertical="center"/>
    </xf>
    <xf numFmtId="20" fontId="1" fillId="0" borderId="52" xfId="3" applyNumberFormat="1" applyFont="1" applyFill="1" applyBorder="1" applyAlignment="1">
      <alignment horizontal="left" vertical="center"/>
    </xf>
    <xf numFmtId="0" fontId="1" fillId="0" borderId="32" xfId="3" applyNumberFormat="1" applyFont="1" applyFill="1" applyBorder="1" applyAlignment="1">
      <alignment horizontal="center" vertical="center"/>
    </xf>
    <xf numFmtId="0" fontId="10" fillId="0" borderId="0" xfId="3" applyNumberFormat="1" applyFont="1" applyFill="1" applyBorder="1" applyAlignment="1">
      <alignment horizontal="right" vertical="center"/>
    </xf>
    <xf numFmtId="0" fontId="5" fillId="0" borderId="0" xfId="3" applyNumberFormat="1" applyFont="1" applyFill="1" applyBorder="1" applyAlignment="1">
      <alignment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21" xfId="3" applyNumberFormat="1" applyFont="1" applyFill="1" applyBorder="1" applyAlignment="1">
      <alignment horizontal="center" vertical="center" wrapText="1"/>
    </xf>
    <xf numFmtId="41" fontId="9" fillId="0" borderId="54" xfId="1" applyFont="1" applyFill="1" applyBorder="1" applyAlignment="1">
      <alignment vertical="center"/>
    </xf>
    <xf numFmtId="41" fontId="9" fillId="0" borderId="52" xfId="1" applyFont="1" applyFill="1" applyBorder="1" applyAlignment="1">
      <alignment vertical="center"/>
    </xf>
    <xf numFmtId="0" fontId="1" fillId="0" borderId="41" xfId="3" applyNumberFormat="1" applyFill="1" applyBorder="1" applyAlignment="1">
      <alignment horizontal="center" vertical="center"/>
    </xf>
    <xf numFmtId="0" fontId="1" fillId="0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23" xfId="3" applyNumberFormat="1" applyFill="1" applyBorder="1" applyAlignment="1">
      <alignment horizontal="center" vertical="center"/>
    </xf>
    <xf numFmtId="0" fontId="1" fillId="2" borderId="18" xfId="3" applyNumberFormat="1" applyFill="1" applyBorder="1" applyAlignment="1">
      <alignment horizontal="center" vertical="center"/>
    </xf>
    <xf numFmtId="41" fontId="9" fillId="4" borderId="52" xfId="1" applyFont="1" applyFill="1" applyBorder="1" applyAlignment="1">
      <alignment vertical="center"/>
    </xf>
    <xf numFmtId="41" fontId="18" fillId="4" borderId="52" xfId="1" applyFont="1" applyFill="1" applyBorder="1" applyAlignment="1">
      <alignment vertical="center"/>
    </xf>
    <xf numFmtId="41" fontId="8" fillId="4" borderId="27" xfId="4" applyNumberFormat="1" applyFont="1" applyFill="1" applyBorder="1" applyAlignment="1">
      <alignment horizontal="center" vertical="center"/>
    </xf>
    <xf numFmtId="176" fontId="7" fillId="3" borderId="72" xfId="1" applyNumberFormat="1" applyFont="1" applyFill="1" applyBorder="1" applyAlignment="1">
      <alignment horizontal="center" vertical="center"/>
    </xf>
    <xf numFmtId="176" fontId="7" fillId="3" borderId="48" xfId="1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176" fontId="7" fillId="3" borderId="35" xfId="1" applyNumberFormat="1" applyFont="1" applyFill="1" applyBorder="1" applyAlignment="1">
      <alignment horizontal="center" vertical="center"/>
    </xf>
    <xf numFmtId="176" fontId="1" fillId="0" borderId="39" xfId="3" applyNumberFormat="1" applyFont="1" applyFill="1" applyBorder="1" applyAlignment="1">
      <alignment horizontal="center" vertical="center"/>
    </xf>
    <xf numFmtId="176" fontId="7" fillId="0" borderId="36" xfId="1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 applyAlignment="1">
      <alignment horizontal="left" vertical="center"/>
    </xf>
    <xf numFmtId="0" fontId="1" fillId="2" borderId="40" xfId="3" applyNumberFormat="1" applyFont="1" applyFill="1" applyBorder="1" applyAlignment="1">
      <alignment horizontal="center" vertical="center"/>
    </xf>
    <xf numFmtId="176" fontId="1" fillId="0" borderId="73" xfId="3" applyNumberFormat="1" applyFont="1" applyFill="1" applyBorder="1" applyAlignment="1">
      <alignment horizontal="center" vertical="center"/>
    </xf>
    <xf numFmtId="176" fontId="1" fillId="3" borderId="72" xfId="1" applyNumberFormat="1" applyFont="1" applyFill="1" applyBorder="1" applyAlignment="1">
      <alignment horizontal="center" vertical="center"/>
    </xf>
    <xf numFmtId="176" fontId="8" fillId="3" borderId="73" xfId="1" applyNumberFormat="1" applyFont="1" applyFill="1" applyBorder="1" applyAlignment="1">
      <alignment horizontal="center" vertical="center"/>
    </xf>
    <xf numFmtId="176" fontId="8" fillId="3" borderId="72" xfId="1" applyNumberFormat="1" applyFont="1" applyFill="1" applyBorder="1" applyAlignment="1">
      <alignment horizontal="center" vertical="center"/>
    </xf>
    <xf numFmtId="41" fontId="9" fillId="0" borderId="29" xfId="1" applyFont="1" applyFill="1" applyBorder="1" applyAlignment="1">
      <alignment vertical="center"/>
    </xf>
    <xf numFmtId="0" fontId="1" fillId="2" borderId="40" xfId="3" applyNumberFormat="1" applyFill="1" applyBorder="1" applyAlignment="1">
      <alignment horizontal="center" vertical="center"/>
    </xf>
    <xf numFmtId="0" fontId="1" fillId="2" borderId="46" xfId="3" applyNumberFormat="1" applyFill="1" applyBorder="1" applyAlignment="1">
      <alignment horizontal="center" vertical="center"/>
    </xf>
    <xf numFmtId="0" fontId="5" fillId="2" borderId="25" xfId="3" applyNumberFormat="1" applyFont="1" applyFill="1" applyBorder="1" applyAlignment="1">
      <alignment horizontal="center" vertical="center"/>
    </xf>
    <xf numFmtId="0" fontId="19" fillId="0" borderId="0" xfId="3" applyNumberFormat="1" applyFont="1" applyFill="1" applyAlignment="1">
      <alignment horizontal="left" vertical="center"/>
    </xf>
    <xf numFmtId="0" fontId="10" fillId="0" borderId="0" xfId="3" applyNumberFormat="1" applyFont="1" applyFill="1" applyBorder="1" applyAlignment="1">
      <alignment vertical="center"/>
    </xf>
    <xf numFmtId="0" fontId="11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11" fillId="0" borderId="0" xfId="3" applyNumberFormat="1" applyFont="1" applyFill="1" applyBorder="1" applyAlignment="1">
      <alignment horizontal="left" vertical="center"/>
    </xf>
    <xf numFmtId="0" fontId="11" fillId="0" borderId="0" xfId="3" applyNumberFormat="1" applyFont="1" applyFill="1">
      <alignment vertical="center"/>
    </xf>
    <xf numFmtId="178" fontId="11" fillId="0" borderId="0" xfId="2" applyNumberFormat="1" applyFont="1" applyFill="1" applyBorder="1" applyAlignment="1">
      <alignment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178" fontId="1" fillId="0" borderId="18" xfId="2" applyNumberFormat="1" applyFont="1" applyFill="1" applyBorder="1">
      <alignment vertical="center"/>
    </xf>
    <xf numFmtId="0" fontId="1" fillId="2" borderId="71" xfId="3" applyNumberFormat="1" applyFill="1" applyBorder="1" applyAlignment="1">
      <alignment horizontal="center" vertical="center"/>
    </xf>
    <xf numFmtId="0" fontId="1" fillId="2" borderId="37" xfId="3" applyNumberFormat="1" applyFont="1" applyFill="1" applyBorder="1" applyAlignment="1">
      <alignment horizontal="center" vertical="center" wrapText="1"/>
    </xf>
    <xf numFmtId="0" fontId="1" fillId="2" borderId="71" xfId="3" applyNumberFormat="1" applyFont="1" applyFill="1" applyBorder="1" applyAlignment="1">
      <alignment horizontal="center" vertical="center" wrapText="1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5" xfId="3" applyNumberFormat="1" applyFont="1" applyFill="1" applyBorder="1" applyAlignment="1">
      <alignment horizontal="center" vertical="center" wrapText="1"/>
    </xf>
    <xf numFmtId="0" fontId="1" fillId="2" borderId="8" xfId="3" applyNumberFormat="1" applyFont="1" applyFill="1" applyBorder="1" applyAlignment="1">
      <alignment horizontal="center" vertical="center" wrapText="1"/>
    </xf>
    <xf numFmtId="41" fontId="9" fillId="0" borderId="76" xfId="1" applyFont="1" applyFill="1" applyBorder="1" applyAlignment="1">
      <alignment vertical="center"/>
    </xf>
    <xf numFmtId="176" fontId="5" fillId="2" borderId="26" xfId="3" applyNumberFormat="1" applyFont="1" applyFill="1" applyBorder="1" applyAlignment="1">
      <alignment horizontal="center" vertical="center"/>
    </xf>
    <xf numFmtId="176" fontId="13" fillId="2" borderId="57" xfId="1" applyNumberFormat="1" applyFont="1" applyFill="1" applyBorder="1" applyAlignment="1">
      <alignment horizontal="center" vertical="center"/>
    </xf>
    <xf numFmtId="0" fontId="1" fillId="5" borderId="18" xfId="3" applyNumberFormat="1" applyFill="1" applyBorder="1">
      <alignment vertical="center"/>
    </xf>
    <xf numFmtId="178" fontId="1" fillId="0" borderId="12" xfId="2" applyNumberFormat="1" applyFont="1" applyFill="1" applyBorder="1">
      <alignment vertical="center"/>
    </xf>
    <xf numFmtId="178" fontId="1" fillId="5" borderId="12" xfId="2" applyNumberFormat="1" applyFont="1" applyFill="1" applyBorder="1">
      <alignment vertical="center"/>
    </xf>
    <xf numFmtId="178" fontId="1" fillId="0" borderId="52" xfId="2" applyNumberFormat="1" applyFont="1" applyFill="1" applyBorder="1">
      <alignment vertical="center"/>
    </xf>
    <xf numFmtId="0" fontId="1" fillId="2" borderId="25" xfId="3" applyNumberFormat="1" applyFont="1" applyFill="1" applyBorder="1" applyAlignment="1">
      <alignment horizontal="center" vertical="center"/>
    </xf>
    <xf numFmtId="176" fontId="1" fillId="0" borderId="76" xfId="3" applyNumberFormat="1" applyFon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1" fillId="2" borderId="10" xfId="3" applyNumberFormat="1" applyFont="1" applyFill="1" applyBorder="1" applyAlignment="1">
      <alignment horizontal="center" vertical="center" wrapText="1"/>
    </xf>
    <xf numFmtId="0" fontId="1" fillId="0" borderId="63" xfId="3" applyNumberFormat="1" applyFon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25" xfId="3" applyNumberFormat="1" applyFont="1" applyFill="1" applyBorder="1" applyAlignment="1">
      <alignment horizontal="center" vertical="center"/>
    </xf>
    <xf numFmtId="0" fontId="1" fillId="6" borderId="38" xfId="3" applyNumberFormat="1" applyFill="1" applyBorder="1" applyAlignment="1">
      <alignment horizontal="center" vertical="center"/>
    </xf>
    <xf numFmtId="0" fontId="1" fillId="6" borderId="46" xfId="3" applyNumberFormat="1" applyFill="1" applyBorder="1" applyAlignment="1">
      <alignment horizontal="center" vertical="center"/>
    </xf>
    <xf numFmtId="0" fontId="11" fillId="0" borderId="12" xfId="2" applyNumberFormat="1" applyFont="1" applyFill="1" applyBorder="1" applyAlignment="1">
      <alignment vertical="center"/>
    </xf>
    <xf numFmtId="0" fontId="5" fillId="2" borderId="16" xfId="3" applyNumberFormat="1" applyFont="1" applyFill="1" applyBorder="1" applyAlignment="1">
      <alignment horizontal="center" vertical="center"/>
    </xf>
    <xf numFmtId="0" fontId="5" fillId="2" borderId="0" xfId="3" applyNumberFormat="1" applyFont="1" applyFill="1" applyBorder="1" applyAlignment="1">
      <alignment horizontal="center" vertical="center"/>
    </xf>
    <xf numFmtId="0" fontId="5" fillId="0" borderId="0" xfId="3" applyNumberFormat="1" applyFont="1" applyFill="1" applyBorder="1">
      <alignment vertical="center"/>
    </xf>
    <xf numFmtId="0" fontId="1" fillId="2" borderId="0" xfId="3" applyNumberFormat="1" applyFill="1" applyBorder="1" applyAlignment="1">
      <alignment horizontal="center" vertical="center"/>
    </xf>
    <xf numFmtId="41" fontId="5" fillId="4" borderId="0" xfId="3" applyNumberFormat="1" applyFont="1" applyFill="1" applyBorder="1" applyAlignment="1">
      <alignment horizontal="center" vertical="center"/>
    </xf>
    <xf numFmtId="0" fontId="5" fillId="4" borderId="17" xfId="3" applyNumberFormat="1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0" fontId="21" fillId="0" borderId="0" xfId="3" applyNumberFormat="1" applyFont="1" applyFill="1" applyBorder="1" applyAlignment="1">
      <alignment horizontal="left" vertical="center"/>
    </xf>
    <xf numFmtId="0" fontId="21" fillId="0" borderId="0" xfId="3" applyNumberFormat="1" applyFont="1" applyFill="1">
      <alignment vertical="center"/>
    </xf>
    <xf numFmtId="41" fontId="21" fillId="0" borderId="0" xfId="1" applyFont="1" applyFill="1">
      <alignment vertical="center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6" borderId="77" xfId="3" applyNumberFormat="1" applyFill="1" applyBorder="1" applyAlignment="1">
      <alignment horizontal="center" vertical="center"/>
    </xf>
    <xf numFmtId="0" fontId="1" fillId="2" borderId="77" xfId="3" applyNumberFormat="1" applyFont="1" applyFill="1" applyBorder="1" applyAlignment="1">
      <alignment horizontal="center" vertical="center"/>
    </xf>
    <xf numFmtId="176" fontId="1" fillId="3" borderId="79" xfId="1" applyNumberFormat="1" applyFont="1" applyFill="1" applyBorder="1" applyAlignment="1">
      <alignment horizontal="center" vertical="center"/>
    </xf>
    <xf numFmtId="176" fontId="8" fillId="3" borderId="78" xfId="1" applyNumberFormat="1" applyFont="1" applyFill="1" applyBorder="1" applyAlignment="1">
      <alignment horizontal="center" vertical="center"/>
    </xf>
    <xf numFmtId="176" fontId="8" fillId="3" borderId="79" xfId="1" applyNumberFormat="1" applyFont="1" applyFill="1" applyBorder="1" applyAlignment="1">
      <alignment horizontal="center" vertical="center"/>
    </xf>
    <xf numFmtId="176" fontId="7" fillId="3" borderId="79" xfId="1" applyNumberFormat="1" applyFont="1" applyFill="1" applyBorder="1" applyAlignment="1">
      <alignment horizontal="center" vertical="center"/>
    </xf>
    <xf numFmtId="176" fontId="1" fillId="2" borderId="80" xfId="3" applyNumberFormat="1" applyFont="1" applyFill="1" applyBorder="1" applyAlignment="1">
      <alignment horizontal="center" vertical="center"/>
    </xf>
    <xf numFmtId="176" fontId="1" fillId="2" borderId="81" xfId="3" applyNumberFormat="1" applyFont="1" applyFill="1" applyBorder="1" applyAlignment="1">
      <alignment horizontal="center" vertical="center"/>
    </xf>
    <xf numFmtId="176" fontId="1" fillId="2" borderId="82" xfId="3" applyNumberFormat="1" applyFont="1" applyFill="1" applyBorder="1" applyAlignment="1">
      <alignment horizontal="center" vertical="center"/>
    </xf>
    <xf numFmtId="176" fontId="1" fillId="0" borderId="33" xfId="1" applyNumberFormat="1" applyFont="1" applyFill="1" applyBorder="1" applyAlignment="1">
      <alignment horizontal="center" vertical="center"/>
    </xf>
    <xf numFmtId="176" fontId="1" fillId="0" borderId="38" xfId="1" applyNumberFormat="1" applyFont="1" applyFill="1" applyBorder="1" applyAlignment="1">
      <alignment horizontal="center" vertical="center"/>
    </xf>
    <xf numFmtId="176" fontId="1" fillId="0" borderId="46" xfId="1" applyNumberFormat="1" applyFont="1" applyFill="1" applyBorder="1" applyAlignment="1">
      <alignment horizontal="center" vertical="center"/>
    </xf>
    <xf numFmtId="176" fontId="1" fillId="0" borderId="81" xfId="3" applyNumberFormat="1" applyFont="1" applyFill="1" applyBorder="1" applyAlignment="1">
      <alignment horizontal="center" vertical="center"/>
    </xf>
    <xf numFmtId="0" fontId="1" fillId="2" borderId="33" xfId="3" applyNumberFormat="1" applyFont="1" applyFill="1" applyBorder="1" applyAlignment="1">
      <alignment horizontal="center" vertical="center"/>
    </xf>
    <xf numFmtId="176" fontId="1" fillId="2" borderId="78" xfId="3" applyNumberFormat="1" applyFont="1" applyFill="1" applyBorder="1" applyAlignment="1">
      <alignment horizontal="center" vertical="center"/>
    </xf>
    <xf numFmtId="178" fontId="1" fillId="5" borderId="52" xfId="2" applyNumberFormat="1" applyFont="1" applyFill="1" applyBorder="1">
      <alignment vertical="center"/>
    </xf>
    <xf numFmtId="0" fontId="1" fillId="0" borderId="18" xfId="2" applyNumberFormat="1" applyFont="1" applyFill="1" applyBorder="1">
      <alignment vertical="center"/>
    </xf>
    <xf numFmtId="176" fontId="1" fillId="0" borderId="45" xfId="1" applyNumberFormat="1" applyFont="1" applyFill="1" applyBorder="1" applyAlignment="1">
      <alignment horizontal="center" vertical="center"/>
    </xf>
    <xf numFmtId="177" fontId="1" fillId="4" borderId="45" xfId="1" applyNumberFormat="1" applyFont="1" applyFill="1" applyBorder="1" applyAlignment="1">
      <alignment horizontal="center" vertical="center"/>
    </xf>
    <xf numFmtId="9" fontId="1" fillId="0" borderId="18" xfId="2" applyFont="1" applyFill="1" applyBorder="1">
      <alignment vertical="center"/>
    </xf>
    <xf numFmtId="9" fontId="11" fillId="0" borderId="52" xfId="2" applyFont="1" applyFill="1" applyBorder="1" applyAlignment="1">
      <alignment vertical="center"/>
    </xf>
    <xf numFmtId="9" fontId="11" fillId="5" borderId="52" xfId="2" applyFont="1" applyFill="1" applyBorder="1" applyAlignment="1">
      <alignment vertical="center"/>
    </xf>
    <xf numFmtId="9" fontId="1" fillId="0" borderId="52" xfId="2" applyFont="1" applyFill="1" applyBorder="1">
      <alignment vertical="center"/>
    </xf>
    <xf numFmtId="9" fontId="1" fillId="0" borderId="32" xfId="2" applyFont="1" applyFill="1" applyBorder="1">
      <alignment vertical="center"/>
    </xf>
    <xf numFmtId="9" fontId="1" fillId="5" borderId="52" xfId="2" applyFont="1" applyFill="1" applyBorder="1">
      <alignment vertical="center"/>
    </xf>
    <xf numFmtId="9" fontId="1" fillId="5" borderId="32" xfId="2" applyFont="1" applyFill="1" applyBorder="1">
      <alignment vertical="center"/>
    </xf>
    <xf numFmtId="176" fontId="1" fillId="0" borderId="42" xfId="1" applyNumberFormat="1" applyFont="1" applyFill="1" applyBorder="1" applyAlignment="1">
      <alignment horizontal="center" vertical="center"/>
    </xf>
    <xf numFmtId="176" fontId="8" fillId="2" borderId="48" xfId="1" applyNumberFormat="1" applyFont="1" applyFill="1" applyBorder="1" applyAlignment="1">
      <alignment horizontal="center" vertical="center"/>
    </xf>
    <xf numFmtId="176" fontId="8" fillId="2" borderId="36" xfId="1" applyNumberFormat="1" applyFont="1" applyFill="1" applyBorder="1" applyAlignment="1">
      <alignment horizontal="center" vertical="center"/>
    </xf>
    <xf numFmtId="176" fontId="8" fillId="2" borderId="35" xfId="1" applyNumberFormat="1" applyFont="1" applyFill="1" applyBorder="1" applyAlignment="1">
      <alignment horizontal="center" vertical="center"/>
    </xf>
    <xf numFmtId="176" fontId="8" fillId="2" borderId="79" xfId="1" applyNumberFormat="1" applyFont="1" applyFill="1" applyBorder="1" applyAlignment="1">
      <alignment horizontal="center" vertical="center"/>
    </xf>
    <xf numFmtId="178" fontId="1" fillId="0" borderId="85" xfId="2" applyNumberFormat="1" applyFont="1" applyFill="1" applyBorder="1">
      <alignment vertical="center"/>
    </xf>
    <xf numFmtId="178" fontId="1" fillId="0" borderId="86" xfId="2" applyNumberFormat="1" applyFont="1" applyFill="1" applyBorder="1">
      <alignment vertical="center"/>
    </xf>
    <xf numFmtId="178" fontId="1" fillId="0" borderId="87" xfId="2" applyNumberFormat="1" applyFont="1" applyFill="1" applyBorder="1">
      <alignment vertical="center"/>
    </xf>
    <xf numFmtId="9" fontId="11" fillId="0" borderId="85" xfId="2" applyFont="1" applyFill="1" applyBorder="1" applyAlignment="1">
      <alignment vertical="center"/>
    </xf>
    <xf numFmtId="9" fontId="11" fillId="0" borderId="86" xfId="2" applyFont="1" applyFill="1" applyBorder="1" applyAlignment="1">
      <alignment vertical="center"/>
    </xf>
    <xf numFmtId="9" fontId="11" fillId="0" borderId="87" xfId="2" applyFont="1" applyFill="1" applyBorder="1" applyAlignment="1">
      <alignment vertical="center"/>
    </xf>
    <xf numFmtId="9" fontId="1" fillId="0" borderId="85" xfId="2" applyFont="1" applyFill="1" applyBorder="1">
      <alignment vertical="center"/>
    </xf>
    <xf numFmtId="9" fontId="1" fillId="0" borderId="86" xfId="2" applyFont="1" applyFill="1" applyBorder="1">
      <alignment vertical="center"/>
    </xf>
    <xf numFmtId="9" fontId="1" fillId="0" borderId="87" xfId="2" applyFont="1" applyFill="1" applyBorder="1">
      <alignment vertical="center"/>
    </xf>
    <xf numFmtId="41" fontId="11" fillId="0" borderId="50" xfId="2" applyNumberFormat="1" applyFont="1" applyFill="1" applyBorder="1" applyAlignment="1">
      <alignment vertical="center"/>
    </xf>
    <xf numFmtId="178" fontId="1" fillId="0" borderId="50" xfId="2" applyNumberFormat="1" applyFont="1" applyFill="1" applyBorder="1">
      <alignment vertical="center"/>
    </xf>
    <xf numFmtId="0" fontId="1" fillId="0" borderId="51" xfId="2" applyNumberFormat="1" applyFont="1" applyFill="1" applyBorder="1">
      <alignment vertical="center"/>
    </xf>
    <xf numFmtId="178" fontId="11" fillId="5" borderId="37" xfId="2" applyNumberFormat="1" applyFont="1" applyFill="1" applyBorder="1" applyAlignment="1">
      <alignment vertical="center"/>
    </xf>
    <xf numFmtId="9" fontId="1" fillId="5" borderId="37" xfId="2" applyFont="1" applyFill="1" applyBorder="1">
      <alignment vertical="center"/>
    </xf>
    <xf numFmtId="9" fontId="1" fillId="5" borderId="21" xfId="2" applyFont="1" applyFill="1" applyBorder="1">
      <alignment vertical="center"/>
    </xf>
    <xf numFmtId="9" fontId="11" fillId="0" borderId="71" xfId="2" applyFont="1" applyFill="1" applyBorder="1" applyAlignment="1">
      <alignment vertical="center"/>
    </xf>
    <xf numFmtId="178" fontId="1" fillId="0" borderId="7" xfId="2" applyNumberFormat="1" applyFont="1" applyFill="1" applyBorder="1">
      <alignment vertical="center"/>
    </xf>
    <xf numFmtId="9" fontId="1" fillId="0" borderId="23" xfId="2" applyFont="1" applyFill="1" applyBorder="1">
      <alignment vertical="center"/>
    </xf>
    <xf numFmtId="9" fontId="11" fillId="0" borderId="54" xfId="2" applyFont="1" applyFill="1" applyBorder="1" applyAlignment="1">
      <alignment vertical="center"/>
    </xf>
    <xf numFmtId="0" fontId="1" fillId="2" borderId="66" xfId="3" applyNumberFormat="1" applyFill="1" applyBorder="1" applyAlignment="1">
      <alignment horizontal="center" vertical="center"/>
    </xf>
    <xf numFmtId="0" fontId="11" fillId="2" borderId="60" xfId="3" applyNumberFormat="1" applyFont="1" applyFill="1" applyBorder="1" applyAlignment="1">
      <alignment horizontal="center" vertical="center"/>
    </xf>
    <xf numFmtId="0" fontId="1" fillId="2" borderId="60" xfId="3" applyNumberFormat="1" applyFill="1" applyBorder="1" applyAlignment="1">
      <alignment horizontal="center" vertical="center"/>
    </xf>
    <xf numFmtId="178" fontId="1" fillId="0" borderId="37" xfId="2" applyNumberFormat="1" applyFont="1" applyFill="1" applyBorder="1">
      <alignment vertical="center"/>
    </xf>
    <xf numFmtId="0" fontId="11" fillId="0" borderId="71" xfId="2" applyNumberFormat="1" applyFont="1" applyFill="1" applyBorder="1" applyAlignment="1">
      <alignment vertical="center"/>
    </xf>
    <xf numFmtId="178" fontId="1" fillId="0" borderId="23" xfId="2" applyNumberFormat="1" applyFont="1" applyFill="1" applyBorder="1">
      <alignment vertical="center"/>
    </xf>
    <xf numFmtId="178" fontId="11" fillId="5" borderId="41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1" fillId="5" borderId="54" xfId="2" applyNumberFormat="1" applyFont="1" applyFill="1" applyBorder="1" applyAlignment="1">
      <alignment vertical="center"/>
    </xf>
    <xf numFmtId="0" fontId="1" fillId="5" borderId="32" xfId="3" applyNumberFormat="1" applyFill="1" applyBorder="1">
      <alignment vertical="center"/>
    </xf>
    <xf numFmtId="0" fontId="1" fillId="2" borderId="66" xfId="3" applyNumberFormat="1" applyFont="1" applyFill="1" applyBorder="1" applyAlignment="1">
      <alignment horizontal="center" vertical="center"/>
    </xf>
    <xf numFmtId="41" fontId="11" fillId="0" borderId="37" xfId="2" applyNumberFormat="1" applyFont="1" applyFill="1" applyBorder="1" applyAlignment="1">
      <alignment vertical="center"/>
    </xf>
    <xf numFmtId="0" fontId="1" fillId="0" borderId="21" xfId="2" applyNumberFormat="1" applyFont="1" applyFill="1" applyBorder="1">
      <alignment vertical="center"/>
    </xf>
    <xf numFmtId="178" fontId="11" fillId="0" borderId="71" xfId="2" applyNumberFormat="1" applyFont="1" applyFill="1" applyBorder="1" applyAlignment="1">
      <alignment vertical="center"/>
    </xf>
    <xf numFmtId="0" fontId="1" fillId="2" borderId="62" xfId="3" applyNumberFormat="1" applyFont="1" applyFill="1" applyBorder="1" applyAlignment="1">
      <alignment horizontal="center" vertical="center"/>
    </xf>
    <xf numFmtId="0" fontId="1" fillId="2" borderId="88" xfId="3" applyNumberFormat="1" applyFont="1" applyFill="1" applyBorder="1" applyAlignment="1">
      <alignment horizontal="center" vertical="center"/>
    </xf>
    <xf numFmtId="0" fontId="1" fillId="2" borderId="89" xfId="3" applyNumberFormat="1" applyFont="1" applyFill="1" applyBorder="1" applyAlignment="1">
      <alignment horizontal="center" vertical="center"/>
    </xf>
    <xf numFmtId="0" fontId="1" fillId="2" borderId="90" xfId="3" applyNumberFormat="1" applyFont="1" applyFill="1" applyBorder="1" applyAlignment="1">
      <alignment horizontal="center" vertical="center"/>
    </xf>
    <xf numFmtId="0" fontId="1" fillId="2" borderId="91" xfId="3" applyNumberFormat="1" applyFont="1" applyFill="1" applyBorder="1" applyAlignment="1">
      <alignment horizontal="center" vertical="center"/>
    </xf>
    <xf numFmtId="0" fontId="1" fillId="2" borderId="92" xfId="3" applyNumberFormat="1" applyFont="1" applyFill="1" applyBorder="1" applyAlignment="1">
      <alignment horizontal="center" vertical="center"/>
    </xf>
    <xf numFmtId="0" fontId="1" fillId="6" borderId="93" xfId="3" applyNumberFormat="1" applyFill="1" applyBorder="1" applyAlignment="1">
      <alignment horizontal="center" vertical="center"/>
    </xf>
    <xf numFmtId="0" fontId="1" fillId="6" borderId="89" xfId="3" applyNumberFormat="1" applyFill="1" applyBorder="1" applyAlignment="1">
      <alignment horizontal="center" vertical="center"/>
    </xf>
    <xf numFmtId="0" fontId="1" fillId="6" borderId="90" xfId="3" applyNumberFormat="1" applyFill="1" applyBorder="1" applyAlignment="1">
      <alignment horizontal="center" vertical="center"/>
    </xf>
    <xf numFmtId="0" fontId="1" fillId="2" borderId="94" xfId="3" applyNumberFormat="1" applyFont="1" applyFill="1" applyBorder="1" applyAlignment="1">
      <alignment horizontal="center" vertical="center"/>
    </xf>
    <xf numFmtId="0" fontId="1" fillId="2" borderId="93" xfId="3" applyNumberFormat="1" applyFont="1" applyFill="1" applyBorder="1" applyAlignment="1">
      <alignment horizontal="center" vertical="center"/>
    </xf>
    <xf numFmtId="0" fontId="0" fillId="2" borderId="84" xfId="0" applyFill="1" applyBorder="1">
      <alignment vertical="center"/>
    </xf>
    <xf numFmtId="0" fontId="0" fillId="0" borderId="84" xfId="0" applyBorder="1">
      <alignment vertical="center"/>
    </xf>
    <xf numFmtId="0" fontId="0" fillId="4" borderId="84" xfId="0" applyFill="1" applyBorder="1">
      <alignment vertical="center"/>
    </xf>
    <xf numFmtId="176" fontId="5" fillId="4" borderId="55" xfId="3" applyNumberFormat="1" applyFont="1" applyFill="1" applyBorder="1" applyAlignment="1">
      <alignment horizontal="center" vertical="center"/>
    </xf>
    <xf numFmtId="176" fontId="5" fillId="4" borderId="56" xfId="1" applyNumberFormat="1" applyFont="1" applyFill="1" applyBorder="1" applyAlignment="1">
      <alignment horizontal="center" vertical="center"/>
    </xf>
    <xf numFmtId="176" fontId="12" fillId="4" borderId="56" xfId="1" applyNumberFormat="1" applyFont="1" applyFill="1" applyBorder="1" applyAlignment="1">
      <alignment horizontal="center" vertical="center"/>
    </xf>
    <xf numFmtId="176" fontId="13" fillId="4" borderId="56" xfId="1" applyNumberFormat="1" applyFont="1" applyFill="1" applyBorder="1" applyAlignment="1">
      <alignment horizontal="center" vertical="center"/>
    </xf>
    <xf numFmtId="176" fontId="12" fillId="4" borderId="55" xfId="1" applyNumberFormat="1" applyFont="1" applyFill="1" applyBorder="1" applyAlignment="1">
      <alignment horizontal="center" vertical="center"/>
    </xf>
    <xf numFmtId="176" fontId="5" fillId="4" borderId="27" xfId="1" applyNumberFormat="1" applyFont="1" applyFill="1" applyBorder="1" applyAlignment="1">
      <alignment horizontal="center" vertical="center"/>
    </xf>
    <xf numFmtId="0" fontId="0" fillId="0" borderId="75" xfId="0" applyBorder="1">
      <alignment vertical="center"/>
    </xf>
    <xf numFmtId="0" fontId="0" fillId="0" borderId="59" xfId="0" applyBorder="1">
      <alignment vertical="center"/>
    </xf>
    <xf numFmtId="0" fontId="0" fillId="0" borderId="0" xfId="0" applyBorder="1">
      <alignment vertical="center"/>
    </xf>
    <xf numFmtId="0" fontId="0" fillId="0" borderId="17" xfId="0" applyBorder="1">
      <alignment vertical="center"/>
    </xf>
    <xf numFmtId="0" fontId="0" fillId="0" borderId="16" xfId="0" applyBorder="1">
      <alignment vertical="center"/>
    </xf>
    <xf numFmtId="0" fontId="0" fillId="0" borderId="74" xfId="0" applyBorder="1">
      <alignment vertical="center"/>
    </xf>
    <xf numFmtId="0" fontId="0" fillId="0" borderId="64" xfId="0" applyBorder="1">
      <alignment vertical="center"/>
    </xf>
    <xf numFmtId="0" fontId="12" fillId="0" borderId="16" xfId="0" applyFont="1" applyBorder="1">
      <alignment vertical="center"/>
    </xf>
    <xf numFmtId="0" fontId="24" fillId="0" borderId="75" xfId="0" applyFont="1" applyBorder="1">
      <alignment vertical="center"/>
    </xf>
    <xf numFmtId="0" fontId="26" fillId="0" borderId="58" xfId="0" applyFont="1" applyBorder="1">
      <alignment vertical="center"/>
    </xf>
    <xf numFmtId="0" fontId="26" fillId="0" borderId="16" xfId="0" applyFont="1" applyBorder="1">
      <alignment vertical="center"/>
    </xf>
    <xf numFmtId="0" fontId="24" fillId="0" borderId="16" xfId="0" applyFont="1" applyBorder="1">
      <alignment vertical="center"/>
    </xf>
    <xf numFmtId="0" fontId="27" fillId="0" borderId="16" xfId="0" applyFont="1" applyBorder="1">
      <alignment vertical="center"/>
    </xf>
    <xf numFmtId="0" fontId="0" fillId="0" borderId="0" xfId="0" applyBorder="1" applyAlignment="1">
      <alignment vertical="center"/>
    </xf>
    <xf numFmtId="0" fontId="0" fillId="0" borderId="71" xfId="0" applyBorder="1">
      <alignment vertical="center"/>
    </xf>
    <xf numFmtId="0" fontId="0" fillId="0" borderId="41" xfId="0" applyBorder="1">
      <alignment vertical="center"/>
    </xf>
    <xf numFmtId="0" fontId="0" fillId="0" borderId="54" xfId="0" applyBorder="1">
      <alignment vertical="center"/>
    </xf>
    <xf numFmtId="0" fontId="12" fillId="0" borderId="19" xfId="0" applyFont="1" applyBorder="1">
      <alignment vertical="center"/>
    </xf>
    <xf numFmtId="0" fontId="8" fillId="0" borderId="16" xfId="0" applyFont="1" applyBorder="1">
      <alignment vertical="center"/>
    </xf>
    <xf numFmtId="176" fontId="1" fillId="7" borderId="34" xfId="3" applyNumberFormat="1" applyFont="1" applyFill="1" applyBorder="1" applyAlignment="1">
      <alignment horizontal="center" vertical="center"/>
    </xf>
    <xf numFmtId="176" fontId="1" fillId="0" borderId="44" xfId="1" applyNumberFormat="1" applyFont="1" applyFill="1" applyBorder="1" applyAlignment="1">
      <alignment horizontal="center" vertical="center"/>
    </xf>
    <xf numFmtId="0" fontId="11" fillId="0" borderId="41" xfId="2" applyNumberFormat="1" applyFont="1" applyFill="1" applyBorder="1" applyAlignment="1">
      <alignment vertical="center"/>
    </xf>
    <xf numFmtId="0" fontId="0" fillId="0" borderId="12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2" fillId="0" borderId="1" xfId="3" applyNumberFormat="1" applyFont="1" applyFill="1" applyBorder="1" applyAlignment="1">
      <alignment horizontal="center" vertical="center"/>
    </xf>
    <xf numFmtId="0" fontId="2" fillId="0" borderId="2" xfId="3" applyNumberFormat="1" applyFont="1" applyFill="1" applyBorder="1" applyAlignment="1">
      <alignment horizontal="center" vertical="center"/>
    </xf>
    <xf numFmtId="0" fontId="2" fillId="0" borderId="3" xfId="3" applyNumberFormat="1" applyFont="1" applyFill="1" applyBorder="1" applyAlignment="1">
      <alignment horizontal="center" vertical="center"/>
    </xf>
    <xf numFmtId="0" fontId="5" fillId="2" borderId="4" xfId="3" applyNumberFormat="1" applyFont="1" applyFill="1" applyBorder="1" applyAlignment="1">
      <alignment horizontal="center" vertical="center"/>
    </xf>
    <xf numFmtId="0" fontId="5" fillId="2" borderId="5" xfId="3" applyNumberFormat="1" applyFont="1" applyFill="1" applyBorder="1" applyAlignment="1">
      <alignment horizontal="center" vertical="center"/>
    </xf>
    <xf numFmtId="0" fontId="5" fillId="0" borderId="6" xfId="3" applyNumberFormat="1" applyFont="1" applyFill="1" applyBorder="1" applyAlignment="1">
      <alignment horizontal="center" vertical="center"/>
    </xf>
    <xf numFmtId="0" fontId="5" fillId="0" borderId="5" xfId="3" applyNumberFormat="1" applyFont="1" applyFill="1" applyBorder="1" applyAlignment="1">
      <alignment horizontal="center" vertical="center"/>
    </xf>
    <xf numFmtId="0" fontId="1" fillId="2" borderId="7" xfId="3" applyNumberFormat="1" applyFill="1" applyBorder="1" applyAlignment="1">
      <alignment horizontal="center" vertical="center"/>
    </xf>
    <xf numFmtId="0" fontId="1" fillId="2" borderId="12" xfId="3" applyNumberFormat="1" applyFill="1" applyBorder="1" applyAlignment="1">
      <alignment horizontal="center" vertical="center"/>
    </xf>
    <xf numFmtId="0" fontId="1" fillId="2" borderId="6" xfId="3" applyNumberFormat="1" applyFont="1" applyFill="1" applyBorder="1" applyAlignment="1">
      <alignment horizontal="center" vertical="center"/>
    </xf>
    <xf numFmtId="0" fontId="1" fillId="2" borderId="5" xfId="3" applyNumberFormat="1" applyFill="1" applyBorder="1" applyAlignment="1">
      <alignment horizontal="center" vertical="center"/>
    </xf>
    <xf numFmtId="0" fontId="1" fillId="2" borderId="6" xfId="3" applyNumberFormat="1" applyFill="1" applyBorder="1" applyAlignment="1">
      <alignment horizontal="center" vertical="center"/>
    </xf>
    <xf numFmtId="0" fontId="1" fillId="2" borderId="8" xfId="3" applyNumberFormat="1" applyFill="1" applyBorder="1" applyAlignment="1">
      <alignment horizontal="center" vertical="center"/>
    </xf>
    <xf numFmtId="0" fontId="5" fillId="2" borderId="9" xfId="3" applyNumberFormat="1" applyFont="1" applyFill="1" applyBorder="1" applyAlignment="1">
      <alignment horizontal="center" vertical="center"/>
    </xf>
    <xf numFmtId="0" fontId="5" fillId="2" borderId="10" xfId="3" applyNumberFormat="1" applyFont="1" applyFill="1" applyBorder="1" applyAlignment="1">
      <alignment horizontal="center" vertical="center"/>
    </xf>
    <xf numFmtId="0" fontId="1" fillId="0" borderId="13" xfId="3" applyNumberFormat="1" applyFont="1" applyFill="1" applyBorder="1" applyAlignment="1">
      <alignment horizontal="center" vertical="center"/>
    </xf>
    <xf numFmtId="0" fontId="1" fillId="0" borderId="14" xfId="3" applyNumberFormat="1" applyFill="1" applyBorder="1" applyAlignment="1">
      <alignment horizontal="center" vertical="center"/>
    </xf>
    <xf numFmtId="41" fontId="5" fillId="4" borderId="13" xfId="3" applyNumberFormat="1" applyFont="1" applyFill="1" applyBorder="1" applyAlignment="1">
      <alignment horizontal="center" vertical="center"/>
    </xf>
    <xf numFmtId="0" fontId="5" fillId="4" borderId="15" xfId="3" applyNumberFormat="1" applyFont="1" applyFill="1" applyBorder="1" applyAlignment="1">
      <alignment horizontal="center" vertical="center"/>
    </xf>
    <xf numFmtId="0" fontId="1" fillId="3" borderId="16" xfId="3" applyNumberFormat="1" applyFill="1" applyBorder="1" applyAlignment="1">
      <alignment horizontal="left" vertical="center"/>
    </xf>
    <xf numFmtId="0" fontId="1" fillId="3" borderId="0" xfId="3" applyNumberFormat="1" applyFill="1" applyBorder="1" applyAlignment="1">
      <alignment horizontal="left" vertical="center"/>
    </xf>
    <xf numFmtId="0" fontId="5" fillId="2" borderId="61" xfId="3" applyNumberFormat="1" applyFont="1" applyFill="1" applyBorder="1" applyAlignment="1">
      <alignment horizontal="center" vertical="center"/>
    </xf>
    <xf numFmtId="0" fontId="5" fillId="2" borderId="70" xfId="3" applyNumberFormat="1" applyFont="1" applyFill="1" applyBorder="1" applyAlignment="1">
      <alignment horizontal="center" vertical="center"/>
    </xf>
    <xf numFmtId="0" fontId="5" fillId="2" borderId="57" xfId="3" applyNumberFormat="1" applyFont="1" applyFill="1" applyBorder="1" applyAlignment="1">
      <alignment horizontal="center" vertical="center"/>
    </xf>
    <xf numFmtId="0" fontId="1" fillId="2" borderId="71" xfId="3" applyNumberFormat="1" applyFill="1" applyBorder="1" applyAlignment="1">
      <alignment horizontal="center" vertical="center"/>
    </xf>
    <xf numFmtId="0" fontId="5" fillId="2" borderId="20" xfId="3" applyNumberFormat="1" applyFont="1" applyFill="1" applyBorder="1" applyAlignment="1">
      <alignment horizontal="right" vertical="center" wrapText="1"/>
    </xf>
    <xf numFmtId="0" fontId="5" fillId="2" borderId="24" xfId="3" applyNumberFormat="1" applyFont="1" applyFill="1" applyBorder="1" applyAlignment="1">
      <alignment horizontal="right" vertical="center" wrapText="1"/>
    </xf>
    <xf numFmtId="0" fontId="5" fillId="2" borderId="26" xfId="3" applyNumberFormat="1" applyFont="1" applyFill="1" applyBorder="1" applyAlignment="1">
      <alignment horizontal="right" vertical="center" wrapText="1"/>
    </xf>
    <xf numFmtId="0" fontId="1" fillId="2" borderId="22" xfId="3" applyNumberFormat="1" applyFont="1" applyFill="1" applyBorder="1" applyAlignment="1">
      <alignment horizontal="center" vertical="center" wrapText="1"/>
    </xf>
    <xf numFmtId="0" fontId="1" fillId="2" borderId="10" xfId="3" applyNumberFormat="1" applyFont="1" applyFill="1" applyBorder="1" applyAlignment="1">
      <alignment horizontal="center" vertical="center" wrapText="1"/>
    </xf>
    <xf numFmtId="0" fontId="5" fillId="2" borderId="58" xfId="3" applyNumberFormat="1" applyFont="1" applyFill="1" applyBorder="1" applyAlignment="1">
      <alignment horizontal="left" vertical="center" wrapText="1"/>
    </xf>
    <xf numFmtId="0" fontId="5" fillId="2" borderId="59" xfId="3" applyNumberFormat="1" applyFont="1" applyFill="1" applyBorder="1" applyAlignment="1">
      <alignment horizontal="left" vertical="center" wrapText="1"/>
    </xf>
    <xf numFmtId="0" fontId="5" fillId="2" borderId="16" xfId="3" applyNumberFormat="1" applyFont="1" applyFill="1" applyBorder="1" applyAlignment="1">
      <alignment horizontal="left" vertical="center" wrapText="1"/>
    </xf>
    <xf numFmtId="0" fontId="5" fillId="2" borderId="17" xfId="3" applyNumberFormat="1" applyFont="1" applyFill="1" applyBorder="1" applyAlignment="1">
      <alignment horizontal="left" vertical="center" wrapText="1"/>
    </xf>
    <xf numFmtId="0" fontId="5" fillId="2" borderId="19" xfId="3" applyNumberFormat="1" applyFont="1" applyFill="1" applyBorder="1" applyAlignment="1">
      <alignment horizontal="left" vertical="center" wrapText="1"/>
    </xf>
    <xf numFmtId="0" fontId="5" fillId="2" borderId="64" xfId="3" applyNumberFormat="1" applyFont="1" applyFill="1" applyBorder="1" applyAlignment="1">
      <alignment horizontal="left" vertical="center" wrapText="1"/>
    </xf>
    <xf numFmtId="0" fontId="1" fillId="0" borderId="62" xfId="3" applyNumberFormat="1" applyFont="1" applyFill="1" applyBorder="1" applyAlignment="1">
      <alignment horizontal="center" vertical="center"/>
    </xf>
    <xf numFmtId="0" fontId="1" fillId="0" borderId="16" xfId="3" applyNumberFormat="1" applyFont="1" applyFill="1" applyBorder="1" applyAlignment="1">
      <alignment horizontal="center" vertical="center"/>
    </xf>
    <xf numFmtId="0" fontId="1" fillId="0" borderId="50" xfId="3" applyNumberFormat="1" applyFont="1" applyFill="1" applyBorder="1" applyAlignment="1">
      <alignment horizontal="center" vertical="center"/>
    </xf>
    <xf numFmtId="0" fontId="1" fillId="0" borderId="63" xfId="3" applyNumberFormat="1" applyFont="1" applyFill="1" applyBorder="1" applyAlignment="1">
      <alignment horizontal="center" vertical="center"/>
    </xf>
    <xf numFmtId="0" fontId="11" fillId="0" borderId="50" xfId="3" applyNumberFormat="1" applyFont="1" applyFill="1" applyBorder="1" applyAlignment="1">
      <alignment horizontal="center" vertical="center"/>
    </xf>
    <xf numFmtId="0" fontId="11" fillId="0" borderId="37" xfId="3" applyNumberFormat="1" applyFont="1" applyFill="1" applyBorder="1" applyAlignment="1">
      <alignment horizontal="center" vertical="center"/>
    </xf>
    <xf numFmtId="0" fontId="11" fillId="0" borderId="63" xfId="3" applyNumberFormat="1" applyFont="1" applyFill="1" applyBorder="1" applyAlignment="1">
      <alignment horizontal="center" vertical="center"/>
    </xf>
    <xf numFmtId="0" fontId="11" fillId="0" borderId="51" xfId="3" applyNumberFormat="1" applyFont="1" applyFill="1" applyBorder="1" applyAlignment="1">
      <alignment horizontal="center" vertical="center"/>
    </xf>
    <xf numFmtId="0" fontId="11" fillId="0" borderId="21" xfId="3" applyNumberFormat="1" applyFont="1" applyFill="1" applyBorder="1" applyAlignment="1">
      <alignment horizontal="center" vertical="center"/>
    </xf>
    <xf numFmtId="0" fontId="1" fillId="0" borderId="19" xfId="3" applyNumberFormat="1" applyFont="1" applyFill="1" applyBorder="1" applyAlignment="1">
      <alignment horizontal="center" vertical="center"/>
    </xf>
    <xf numFmtId="0" fontId="1" fillId="0" borderId="56" xfId="3" applyNumberFormat="1" applyFont="1" applyFill="1" applyBorder="1" applyAlignment="1">
      <alignment horizontal="center" vertical="center"/>
    </xf>
    <xf numFmtId="3" fontId="11" fillId="0" borderId="50" xfId="3" applyNumberFormat="1" applyFont="1" applyFill="1" applyBorder="1" applyAlignment="1">
      <alignment horizontal="center" vertical="center"/>
    </xf>
    <xf numFmtId="0" fontId="11" fillId="0" borderId="56" xfId="3" applyNumberFormat="1" applyFont="1" applyFill="1" applyBorder="1" applyAlignment="1">
      <alignment horizontal="center" vertical="center"/>
    </xf>
    <xf numFmtId="0" fontId="11" fillId="0" borderId="31" xfId="3" applyNumberFormat="1" applyFont="1" applyFill="1" applyBorder="1" applyAlignment="1">
      <alignment horizontal="left" vertical="center"/>
    </xf>
    <xf numFmtId="0" fontId="11" fillId="0" borderId="53" xfId="3" applyNumberFormat="1" applyFont="1" applyFill="1" applyBorder="1" applyAlignment="1">
      <alignment horizontal="left" vertical="center"/>
    </xf>
    <xf numFmtId="0" fontId="11" fillId="0" borderId="4" xfId="3" applyNumberFormat="1" applyFont="1" applyFill="1" applyBorder="1" applyAlignment="1">
      <alignment horizontal="left" vertical="center" wrapText="1"/>
    </xf>
    <xf numFmtId="0" fontId="11" fillId="0" borderId="67" xfId="3" applyNumberFormat="1" applyFont="1" applyFill="1" applyBorder="1" applyAlignment="1">
      <alignment horizontal="left" vertical="center"/>
    </xf>
    <xf numFmtId="0" fontId="11" fillId="0" borderId="8" xfId="3" applyNumberFormat="1" applyFont="1" applyFill="1" applyBorder="1" applyAlignment="1">
      <alignment horizontal="left" vertical="center"/>
    </xf>
    <xf numFmtId="3" fontId="11" fillId="0" borderId="51" xfId="3" applyNumberFormat="1" applyFont="1" applyFill="1" applyBorder="1" applyAlignment="1">
      <alignment horizontal="center" vertical="center"/>
    </xf>
    <xf numFmtId="0" fontId="11" fillId="0" borderId="27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left" vertical="center" wrapText="1"/>
    </xf>
    <xf numFmtId="0" fontId="11" fillId="0" borderId="11" xfId="3" applyNumberFormat="1" applyFont="1" applyFill="1" applyBorder="1" applyAlignment="1">
      <alignment horizontal="left" vertical="center"/>
    </xf>
    <xf numFmtId="0" fontId="11" fillId="0" borderId="43" xfId="3" applyNumberFormat="1" applyFont="1" applyFill="1" applyBorder="1" applyAlignment="1">
      <alignment horizontal="left" vertical="center"/>
    </xf>
    <xf numFmtId="0" fontId="11" fillId="0" borderId="65" xfId="3" applyNumberFormat="1" applyFont="1" applyFill="1" applyBorder="1" applyAlignment="1">
      <alignment horizontal="left" vertical="center"/>
    </xf>
    <xf numFmtId="0" fontId="11" fillId="0" borderId="15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left" vertical="center"/>
    </xf>
    <xf numFmtId="0" fontId="11" fillId="0" borderId="66" xfId="3" applyNumberFormat="1" applyFont="1" applyFill="1" applyBorder="1" applyAlignment="1">
      <alignment horizontal="center" vertical="center"/>
    </xf>
    <xf numFmtId="0" fontId="11" fillId="0" borderId="65" xfId="3" applyNumberFormat="1" applyFont="1" applyFill="1" applyBorder="1" applyAlignment="1">
      <alignment horizontal="center" vertical="center"/>
    </xf>
    <xf numFmtId="0" fontId="11" fillId="0" borderId="15" xfId="3" applyNumberFormat="1" applyFont="1" applyFill="1" applyBorder="1" applyAlignment="1">
      <alignment horizontal="center" vertical="center"/>
    </xf>
    <xf numFmtId="0" fontId="11" fillId="0" borderId="66" xfId="3" applyNumberFormat="1" applyFont="1" applyFill="1" applyBorder="1" applyAlignment="1">
      <alignment horizontal="left" vertical="center" wrapText="1"/>
    </xf>
    <xf numFmtId="0" fontId="11" fillId="0" borderId="65" xfId="3" applyNumberFormat="1" applyFont="1" applyFill="1" applyBorder="1" applyAlignment="1">
      <alignment horizontal="left" vertical="center" wrapText="1"/>
    </xf>
    <xf numFmtId="0" fontId="11" fillId="0" borderId="15" xfId="3" applyNumberFormat="1" applyFont="1" applyFill="1" applyBorder="1" applyAlignment="1">
      <alignment horizontal="left" vertical="center" wrapText="1"/>
    </xf>
    <xf numFmtId="0" fontId="11" fillId="0" borderId="28" xfId="3" applyNumberFormat="1" applyFont="1" applyFill="1" applyBorder="1" applyAlignment="1">
      <alignment horizontal="left" vertical="center"/>
    </xf>
    <xf numFmtId="0" fontId="5" fillId="2" borderId="58" xfId="3" applyNumberFormat="1" applyFont="1" applyFill="1" applyBorder="1" applyAlignment="1">
      <alignment horizontal="center" vertical="center" wrapText="1"/>
    </xf>
    <xf numFmtId="0" fontId="5" fillId="2" borderId="16" xfId="3" applyNumberFormat="1" applyFont="1" applyFill="1" applyBorder="1" applyAlignment="1">
      <alignment horizontal="center" vertical="center" wrapText="1"/>
    </xf>
    <xf numFmtId="0" fontId="5" fillId="2" borderId="19" xfId="3" applyNumberFormat="1" applyFont="1" applyFill="1" applyBorder="1" applyAlignment="1">
      <alignment horizontal="center" vertical="center" wrapText="1"/>
    </xf>
    <xf numFmtId="0" fontId="5" fillId="2" borderId="68" xfId="3" applyNumberFormat="1" applyFont="1" applyFill="1" applyBorder="1" applyAlignment="1">
      <alignment horizontal="center" vertical="center" wrapText="1"/>
    </xf>
    <xf numFmtId="0" fontId="5" fillId="2" borderId="25" xfId="3" applyNumberFormat="1" applyFont="1" applyFill="1" applyBorder="1" applyAlignment="1">
      <alignment horizontal="center" vertical="center" wrapText="1"/>
    </xf>
    <xf numFmtId="0" fontId="5" fillId="2" borderId="51" xfId="3" applyNumberFormat="1" applyFont="1" applyFill="1" applyBorder="1" applyAlignment="1">
      <alignment horizontal="center" vertical="center" wrapText="1"/>
    </xf>
    <xf numFmtId="0" fontId="5" fillId="2" borderId="27" xfId="3" applyNumberFormat="1" applyFont="1" applyFill="1" applyBorder="1" applyAlignment="1">
      <alignment horizontal="center" vertical="center" wrapText="1"/>
    </xf>
    <xf numFmtId="0" fontId="10" fillId="0" borderId="0" xfId="3" applyNumberFormat="1" applyFont="1" applyFill="1" applyBorder="1" applyAlignment="1">
      <alignment horizontal="right" vertical="center"/>
    </xf>
    <xf numFmtId="0" fontId="1" fillId="2" borderId="68" xfId="3" applyNumberFormat="1" applyFill="1" applyBorder="1" applyAlignment="1">
      <alignment horizontal="center" vertical="center"/>
    </xf>
    <xf numFmtId="0" fontId="1" fillId="2" borderId="21" xfId="3" applyNumberFormat="1" applyFill="1" applyBorder="1" applyAlignment="1">
      <alignment horizontal="center" vertical="center"/>
    </xf>
    <xf numFmtId="0" fontId="5" fillId="2" borderId="58" xfId="3" applyNumberFormat="1" applyFont="1" applyFill="1" applyBorder="1" applyAlignment="1">
      <alignment horizontal="left" vertical="center"/>
    </xf>
    <xf numFmtId="0" fontId="5" fillId="2" borderId="59" xfId="3" applyNumberFormat="1" applyFont="1" applyFill="1" applyBorder="1" applyAlignment="1">
      <alignment horizontal="left" vertical="center"/>
    </xf>
    <xf numFmtId="0" fontId="5" fillId="2" borderId="19" xfId="3" applyNumberFormat="1" applyFont="1" applyFill="1" applyBorder="1" applyAlignment="1">
      <alignment horizontal="left" vertical="center"/>
    </xf>
    <xf numFmtId="0" fontId="5" fillId="2" borderId="64" xfId="3" applyNumberFormat="1" applyFont="1" applyFill="1" applyBorder="1" applyAlignment="1">
      <alignment horizontal="left" vertical="center"/>
    </xf>
    <xf numFmtId="0" fontId="5" fillId="2" borderId="20" xfId="3" applyNumberFormat="1" applyFont="1" applyFill="1" applyBorder="1" applyAlignment="1">
      <alignment horizontal="center" vertical="center" wrapText="1"/>
    </xf>
    <xf numFmtId="0" fontId="5" fillId="2" borderId="24" xfId="3" applyNumberFormat="1" applyFont="1" applyFill="1" applyBorder="1" applyAlignment="1">
      <alignment horizontal="center" vertical="center" wrapText="1"/>
    </xf>
    <xf numFmtId="0" fontId="5" fillId="2" borderId="26" xfId="3" applyNumberFormat="1" applyFont="1" applyFill="1" applyBorder="1" applyAlignment="1">
      <alignment horizontal="center" vertical="center" wrapText="1"/>
    </xf>
    <xf numFmtId="0" fontId="1" fillId="0" borderId="4" xfId="3" applyNumberFormat="1" applyFill="1" applyBorder="1" applyAlignment="1">
      <alignment horizontal="center" vertical="center"/>
    </xf>
    <xf numFmtId="0" fontId="1" fillId="0" borderId="5" xfId="3" applyNumberFormat="1" applyFill="1" applyBorder="1" applyAlignment="1">
      <alignment horizontal="center" vertical="center"/>
    </xf>
    <xf numFmtId="0" fontId="1" fillId="0" borderId="6" xfId="3" applyNumberFormat="1" applyFill="1" applyBorder="1" applyAlignment="1">
      <alignment horizontal="center" vertical="center"/>
    </xf>
    <xf numFmtId="0" fontId="1" fillId="0" borderId="6" xfId="3" applyNumberFormat="1" applyFont="1" applyFill="1" applyBorder="1" applyAlignment="1">
      <alignment horizontal="center" vertical="center"/>
    </xf>
    <xf numFmtId="0" fontId="1" fillId="0" borderId="5" xfId="3" applyNumberFormat="1" applyFont="1" applyFill="1" applyBorder="1" applyAlignment="1">
      <alignment horizontal="center" vertical="center"/>
    </xf>
    <xf numFmtId="0" fontId="1" fillId="0" borderId="30" xfId="3" applyNumberFormat="1" applyFont="1" applyFill="1" applyBorder="1" applyAlignment="1">
      <alignment horizontal="center" vertical="center"/>
    </xf>
    <xf numFmtId="0" fontId="1" fillId="0" borderId="29" xfId="3" applyNumberFormat="1" applyFont="1" applyFill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left" vertical="center"/>
    </xf>
    <xf numFmtId="0" fontId="11" fillId="0" borderId="58" xfId="3" applyNumberFormat="1" applyFont="1" applyFill="1" applyBorder="1" applyAlignment="1">
      <alignment horizontal="center" vertical="center"/>
    </xf>
    <xf numFmtId="0" fontId="11" fillId="0" borderId="75" xfId="3" applyNumberFormat="1" applyFont="1" applyFill="1" applyBorder="1" applyAlignment="1">
      <alignment horizontal="center" vertical="center"/>
    </xf>
    <xf numFmtId="0" fontId="11" fillId="0" borderId="59" xfId="3" applyNumberFormat="1" applyFont="1" applyFill="1" applyBorder="1" applyAlignment="1">
      <alignment horizontal="center" vertical="center"/>
    </xf>
    <xf numFmtId="0" fontId="11" fillId="0" borderId="9" xfId="3" applyNumberFormat="1" applyFont="1" applyFill="1" applyBorder="1" applyAlignment="1">
      <alignment horizontal="center" vertical="center"/>
    </xf>
    <xf numFmtId="0" fontId="11" fillId="0" borderId="11" xfId="3" applyNumberFormat="1" applyFont="1" applyFill="1" applyBorder="1" applyAlignment="1">
      <alignment horizontal="center" vertical="center"/>
    </xf>
    <xf numFmtId="0" fontId="11" fillId="0" borderId="43" xfId="3" applyNumberFormat="1" applyFont="1" applyFill="1" applyBorder="1" applyAlignment="1">
      <alignment horizontal="center" vertical="center"/>
    </xf>
    <xf numFmtId="0" fontId="11" fillId="0" borderId="62" xfId="3" applyNumberFormat="1" applyFont="1" applyFill="1" applyBorder="1" applyAlignment="1">
      <alignment horizontal="center" vertical="center" wrapText="1"/>
    </xf>
    <xf numFmtId="0" fontId="11" fillId="0" borderId="95" xfId="3" applyNumberFormat="1" applyFont="1" applyFill="1" applyBorder="1" applyAlignment="1">
      <alignment horizontal="center" vertical="center" wrapText="1"/>
    </xf>
    <xf numFmtId="0" fontId="11" fillId="0" borderId="96" xfId="3" applyNumberFormat="1" applyFont="1" applyFill="1" applyBorder="1" applyAlignment="1">
      <alignment horizontal="center" vertical="center" wrapText="1"/>
    </xf>
    <xf numFmtId="0" fontId="11" fillId="0" borderId="9" xfId="3" applyNumberFormat="1" applyFont="1" applyFill="1" applyBorder="1" applyAlignment="1">
      <alignment horizontal="center" vertical="center" wrapText="1"/>
    </xf>
    <xf numFmtId="0" fontId="11" fillId="0" borderId="11" xfId="3" applyNumberFormat="1" applyFont="1" applyFill="1" applyBorder="1" applyAlignment="1">
      <alignment horizontal="center" vertical="center" wrapText="1"/>
    </xf>
    <xf numFmtId="0" fontId="11" fillId="0" borderId="43" xfId="3" applyNumberFormat="1" applyFont="1" applyFill="1" applyBorder="1" applyAlignment="1">
      <alignment horizontal="center" vertical="center" wrapText="1"/>
    </xf>
    <xf numFmtId="0" fontId="11" fillId="0" borderId="58" xfId="3" applyNumberFormat="1" applyFont="1" applyFill="1" applyBorder="1" applyAlignment="1">
      <alignment horizontal="left" vertical="center"/>
    </xf>
    <xf numFmtId="0" fontId="11" fillId="0" borderId="75" xfId="3" applyNumberFormat="1" applyFont="1" applyFill="1" applyBorder="1" applyAlignment="1">
      <alignment horizontal="left" vertical="center"/>
    </xf>
    <xf numFmtId="0" fontId="11" fillId="0" borderId="59" xfId="3" applyNumberFormat="1" applyFont="1" applyFill="1" applyBorder="1" applyAlignment="1">
      <alignment horizontal="left" vertical="center"/>
    </xf>
    <xf numFmtId="0" fontId="11" fillId="0" borderId="9" xfId="3" applyNumberFormat="1" applyFont="1" applyFill="1" applyBorder="1" applyAlignment="1">
      <alignment horizontal="left" vertical="center"/>
    </xf>
    <xf numFmtId="0" fontId="11" fillId="0" borderId="19" xfId="3" applyNumberFormat="1" applyFont="1" applyFill="1" applyBorder="1" applyAlignment="1">
      <alignment horizontal="center" vertical="center" wrapText="1"/>
    </xf>
    <xf numFmtId="0" fontId="11" fillId="0" borderId="74" xfId="3" applyNumberFormat="1" applyFont="1" applyFill="1" applyBorder="1" applyAlignment="1">
      <alignment horizontal="center" vertical="center" wrapText="1"/>
    </xf>
    <xf numFmtId="0" fontId="11" fillId="0" borderId="64" xfId="3" applyNumberFormat="1" applyFont="1" applyFill="1" applyBorder="1" applyAlignment="1">
      <alignment horizontal="center" vertical="center" wrapText="1"/>
    </xf>
    <xf numFmtId="0" fontId="11" fillId="0" borderId="67" xfId="3" applyNumberFormat="1" applyFont="1" applyFill="1" applyBorder="1" applyAlignment="1">
      <alignment horizontal="left" vertical="center" wrapText="1"/>
    </xf>
    <xf numFmtId="0" fontId="11" fillId="0" borderId="8" xfId="3" applyNumberFormat="1" applyFont="1" applyFill="1" applyBorder="1" applyAlignment="1">
      <alignment horizontal="left" vertical="center" wrapText="1"/>
    </xf>
    <xf numFmtId="0" fontId="11" fillId="0" borderId="66" xfId="3" applyNumberFormat="1" applyFont="1" applyFill="1" applyBorder="1" applyAlignment="1">
      <alignment vertical="center"/>
    </xf>
    <xf numFmtId="0" fontId="11" fillId="0" borderId="65" xfId="3" applyNumberFormat="1" applyFont="1" applyFill="1" applyBorder="1" applyAlignment="1">
      <alignment vertical="center"/>
    </xf>
    <xf numFmtId="0" fontId="11" fillId="0" borderId="15" xfId="3" applyNumberFormat="1" applyFont="1" applyFill="1" applyBorder="1" applyAlignment="1">
      <alignment vertical="center"/>
    </xf>
    <xf numFmtId="0" fontId="11" fillId="0" borderId="58" xfId="3" applyNumberFormat="1" applyFont="1" applyFill="1" applyBorder="1" applyAlignment="1">
      <alignment horizontal="left" vertical="center" wrapText="1"/>
    </xf>
    <xf numFmtId="0" fontId="11" fillId="0" borderId="75" xfId="3" applyNumberFormat="1" applyFont="1" applyFill="1" applyBorder="1" applyAlignment="1">
      <alignment horizontal="left" vertical="center" wrapText="1"/>
    </xf>
    <xf numFmtId="0" fontId="11" fillId="0" borderId="59" xfId="3" applyNumberFormat="1" applyFont="1" applyFill="1" applyBorder="1" applyAlignment="1">
      <alignment horizontal="left" vertical="center" wrapText="1"/>
    </xf>
    <xf numFmtId="0" fontId="11" fillId="0" borderId="9" xfId="3" applyNumberFormat="1" applyFont="1" applyFill="1" applyBorder="1" applyAlignment="1">
      <alignment horizontal="left" vertical="center" wrapText="1"/>
    </xf>
    <xf numFmtId="0" fontId="11" fillId="0" borderId="43" xfId="3" applyNumberFormat="1" applyFont="1" applyFill="1" applyBorder="1" applyAlignment="1">
      <alignment horizontal="left" vertical="center" wrapText="1"/>
    </xf>
    <xf numFmtId="178" fontId="1" fillId="0" borderId="18" xfId="2" applyNumberFormat="1" applyFont="1" applyFill="1" applyBorder="1" applyAlignment="1">
      <alignment vertical="center"/>
    </xf>
    <xf numFmtId="178" fontId="1" fillId="0" borderId="32" xfId="2" applyNumberFormat="1" applyFont="1" applyFill="1" applyBorder="1" applyAlignment="1">
      <alignment vertical="center"/>
    </xf>
    <xf numFmtId="178" fontId="11" fillId="0" borderId="41" xfId="2" applyNumberFormat="1" applyFont="1" applyFill="1" applyBorder="1" applyAlignment="1">
      <alignment vertical="center"/>
    </xf>
    <xf numFmtId="178" fontId="1" fillId="0" borderId="12" xfId="2" applyNumberFormat="1" applyFont="1" applyFill="1" applyBorder="1" applyAlignment="1">
      <alignment vertical="center"/>
    </xf>
    <xf numFmtId="178" fontId="11" fillId="0" borderId="54" xfId="2" applyNumberFormat="1" applyFont="1" applyFill="1" applyBorder="1" applyAlignment="1">
      <alignment vertical="center"/>
    </xf>
    <xf numFmtId="178" fontId="1" fillId="0" borderId="52" xfId="2" applyNumberFormat="1" applyFont="1" applyFill="1" applyBorder="1" applyAlignment="1">
      <alignment vertical="center"/>
    </xf>
    <xf numFmtId="0" fontId="5" fillId="2" borderId="59" xfId="3" applyNumberFormat="1" applyFont="1" applyFill="1" applyBorder="1" applyAlignment="1">
      <alignment horizontal="center" vertical="center"/>
    </xf>
    <xf numFmtId="0" fontId="5" fillId="2" borderId="17" xfId="3" applyNumberFormat="1" applyFont="1" applyFill="1" applyBorder="1" applyAlignment="1">
      <alignment horizontal="center" vertical="center"/>
    </xf>
    <xf numFmtId="0" fontId="5" fillId="2" borderId="64" xfId="3" applyNumberFormat="1" applyFont="1" applyFill="1" applyBorder="1" applyAlignment="1">
      <alignment horizontal="center" vertical="center"/>
    </xf>
    <xf numFmtId="0" fontId="1" fillId="2" borderId="7" xfId="3" applyNumberFormat="1" applyFont="1" applyFill="1" applyBorder="1" applyAlignment="1">
      <alignment horizontal="center" vertical="center" wrapText="1"/>
    </xf>
    <xf numFmtId="0" fontId="1" fillId="2" borderId="6" xfId="3" applyNumberFormat="1" applyFont="1" applyFill="1" applyBorder="1" applyAlignment="1">
      <alignment horizontal="center" vertical="center" wrapText="1"/>
    </xf>
    <xf numFmtId="0" fontId="5" fillId="2" borderId="83" xfId="3" applyNumberFormat="1" applyFont="1" applyFill="1" applyBorder="1" applyAlignment="1">
      <alignment horizontal="center" vertical="center" wrapText="1"/>
    </xf>
    <xf numFmtId="0" fontId="5" fillId="2" borderId="69" xfId="3" applyNumberFormat="1" applyFont="1" applyFill="1" applyBorder="1" applyAlignment="1">
      <alignment horizontal="center" vertical="center" wrapText="1"/>
    </xf>
  </cellXfs>
  <cellStyles count="5">
    <cellStyle name="백분율" xfId="2" builtinId="5"/>
    <cellStyle name="쉼표 [0]" xfId="1" builtinId="6"/>
    <cellStyle name="쉼표 [0] 2" xfId="4"/>
    <cellStyle name="표준" xfId="0" builtinId="0"/>
    <cellStyle name="표준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1"/>
  <sheetViews>
    <sheetView showGridLines="0" workbookViewId="0">
      <selection activeCell="K27" sqref="K27"/>
    </sheetView>
  </sheetViews>
  <sheetFormatPr defaultRowHeight="16.5" x14ac:dyDescent="0.3"/>
  <cols>
    <col min="9" max="9" width="11.25" customWidth="1"/>
  </cols>
  <sheetData>
    <row r="2" spans="2:13" ht="26.25" x14ac:dyDescent="0.3">
      <c r="B2" s="288" t="s">
        <v>151</v>
      </c>
      <c r="C2" s="288"/>
      <c r="D2" s="288"/>
      <c r="E2" s="288"/>
      <c r="F2" s="288"/>
      <c r="G2" s="288"/>
      <c r="H2" s="288"/>
      <c r="I2" s="288"/>
      <c r="J2" s="288"/>
      <c r="K2" s="288"/>
      <c r="L2" s="288"/>
    </row>
    <row r="3" spans="2:13" ht="17.25" thickBot="1" x14ac:dyDescent="0.35"/>
    <row r="4" spans="2:13" ht="21" thickBot="1" x14ac:dyDescent="0.35">
      <c r="B4" s="271" t="s">
        <v>152</v>
      </c>
      <c r="C4" s="270"/>
      <c r="D4" s="262"/>
      <c r="E4" s="262"/>
      <c r="F4" s="262"/>
      <c r="G4" s="262"/>
      <c r="H4" s="262"/>
      <c r="I4" s="262"/>
      <c r="J4" s="262"/>
      <c r="K4" s="262"/>
      <c r="L4" s="262"/>
      <c r="M4" s="263"/>
    </row>
    <row r="5" spans="2:13" ht="21" customHeight="1" thickBot="1" x14ac:dyDescent="0.35">
      <c r="B5" s="253"/>
      <c r="C5" s="264" t="s">
        <v>137</v>
      </c>
      <c r="D5" s="264"/>
      <c r="E5" s="264"/>
      <c r="F5" s="264"/>
      <c r="G5" s="264"/>
      <c r="H5" s="264"/>
      <c r="I5" s="264"/>
      <c r="J5" s="264"/>
      <c r="K5" s="264"/>
      <c r="L5" s="264"/>
      <c r="M5" s="265"/>
    </row>
    <row r="6" spans="2:13" ht="21" customHeight="1" thickBot="1" x14ac:dyDescent="0.35">
      <c r="B6" s="254"/>
      <c r="C6" s="264" t="s">
        <v>138</v>
      </c>
      <c r="D6" s="264"/>
      <c r="E6" s="264"/>
      <c r="F6" s="264"/>
      <c r="G6" s="264"/>
      <c r="H6" s="264"/>
      <c r="I6" s="264"/>
      <c r="J6" s="264"/>
      <c r="K6" s="264"/>
      <c r="L6" s="264"/>
      <c r="M6" s="265"/>
    </row>
    <row r="7" spans="2:13" ht="21" customHeight="1" thickBot="1" x14ac:dyDescent="0.35">
      <c r="B7" s="255"/>
      <c r="C7" s="264" t="s">
        <v>139</v>
      </c>
      <c r="D7" s="264"/>
      <c r="E7" s="264"/>
      <c r="F7" s="264"/>
      <c r="G7" s="264"/>
      <c r="H7" s="264"/>
      <c r="I7" s="264"/>
      <c r="J7" s="264"/>
      <c r="K7" s="264"/>
      <c r="L7" s="264"/>
      <c r="M7" s="265"/>
    </row>
    <row r="8" spans="2:13" x14ac:dyDescent="0.3">
      <c r="B8" s="266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5"/>
    </row>
    <row r="9" spans="2:13" ht="20.25" x14ac:dyDescent="0.3">
      <c r="B9" s="272" t="s">
        <v>153</v>
      </c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5"/>
    </row>
    <row r="10" spans="2:13" ht="21" customHeight="1" x14ac:dyDescent="0.3">
      <c r="B10" s="274" t="s">
        <v>154</v>
      </c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5"/>
    </row>
    <row r="11" spans="2:13" ht="21" customHeight="1" x14ac:dyDescent="0.3">
      <c r="B11" s="273" t="s">
        <v>155</v>
      </c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5"/>
    </row>
    <row r="12" spans="2:13" x14ac:dyDescent="0.3">
      <c r="B12" s="266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5"/>
    </row>
    <row r="13" spans="2:13" ht="21" customHeight="1" x14ac:dyDescent="0.3">
      <c r="B13" s="274" t="s">
        <v>163</v>
      </c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5"/>
    </row>
    <row r="14" spans="2:13" ht="21" customHeight="1" x14ac:dyDescent="0.3">
      <c r="B14" s="273" t="s">
        <v>135</v>
      </c>
      <c r="C14" s="264"/>
      <c r="D14" s="264"/>
      <c r="E14" s="264"/>
      <c r="F14" s="264"/>
      <c r="G14" s="264"/>
      <c r="H14" s="264"/>
      <c r="I14" s="264"/>
      <c r="J14" s="264"/>
      <c r="K14" s="264"/>
      <c r="L14" s="264"/>
      <c r="M14" s="265"/>
    </row>
    <row r="15" spans="2:13" ht="21" customHeight="1" x14ac:dyDescent="0.3">
      <c r="B15" s="266" t="s">
        <v>140</v>
      </c>
      <c r="C15" s="264"/>
      <c r="D15" s="264"/>
      <c r="E15" s="264"/>
      <c r="F15" s="264"/>
      <c r="G15" s="264"/>
      <c r="H15" s="264"/>
      <c r="I15" s="264"/>
      <c r="J15" s="264"/>
      <c r="K15" s="264"/>
      <c r="L15" s="264"/>
      <c r="M15" s="265"/>
    </row>
    <row r="16" spans="2:13" x14ac:dyDescent="0.3">
      <c r="B16" s="266"/>
      <c r="C16" s="264"/>
      <c r="D16" s="264"/>
      <c r="E16" s="264"/>
      <c r="F16" s="264"/>
      <c r="G16" s="264"/>
      <c r="H16" s="264"/>
      <c r="I16" s="264"/>
      <c r="J16" s="264"/>
      <c r="K16" s="264"/>
      <c r="L16" s="264"/>
      <c r="M16" s="265"/>
    </row>
    <row r="17" spans="2:13" ht="21" customHeight="1" x14ac:dyDescent="0.3">
      <c r="B17" s="274" t="s">
        <v>156</v>
      </c>
      <c r="C17" s="264"/>
      <c r="D17" s="264"/>
      <c r="E17" s="264"/>
      <c r="F17" s="264"/>
      <c r="G17" s="264"/>
      <c r="H17" s="264"/>
      <c r="I17" s="264"/>
      <c r="J17" s="264"/>
      <c r="K17" s="264"/>
      <c r="L17" s="264"/>
      <c r="M17" s="265"/>
    </row>
    <row r="18" spans="2:13" ht="21" customHeight="1" x14ac:dyDescent="0.3">
      <c r="B18" s="273" t="s">
        <v>135</v>
      </c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5"/>
    </row>
    <row r="19" spans="2:13" ht="21" customHeight="1" x14ac:dyDescent="0.3">
      <c r="B19" s="266" t="s">
        <v>136</v>
      </c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5"/>
    </row>
    <row r="20" spans="2:13" ht="17.25" thickBot="1" x14ac:dyDescent="0.35">
      <c r="B20" s="266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5"/>
    </row>
    <row r="21" spans="2:13" ht="21" customHeight="1" x14ac:dyDescent="0.3">
      <c r="B21" s="276" t="s">
        <v>141</v>
      </c>
      <c r="C21" s="289" t="s">
        <v>165</v>
      </c>
      <c r="D21" s="289"/>
      <c r="E21" s="289"/>
      <c r="F21" s="289"/>
      <c r="G21" s="289"/>
      <c r="H21" s="289"/>
      <c r="I21" s="290"/>
      <c r="J21" s="275"/>
      <c r="K21" s="264"/>
      <c r="L21" s="264"/>
      <c r="M21" s="265"/>
    </row>
    <row r="22" spans="2:13" ht="21" customHeight="1" x14ac:dyDescent="0.3">
      <c r="B22" s="277" t="s">
        <v>142</v>
      </c>
      <c r="C22" s="284" t="s">
        <v>143</v>
      </c>
      <c r="D22" s="284"/>
      <c r="E22" s="284"/>
      <c r="F22" s="284"/>
      <c r="G22" s="284"/>
      <c r="H22" s="284"/>
      <c r="I22" s="285"/>
      <c r="J22" s="264"/>
      <c r="K22" s="264"/>
      <c r="L22" s="264"/>
      <c r="M22" s="265"/>
    </row>
    <row r="23" spans="2:13" ht="21" customHeight="1" x14ac:dyDescent="0.3">
      <c r="B23" s="277" t="s">
        <v>144</v>
      </c>
      <c r="C23" s="284" t="s">
        <v>145</v>
      </c>
      <c r="D23" s="284"/>
      <c r="E23" s="284"/>
      <c r="F23" s="284"/>
      <c r="G23" s="284"/>
      <c r="H23" s="284"/>
      <c r="I23" s="285"/>
      <c r="J23" s="264"/>
      <c r="K23" s="264"/>
      <c r="L23" s="264"/>
      <c r="M23" s="265"/>
    </row>
    <row r="24" spans="2:13" ht="21" customHeight="1" x14ac:dyDescent="0.3">
      <c r="B24" s="277" t="s">
        <v>146</v>
      </c>
      <c r="C24" s="291" t="s">
        <v>164</v>
      </c>
      <c r="D24" s="292"/>
      <c r="E24" s="292"/>
      <c r="F24" s="292"/>
      <c r="G24" s="292"/>
      <c r="H24" s="292"/>
      <c r="I24" s="293"/>
      <c r="J24" s="264"/>
      <c r="K24" s="264"/>
      <c r="L24" s="264"/>
      <c r="M24" s="265"/>
    </row>
    <row r="25" spans="2:13" ht="21" customHeight="1" x14ac:dyDescent="0.3">
      <c r="B25" s="277" t="s">
        <v>147</v>
      </c>
      <c r="C25" s="284" t="s">
        <v>148</v>
      </c>
      <c r="D25" s="284"/>
      <c r="E25" s="284"/>
      <c r="F25" s="284"/>
      <c r="G25" s="284"/>
      <c r="H25" s="284"/>
      <c r="I25" s="285"/>
      <c r="J25" s="264"/>
      <c r="K25" s="264"/>
      <c r="L25" s="264"/>
      <c r="M25" s="265"/>
    </row>
    <row r="26" spans="2:13" ht="21" customHeight="1" thickBot="1" x14ac:dyDescent="0.35">
      <c r="B26" s="278" t="s">
        <v>149</v>
      </c>
      <c r="C26" s="286" t="s">
        <v>150</v>
      </c>
      <c r="D26" s="286"/>
      <c r="E26" s="286"/>
      <c r="F26" s="286"/>
      <c r="G26" s="286"/>
      <c r="H26" s="286"/>
      <c r="I26" s="287"/>
      <c r="J26" s="264"/>
      <c r="K26" s="264"/>
      <c r="L26" s="264"/>
      <c r="M26" s="265"/>
    </row>
    <row r="27" spans="2:13" x14ac:dyDescent="0.3">
      <c r="B27" s="266"/>
      <c r="C27" s="264"/>
      <c r="D27" s="264"/>
      <c r="E27" s="264"/>
      <c r="F27" s="264"/>
      <c r="G27" s="264"/>
      <c r="H27" s="264"/>
      <c r="I27" s="264"/>
      <c r="J27" s="264"/>
      <c r="K27" s="264"/>
      <c r="L27" s="264"/>
      <c r="M27" s="265"/>
    </row>
    <row r="28" spans="2:13" ht="21" customHeight="1" x14ac:dyDescent="0.3">
      <c r="B28" s="269" t="s">
        <v>157</v>
      </c>
      <c r="C28" s="264"/>
      <c r="D28" s="264"/>
      <c r="E28" s="264"/>
      <c r="F28" s="264"/>
      <c r="G28" s="264"/>
      <c r="H28" s="264"/>
      <c r="I28" s="264"/>
      <c r="J28" s="264"/>
      <c r="K28" s="264"/>
      <c r="L28" s="264"/>
      <c r="M28" s="265"/>
    </row>
    <row r="29" spans="2:13" ht="21" customHeight="1" x14ac:dyDescent="0.3">
      <c r="B29" s="269" t="s">
        <v>158</v>
      </c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5"/>
    </row>
    <row r="30" spans="2:13" ht="18" customHeight="1" x14ac:dyDescent="0.3">
      <c r="B30" s="280" t="s">
        <v>159</v>
      </c>
      <c r="C30" s="264"/>
      <c r="D30" s="264"/>
      <c r="E30" s="264"/>
      <c r="F30" s="264"/>
      <c r="G30" s="264"/>
      <c r="H30" s="264"/>
      <c r="I30" s="264"/>
      <c r="J30" s="264"/>
      <c r="K30" s="264"/>
      <c r="L30" s="264"/>
      <c r="M30" s="265"/>
    </row>
    <row r="31" spans="2:13" ht="21" customHeight="1" thickBot="1" x14ac:dyDescent="0.35">
      <c r="B31" s="279" t="s">
        <v>160</v>
      </c>
      <c r="C31" s="267"/>
      <c r="D31" s="267"/>
      <c r="E31" s="267"/>
      <c r="F31" s="267"/>
      <c r="G31" s="267"/>
      <c r="H31" s="267"/>
      <c r="I31" s="267"/>
      <c r="J31" s="267"/>
      <c r="K31" s="267"/>
      <c r="L31" s="267"/>
      <c r="M31" s="268"/>
    </row>
  </sheetData>
  <mergeCells count="7">
    <mergeCell ref="C25:I25"/>
    <mergeCell ref="C26:I26"/>
    <mergeCell ref="B2:L2"/>
    <mergeCell ref="C22:I22"/>
    <mergeCell ref="C23:I23"/>
    <mergeCell ref="C21:I21"/>
    <mergeCell ref="C24:I2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86"/>
  <sheetViews>
    <sheetView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0" width="6.625" style="2" customWidth="1"/>
    <col min="11" max="16384" width="9" style="2"/>
  </cols>
  <sheetData>
    <row r="1" spans="1:10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  <c r="J1" s="1"/>
    </row>
    <row r="2" spans="1:10" x14ac:dyDescent="0.3">
      <c r="A2" s="297" t="s">
        <v>1</v>
      </c>
      <c r="B2" s="298"/>
      <c r="C2" s="299" t="s">
        <v>168</v>
      </c>
      <c r="D2" s="300"/>
      <c r="E2" s="301" t="s">
        <v>77</v>
      </c>
      <c r="F2" s="303" t="s">
        <v>2</v>
      </c>
      <c r="G2" s="304"/>
      <c r="H2" s="305" t="s">
        <v>76</v>
      </c>
      <c r="I2" s="306"/>
      <c r="J2" s="3"/>
    </row>
    <row r="3" spans="1:10" x14ac:dyDescent="0.3">
      <c r="A3" s="307" t="s">
        <v>3</v>
      </c>
      <c r="B3" s="308"/>
      <c r="C3" s="4" t="s">
        <v>167</v>
      </c>
      <c r="D3" s="5" t="s">
        <v>4</v>
      </c>
      <c r="E3" s="302"/>
      <c r="F3" s="309" t="s">
        <v>169</v>
      </c>
      <c r="G3" s="310"/>
      <c r="H3" s="311">
        <f>G11</f>
        <v>2233300</v>
      </c>
      <c r="I3" s="312"/>
      <c r="J3" s="3"/>
    </row>
    <row r="4" spans="1:10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  <c r="J4" s="3"/>
    </row>
    <row r="5" spans="1:10" x14ac:dyDescent="0.3">
      <c r="A5" s="7"/>
      <c r="B5" s="8"/>
      <c r="C5" s="8"/>
      <c r="D5" s="9"/>
      <c r="E5" s="10" t="s">
        <v>5</v>
      </c>
      <c r="F5" s="11" t="s">
        <v>6</v>
      </c>
      <c r="G5" s="12" t="s">
        <v>7</v>
      </c>
      <c r="H5" s="10" t="s">
        <v>8</v>
      </c>
      <c r="I5" s="13" t="s">
        <v>9</v>
      </c>
      <c r="J5" s="3"/>
    </row>
    <row r="6" spans="1:10" x14ac:dyDescent="0.3">
      <c r="A6" s="7"/>
      <c r="B6" s="8"/>
      <c r="C6" s="8"/>
      <c r="D6" s="9"/>
      <c r="E6" s="14" t="s">
        <v>172</v>
      </c>
      <c r="F6" s="15" t="s">
        <v>171</v>
      </c>
      <c r="G6" s="16" t="s">
        <v>170</v>
      </c>
      <c r="H6" s="17">
        <v>0.32</v>
      </c>
      <c r="I6" s="18">
        <v>0.26</v>
      </c>
      <c r="J6" s="3"/>
    </row>
    <row r="7" spans="1:10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  <c r="J7" s="3"/>
    </row>
    <row r="8" spans="1:10" ht="18" customHeight="1" thickBot="1" x14ac:dyDescent="0.35">
      <c r="A8" s="105"/>
      <c r="B8" s="106"/>
      <c r="C8" s="106"/>
      <c r="D8" s="106"/>
      <c r="E8" s="106"/>
      <c r="F8" s="106"/>
      <c r="G8" s="106"/>
      <c r="H8" s="106"/>
      <c r="I8" s="6"/>
      <c r="J8" s="3"/>
    </row>
    <row r="9" spans="1:10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  <c r="J9" s="3"/>
    </row>
    <row r="10" spans="1:10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  <c r="J10" s="3"/>
    </row>
    <row r="11" spans="1:10" ht="17.25" thickBot="1" x14ac:dyDescent="0.35">
      <c r="A11" s="379"/>
      <c r="B11" s="317"/>
      <c r="C11" s="101">
        <v>2012600</v>
      </c>
      <c r="D11" s="102">
        <v>138</v>
      </c>
      <c r="E11" s="109">
        <f>SUM(E55:I56)</f>
        <v>220700</v>
      </c>
      <c r="F11" s="109">
        <f>SUM(E53:I54)</f>
        <v>10</v>
      </c>
      <c r="G11" s="110">
        <f>C11+E11</f>
        <v>2233300</v>
      </c>
      <c r="H11" s="110">
        <f>D11+F11</f>
        <v>148</v>
      </c>
      <c r="I11" s="111">
        <f>G11/H11</f>
        <v>15089.864864864865</v>
      </c>
      <c r="J11" s="3"/>
    </row>
    <row r="12" spans="1:10" ht="30" customHeight="1" x14ac:dyDescent="0.3">
      <c r="A12" s="319" t="s">
        <v>14</v>
      </c>
      <c r="B12" s="20" t="s">
        <v>15</v>
      </c>
      <c r="C12" s="98" t="s">
        <v>16</v>
      </c>
      <c r="D12" s="99" t="s">
        <v>17</v>
      </c>
      <c r="E12" s="99" t="s">
        <v>18</v>
      </c>
      <c r="F12" s="322" t="s">
        <v>19</v>
      </c>
      <c r="G12" s="323"/>
      <c r="H12" s="98" t="s">
        <v>20</v>
      </c>
      <c r="I12" s="100" t="s">
        <v>21</v>
      </c>
      <c r="J12" s="3" t="s">
        <v>22</v>
      </c>
    </row>
    <row r="13" spans="1:10" ht="17.25" customHeight="1" x14ac:dyDescent="0.3">
      <c r="A13" s="320"/>
      <c r="B13" s="21" t="s">
        <v>23</v>
      </c>
      <c r="C13" s="22">
        <v>18</v>
      </c>
      <c r="D13" s="23">
        <v>2</v>
      </c>
      <c r="E13" s="22">
        <v>1</v>
      </c>
      <c r="F13" s="24"/>
      <c r="G13" s="25"/>
      <c r="H13" s="23"/>
      <c r="I13" s="26">
        <f>C13-D13-D14*1/2-E13-E14*1/2+F13-H13-H14*1/2-I14*1/2</f>
        <v>15</v>
      </c>
      <c r="J13" s="3"/>
    </row>
    <row r="14" spans="1:10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  <c r="J14" s="3"/>
    </row>
    <row r="15" spans="1:10" ht="17.25" customHeight="1" x14ac:dyDescent="0.3">
      <c r="A15" s="320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18</v>
      </c>
      <c r="J15" s="3"/>
    </row>
    <row r="16" spans="1:10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  <c r="J16" s="3"/>
    </row>
    <row r="17" spans="1:10" ht="17.25" customHeight="1" x14ac:dyDescent="0.3">
      <c r="A17" s="320"/>
      <c r="B17" s="27" t="s">
        <v>27</v>
      </c>
      <c r="C17" s="33">
        <v>18</v>
      </c>
      <c r="D17" s="29"/>
      <c r="E17" s="30"/>
      <c r="F17" s="34"/>
      <c r="G17" s="118"/>
      <c r="H17" s="29">
        <v>2</v>
      </c>
      <c r="I17" s="37">
        <f>C17-D17-D18*1/2-E17-E18*1/2+F17-H17-H18*1/2-I18*1/2</f>
        <v>16</v>
      </c>
      <c r="J17" s="3"/>
    </row>
    <row r="18" spans="1:10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  <c r="J18" s="3"/>
    </row>
    <row r="19" spans="1:10" ht="17.25" customHeight="1" x14ac:dyDescent="0.3">
      <c r="A19" s="320"/>
      <c r="B19" s="27" t="s">
        <v>29</v>
      </c>
      <c r="C19" s="33">
        <v>2</v>
      </c>
      <c r="D19" s="29"/>
      <c r="E19" s="30"/>
      <c r="F19" s="34"/>
      <c r="G19" s="25"/>
      <c r="H19" s="29">
        <v>1</v>
      </c>
      <c r="I19" s="35">
        <f>C19-D19-D20*1/2-E19-E20*1/2+F19-H19-H20*1/2-I20*1/2</f>
        <v>1</v>
      </c>
      <c r="J19" s="3"/>
    </row>
    <row r="20" spans="1:10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  <c r="J20" s="3"/>
    </row>
    <row r="21" spans="1:10" ht="17.25" customHeight="1" x14ac:dyDescent="0.3">
      <c r="A21" s="320"/>
      <c r="B21" s="39" t="s">
        <v>31</v>
      </c>
      <c r="C21" s="40">
        <v>89</v>
      </c>
      <c r="D21" s="41"/>
      <c r="E21" s="42">
        <v>1</v>
      </c>
      <c r="F21" s="43"/>
      <c r="G21" s="44"/>
      <c r="H21" s="43">
        <v>5</v>
      </c>
      <c r="I21" s="45">
        <f t="shared" ref="I21:I29" si="0">C21-D21-E21+F21-H21</f>
        <v>83</v>
      </c>
      <c r="J21" s="3"/>
    </row>
    <row r="22" spans="1:10" ht="17.25" customHeight="1" x14ac:dyDescent="0.3">
      <c r="A22" s="320"/>
      <c r="B22" s="21" t="s">
        <v>32</v>
      </c>
      <c r="C22" s="46">
        <v>22</v>
      </c>
      <c r="D22" s="23"/>
      <c r="E22" s="47">
        <v>1</v>
      </c>
      <c r="F22" s="48"/>
      <c r="G22" s="25"/>
      <c r="H22" s="48"/>
      <c r="I22" s="49">
        <f t="shared" si="0"/>
        <v>21</v>
      </c>
      <c r="J22" s="3"/>
    </row>
    <row r="23" spans="1:10" ht="17.25" customHeight="1" x14ac:dyDescent="0.3">
      <c r="A23" s="320"/>
      <c r="B23" s="27" t="s">
        <v>33</v>
      </c>
      <c r="C23" s="33">
        <v>118</v>
      </c>
      <c r="D23" s="29"/>
      <c r="E23" s="50">
        <v>2</v>
      </c>
      <c r="F23" s="51"/>
      <c r="G23" s="25"/>
      <c r="H23" s="51">
        <v>36</v>
      </c>
      <c r="I23" s="52">
        <f>C23-D23-D24-E23-E24+F23+F24-H23-H24-I24</f>
        <v>80</v>
      </c>
      <c r="J23" s="3"/>
    </row>
    <row r="24" spans="1:10" ht="17.25" customHeight="1" x14ac:dyDescent="0.3">
      <c r="A24" s="320"/>
      <c r="B24" s="19" t="s">
        <v>34</v>
      </c>
      <c r="C24" s="53"/>
      <c r="D24" s="41"/>
      <c r="E24" s="42"/>
      <c r="F24" s="43"/>
      <c r="G24" s="113"/>
      <c r="H24" s="43"/>
      <c r="I24" s="54"/>
      <c r="J24" s="3"/>
    </row>
    <row r="25" spans="1:10" ht="17.25" customHeight="1" x14ac:dyDescent="0.3">
      <c r="A25" s="320"/>
      <c r="B25" s="21" t="s">
        <v>35</v>
      </c>
      <c r="C25" s="46">
        <v>20</v>
      </c>
      <c r="D25" s="23"/>
      <c r="E25" s="47"/>
      <c r="F25" s="48"/>
      <c r="G25" s="112"/>
      <c r="H25" s="48">
        <v>4</v>
      </c>
      <c r="I25" s="49">
        <f t="shared" si="0"/>
        <v>16</v>
      </c>
      <c r="J25" s="3"/>
    </row>
    <row r="26" spans="1:10" ht="17.25" customHeight="1" x14ac:dyDescent="0.3">
      <c r="A26" s="320"/>
      <c r="B26" s="19" t="s">
        <v>36</v>
      </c>
      <c r="C26" s="55">
        <v>40</v>
      </c>
      <c r="D26" s="41"/>
      <c r="E26" s="42"/>
      <c r="F26" s="43"/>
      <c r="G26" s="113"/>
      <c r="H26" s="43">
        <v>9</v>
      </c>
      <c r="I26" s="45">
        <f t="shared" si="0"/>
        <v>31</v>
      </c>
      <c r="J26" s="3"/>
    </row>
    <row r="27" spans="1:10" ht="17.25" customHeight="1" x14ac:dyDescent="0.3">
      <c r="A27" s="320"/>
      <c r="B27" s="21" t="s">
        <v>37</v>
      </c>
      <c r="C27" s="46">
        <v>21</v>
      </c>
      <c r="D27" s="23"/>
      <c r="E27" s="47">
        <v>1</v>
      </c>
      <c r="F27" s="48"/>
      <c r="G27" s="112"/>
      <c r="H27" s="48">
        <v>3</v>
      </c>
      <c r="I27" s="49">
        <f t="shared" si="0"/>
        <v>17</v>
      </c>
      <c r="J27" s="3"/>
    </row>
    <row r="28" spans="1:10" ht="17.25" customHeight="1" x14ac:dyDescent="0.3">
      <c r="A28" s="320"/>
      <c r="B28" s="19" t="s">
        <v>38</v>
      </c>
      <c r="C28" s="55">
        <v>30</v>
      </c>
      <c r="D28" s="41"/>
      <c r="E28" s="42"/>
      <c r="F28" s="43"/>
      <c r="G28" s="113"/>
      <c r="H28" s="43">
        <v>1</v>
      </c>
      <c r="I28" s="45">
        <f t="shared" si="0"/>
        <v>29</v>
      </c>
      <c r="J28" s="3"/>
    </row>
    <row r="29" spans="1:10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  <c r="J29" s="3"/>
    </row>
    <row r="30" spans="1:10" ht="17.25" customHeight="1" x14ac:dyDescent="0.3">
      <c r="A30" s="320"/>
      <c r="B30" s="56" t="s">
        <v>40</v>
      </c>
      <c r="C30" s="57">
        <v>95</v>
      </c>
      <c r="D30" s="29"/>
      <c r="E30" s="50"/>
      <c r="F30" s="51"/>
      <c r="G30" s="25"/>
      <c r="H30" s="51">
        <v>21</v>
      </c>
      <c r="I30" s="52">
        <f>C30-D30-D31-E30-E31+F30+F31-H30-H31-I31</f>
        <v>74</v>
      </c>
      <c r="J30" s="3"/>
    </row>
    <row r="31" spans="1:10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  <c r="J31" s="3"/>
    </row>
    <row r="32" spans="1:10" ht="17.25" customHeight="1" x14ac:dyDescent="0.3">
      <c r="A32" s="320"/>
      <c r="B32" s="179" t="s">
        <v>115</v>
      </c>
      <c r="C32" s="184"/>
      <c r="D32" s="23"/>
      <c r="E32" s="47"/>
      <c r="F32" s="48"/>
      <c r="G32" s="116"/>
      <c r="H32" s="207"/>
      <c r="I32" s="187"/>
      <c r="J32" s="3"/>
    </row>
    <row r="33" spans="1:10" ht="17.25" customHeight="1" x14ac:dyDescent="0.3">
      <c r="A33" s="320"/>
      <c r="B33" s="179" t="s">
        <v>117</v>
      </c>
      <c r="C33" s="185"/>
      <c r="D33" s="29"/>
      <c r="E33" s="50"/>
      <c r="F33" s="51"/>
      <c r="G33" s="25"/>
      <c r="H33" s="206"/>
      <c r="I33" s="188">
        <v>1</v>
      </c>
      <c r="J33" s="3"/>
    </row>
    <row r="34" spans="1:10" ht="17.25" customHeight="1" x14ac:dyDescent="0.3">
      <c r="A34" s="320"/>
      <c r="B34" s="179" t="s">
        <v>119</v>
      </c>
      <c r="C34" s="186"/>
      <c r="D34" s="60"/>
      <c r="E34" s="61"/>
      <c r="F34" s="62"/>
      <c r="G34" s="113"/>
      <c r="H34" s="205"/>
      <c r="I34" s="189">
        <v>2</v>
      </c>
      <c r="J34" s="3"/>
    </row>
    <row r="35" spans="1:10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17</v>
      </c>
      <c r="J35" s="3"/>
    </row>
    <row r="36" spans="1:10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3</v>
      </c>
      <c r="I36" s="52">
        <f>C36-D36-E36+F36-H36</f>
        <v>17</v>
      </c>
      <c r="J36" s="3"/>
    </row>
    <row r="37" spans="1:10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  <c r="J37" s="3"/>
    </row>
    <row r="38" spans="1:10" ht="17.25" customHeight="1" x14ac:dyDescent="0.3">
      <c r="A38" s="320"/>
      <c r="B38" s="178" t="s">
        <v>129</v>
      </c>
      <c r="C38" s="185"/>
      <c r="D38" s="29"/>
      <c r="E38" s="50"/>
      <c r="F38" s="51"/>
      <c r="G38" s="25"/>
      <c r="H38" s="51"/>
      <c r="I38" s="195"/>
      <c r="J38" s="3"/>
    </row>
    <row r="39" spans="1:10" ht="17.25" customHeight="1" x14ac:dyDescent="0.3">
      <c r="A39" s="320"/>
      <c r="B39" s="178" t="s">
        <v>107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  <c r="J39" s="3"/>
    </row>
    <row r="40" spans="1:10" ht="17.25" customHeight="1" x14ac:dyDescent="0.3">
      <c r="A40" s="320"/>
      <c r="B40" s="178" t="s">
        <v>131</v>
      </c>
      <c r="C40" s="185"/>
      <c r="D40" s="29"/>
      <c r="E40" s="50"/>
      <c r="F40" s="51"/>
      <c r="G40" s="25"/>
      <c r="H40" s="51"/>
      <c r="I40" s="195"/>
      <c r="J40" s="3"/>
    </row>
    <row r="41" spans="1:10" ht="17.25" customHeight="1" x14ac:dyDescent="0.3">
      <c r="A41" s="320"/>
      <c r="B41" s="178" t="s">
        <v>109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  <c r="J41" s="3"/>
    </row>
    <row r="42" spans="1:10" ht="17.25" customHeight="1" x14ac:dyDescent="0.3">
      <c r="A42" s="320"/>
      <c r="B42" s="178" t="s">
        <v>133</v>
      </c>
      <c r="C42" s="185"/>
      <c r="D42" s="29"/>
      <c r="E42" s="50"/>
      <c r="F42" s="51"/>
      <c r="G42" s="25"/>
      <c r="H42" s="51"/>
      <c r="I42" s="195"/>
      <c r="J42" s="3"/>
    </row>
    <row r="43" spans="1:10" ht="17.25" customHeight="1" x14ac:dyDescent="0.3">
      <c r="A43" s="320"/>
      <c r="B43" s="178" t="s">
        <v>111</v>
      </c>
      <c r="C43" s="185"/>
      <c r="D43" s="29"/>
      <c r="E43" s="50"/>
      <c r="F43" s="51"/>
      <c r="G43" s="25"/>
      <c r="H43" s="206"/>
      <c r="I43" s="195"/>
      <c r="J43" s="3"/>
    </row>
    <row r="44" spans="1:10" ht="17.25" customHeight="1" x14ac:dyDescent="0.3">
      <c r="A44" s="320"/>
      <c r="B44" s="178" t="s">
        <v>123</v>
      </c>
      <c r="C44" s="185"/>
      <c r="D44" s="29"/>
      <c r="E44" s="50"/>
      <c r="F44" s="51"/>
      <c r="G44" s="25"/>
      <c r="H44" s="206"/>
      <c r="I44" s="195"/>
      <c r="J44" s="3"/>
    </row>
    <row r="45" spans="1:10" ht="17.25" customHeight="1" x14ac:dyDescent="0.3">
      <c r="A45" s="320"/>
      <c r="B45" s="164" t="s">
        <v>113</v>
      </c>
      <c r="C45" s="186"/>
      <c r="D45" s="60"/>
      <c r="E45" s="61"/>
      <c r="F45" s="62"/>
      <c r="G45" s="113"/>
      <c r="H45" s="205"/>
      <c r="I45" s="204"/>
      <c r="J45" s="3"/>
    </row>
    <row r="46" spans="1:10" ht="17.25" customHeight="1" x14ac:dyDescent="0.3">
      <c r="A46" s="320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ref="I46:I48" si="2">C46-D46-E46+F46-H46</f>
        <v>8</v>
      </c>
      <c r="J46" s="3"/>
    </row>
    <row r="47" spans="1:10" ht="17.25" customHeight="1" x14ac:dyDescent="0.3">
      <c r="A47" s="320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2"/>
        <v>6</v>
      </c>
      <c r="J47" s="3"/>
    </row>
    <row r="48" spans="1:10" ht="17.25" customHeight="1" x14ac:dyDescent="0.3">
      <c r="A48" s="320"/>
      <c r="B48" s="56" t="s">
        <v>121</v>
      </c>
      <c r="C48" s="117"/>
      <c r="D48" s="29"/>
      <c r="E48" s="50"/>
      <c r="F48" s="51"/>
      <c r="G48" s="25"/>
      <c r="H48" s="51"/>
      <c r="I48" s="52">
        <f t="shared" si="2"/>
        <v>0</v>
      </c>
      <c r="J48" s="3"/>
    </row>
    <row r="49" spans="1:11" ht="17.25" customHeight="1" x14ac:dyDescent="0.3">
      <c r="A49" s="320"/>
      <c r="B49" s="179" t="s">
        <v>125</v>
      </c>
      <c r="C49" s="192"/>
      <c r="D49" s="180"/>
      <c r="E49" s="181"/>
      <c r="F49" s="182"/>
      <c r="G49" s="183"/>
      <c r="H49" s="208"/>
      <c r="I49" s="195"/>
      <c r="J49" s="3"/>
    </row>
    <row r="50" spans="1:11" ht="17.25" customHeight="1" x14ac:dyDescent="0.3">
      <c r="A50" s="320"/>
      <c r="B50" s="58" t="s">
        <v>127</v>
      </c>
      <c r="C50" s="59"/>
      <c r="D50" s="60"/>
      <c r="E50" s="61"/>
      <c r="F50" s="62"/>
      <c r="G50" s="113"/>
      <c r="H50" s="205"/>
      <c r="I50" s="63"/>
      <c r="J50" s="3"/>
    </row>
    <row r="51" spans="1:11" ht="17.25" customHeight="1" thickBot="1" x14ac:dyDescent="0.35">
      <c r="A51" s="321"/>
      <c r="B51" s="64" t="s">
        <v>42</v>
      </c>
      <c r="C51" s="256">
        <f>SUM(C13:C50)</f>
        <v>530</v>
      </c>
      <c r="D51" s="257">
        <f>SUM(D13:D46)</f>
        <v>2</v>
      </c>
      <c r="E51" s="258">
        <f>SUM(E13:E49)</f>
        <v>8</v>
      </c>
      <c r="F51" s="258">
        <f>SUM(F13:F46)</f>
        <v>0</v>
      </c>
      <c r="G51" s="259" t="s">
        <v>22</v>
      </c>
      <c r="H51" s="260">
        <f>SUM(H13:H46)</f>
        <v>85</v>
      </c>
      <c r="I51" s="261">
        <f>SUM(I13:I46)</f>
        <v>451</v>
      </c>
      <c r="J51" s="3"/>
    </row>
    <row r="52" spans="1:11" s="76" customFormat="1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91</v>
      </c>
      <c r="G52" s="74" t="s">
        <v>44</v>
      </c>
      <c r="H52" s="74" t="s">
        <v>103</v>
      </c>
      <c r="I52" s="75" t="s">
        <v>104</v>
      </c>
      <c r="J52" s="3"/>
    </row>
    <row r="53" spans="1:11" s="76" customFormat="1" ht="17.25" customHeight="1" x14ac:dyDescent="0.3">
      <c r="A53" s="326"/>
      <c r="B53" s="327"/>
      <c r="C53" s="330" t="s">
        <v>74</v>
      </c>
      <c r="D53" s="332"/>
      <c r="E53" s="334">
        <v>4</v>
      </c>
      <c r="F53" s="334">
        <v>1</v>
      </c>
      <c r="G53" s="334">
        <v>4</v>
      </c>
      <c r="H53" s="334"/>
      <c r="I53" s="337">
        <v>1</v>
      </c>
      <c r="J53" s="173"/>
      <c r="K53" s="2"/>
    </row>
    <row r="54" spans="1:11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  <c r="J54" s="3"/>
      <c r="K54" s="2"/>
    </row>
    <row r="55" spans="1:11" s="76" customFormat="1" ht="17.25" customHeight="1" x14ac:dyDescent="0.3">
      <c r="A55" s="326"/>
      <c r="B55" s="327"/>
      <c r="C55" s="330" t="s">
        <v>75</v>
      </c>
      <c r="D55" s="332"/>
      <c r="E55" s="341">
        <v>104000</v>
      </c>
      <c r="F55" s="341">
        <v>33700</v>
      </c>
      <c r="G55" s="341">
        <v>44400</v>
      </c>
      <c r="H55" s="334"/>
      <c r="I55" s="348">
        <v>38600</v>
      </c>
      <c r="J55" s="3"/>
      <c r="K55" s="2"/>
    </row>
    <row r="56" spans="1:11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  <c r="J56" s="3"/>
      <c r="K56" s="2"/>
    </row>
    <row r="57" spans="1:11" s="76" customFormat="1" ht="17.25" customHeight="1" x14ac:dyDescent="0.3">
      <c r="A57" s="324" t="s">
        <v>45</v>
      </c>
      <c r="B57" s="325"/>
      <c r="C57" s="350" t="s">
        <v>181</v>
      </c>
      <c r="D57" s="351"/>
      <c r="E57" s="351"/>
      <c r="F57" s="351"/>
      <c r="G57" s="351"/>
      <c r="H57" s="351"/>
      <c r="I57" s="352"/>
      <c r="J57" s="3"/>
      <c r="K57" s="2"/>
    </row>
    <row r="58" spans="1:11" s="76" customFormat="1" ht="17.25" customHeight="1" x14ac:dyDescent="0.3">
      <c r="A58" s="326"/>
      <c r="B58" s="327"/>
      <c r="C58" s="353" t="s">
        <v>182</v>
      </c>
      <c r="D58" s="353"/>
      <c r="E58" s="353"/>
      <c r="F58" s="353"/>
      <c r="G58" s="353"/>
      <c r="H58" s="353"/>
      <c r="I58" s="354"/>
      <c r="J58" s="77"/>
      <c r="K58" s="2"/>
    </row>
    <row r="59" spans="1:11" s="76" customFormat="1" ht="17.25" customHeight="1" x14ac:dyDescent="0.3">
      <c r="A59" s="326"/>
      <c r="B59" s="327"/>
      <c r="C59" s="355" t="s">
        <v>183</v>
      </c>
      <c r="D59" s="353"/>
      <c r="E59" s="353"/>
      <c r="F59" s="353"/>
      <c r="G59" s="353"/>
      <c r="H59" s="353"/>
      <c r="I59" s="354"/>
      <c r="J59" s="3"/>
      <c r="K59" s="2"/>
    </row>
    <row r="60" spans="1:11" s="76" customFormat="1" ht="17.25" customHeight="1" thickBot="1" x14ac:dyDescent="0.35">
      <c r="A60" s="328"/>
      <c r="B60" s="329"/>
      <c r="C60" s="343" t="s">
        <v>184</v>
      </c>
      <c r="D60" s="343"/>
      <c r="E60" s="343"/>
      <c r="F60" s="343"/>
      <c r="G60" s="343"/>
      <c r="H60" s="343"/>
      <c r="I60" s="344"/>
      <c r="J60" s="3"/>
      <c r="K60" s="2"/>
    </row>
    <row r="61" spans="1:11" s="76" customFormat="1" ht="33.75" customHeight="1" x14ac:dyDescent="0.3">
      <c r="A61" s="324" t="s">
        <v>73</v>
      </c>
      <c r="B61" s="325"/>
      <c r="C61" s="345" t="s">
        <v>166</v>
      </c>
      <c r="D61" s="346"/>
      <c r="E61" s="346"/>
      <c r="F61" s="346"/>
      <c r="G61" s="346"/>
      <c r="H61" s="346"/>
      <c r="I61" s="347"/>
      <c r="J61" s="3"/>
      <c r="K61" s="2"/>
    </row>
    <row r="62" spans="1:11" s="76" customFormat="1" ht="17.25" customHeight="1" x14ac:dyDescent="0.3">
      <c r="A62" s="326"/>
      <c r="B62" s="327"/>
      <c r="C62" s="356" t="s">
        <v>179</v>
      </c>
      <c r="D62" s="357"/>
      <c r="E62" s="357"/>
      <c r="F62" s="357"/>
      <c r="G62" s="357"/>
      <c r="H62" s="357"/>
      <c r="I62" s="358"/>
      <c r="J62" s="3"/>
      <c r="K62" s="2"/>
    </row>
    <row r="63" spans="1:11" s="76" customFormat="1" ht="30.75" customHeight="1" x14ac:dyDescent="0.3">
      <c r="A63" s="326"/>
      <c r="B63" s="327"/>
      <c r="C63" s="359" t="s">
        <v>180</v>
      </c>
      <c r="D63" s="360"/>
      <c r="E63" s="360"/>
      <c r="F63" s="360"/>
      <c r="G63" s="360"/>
      <c r="H63" s="360"/>
      <c r="I63" s="361"/>
      <c r="J63" s="3"/>
      <c r="K63" s="2"/>
    </row>
    <row r="64" spans="1:11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  <c r="J64" s="3"/>
      <c r="K64" s="2"/>
    </row>
    <row r="65" spans="1:11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  <c r="J65" s="3"/>
      <c r="K65" s="2"/>
    </row>
    <row r="66" spans="1:11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  <c r="J66" s="3"/>
      <c r="K66" s="2"/>
    </row>
    <row r="67" spans="1:11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  <c r="J67" s="3"/>
      <c r="K67" s="2"/>
    </row>
    <row r="68" spans="1:11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  <c r="J68" s="3"/>
      <c r="K68" s="2"/>
    </row>
    <row r="69" spans="1:11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  <c r="J69" s="3"/>
      <c r="K69" s="2"/>
    </row>
    <row r="70" spans="1:11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  <c r="J70" s="3"/>
      <c r="K70" s="2"/>
    </row>
    <row r="71" spans="1:11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  <c r="J71" s="3"/>
      <c r="K71" s="2"/>
    </row>
    <row r="72" spans="1:11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  <c r="J72" s="3"/>
      <c r="K72" s="2"/>
    </row>
    <row r="73" spans="1:11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  <c r="J73" s="3"/>
      <c r="K73" s="2"/>
    </row>
    <row r="74" spans="1:11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  <c r="J74" s="3"/>
      <c r="K74" s="2"/>
    </row>
    <row r="75" spans="1:11" s="76" customFormat="1" ht="17.25" customHeight="1" x14ac:dyDescent="0.3">
      <c r="A75" s="324" t="s">
        <v>51</v>
      </c>
      <c r="B75" s="325"/>
      <c r="C75" s="78" t="s">
        <v>94</v>
      </c>
      <c r="D75" s="79" t="s">
        <v>95</v>
      </c>
      <c r="E75" s="79" t="s">
        <v>96</v>
      </c>
      <c r="F75" s="79" t="s">
        <v>97</v>
      </c>
      <c r="G75" s="79" t="s">
        <v>98</v>
      </c>
      <c r="H75" s="79" t="s">
        <v>99</v>
      </c>
      <c r="I75" s="80" t="s">
        <v>100</v>
      </c>
      <c r="J75" s="3"/>
      <c r="K75" s="2"/>
    </row>
    <row r="76" spans="1:11" s="76" customFormat="1" ht="17.25" customHeight="1" x14ac:dyDescent="0.3">
      <c r="A76" s="81"/>
      <c r="B76" s="82" t="s">
        <v>59</v>
      </c>
      <c r="C76" s="83" t="s">
        <v>177</v>
      </c>
      <c r="D76" s="136"/>
      <c r="E76" s="136"/>
      <c r="F76" s="136"/>
      <c r="G76" s="136"/>
      <c r="H76" s="136"/>
      <c r="I76" s="137"/>
      <c r="J76" s="84"/>
      <c r="K76" s="2"/>
    </row>
    <row r="77" spans="1:11" s="76" customFormat="1" ht="17.25" customHeight="1" thickBot="1" x14ac:dyDescent="0.35">
      <c r="A77" s="85"/>
      <c r="B77" s="86" t="s">
        <v>60</v>
      </c>
      <c r="C77" s="87" t="s">
        <v>178</v>
      </c>
      <c r="D77" s="88"/>
      <c r="E77" s="88"/>
      <c r="F77" s="88"/>
      <c r="G77" s="88"/>
      <c r="H77" s="88"/>
      <c r="I77" s="89"/>
      <c r="J77" s="84"/>
      <c r="K77" s="2"/>
    </row>
    <row r="78" spans="1:11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101</v>
      </c>
      <c r="H78" s="384"/>
      <c r="I78" s="90" t="s">
        <v>65</v>
      </c>
      <c r="J78" s="91"/>
    </row>
    <row r="79" spans="1:11" s="76" customFormat="1" ht="17.25" customHeight="1" thickBot="1" x14ac:dyDescent="0.35">
      <c r="A79" s="375"/>
      <c r="B79" s="376"/>
      <c r="C79" s="92">
        <v>0.25</v>
      </c>
      <c r="D79" s="93" t="s">
        <v>173</v>
      </c>
      <c r="E79" s="94">
        <v>0.8125</v>
      </c>
      <c r="F79" s="93" t="s">
        <v>174</v>
      </c>
      <c r="G79" s="385" t="s">
        <v>175</v>
      </c>
      <c r="H79" s="386"/>
      <c r="I79" s="95" t="s">
        <v>176</v>
      </c>
      <c r="J79" s="96"/>
    </row>
    <row r="80" spans="1:11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  <c r="J80" s="2"/>
    </row>
    <row r="81" spans="11:11" ht="17.25" customHeight="1" x14ac:dyDescent="0.3">
      <c r="K81" s="76"/>
    </row>
    <row r="82" spans="11:11" ht="17.25" customHeight="1" x14ac:dyDescent="0.3">
      <c r="K82" s="130"/>
    </row>
    <row r="83" spans="11:11" ht="17.25" customHeight="1" x14ac:dyDescent="0.3">
      <c r="K83" s="130"/>
    </row>
    <row r="84" spans="11:11" ht="17.25" customHeight="1" x14ac:dyDescent="0.3"/>
    <row r="85" spans="11:11" ht="17.25" customHeight="1" x14ac:dyDescent="0.3"/>
    <row r="86" spans="11:11" ht="17.25" customHeight="1" x14ac:dyDescent="0.3">
      <c r="K86" s="129"/>
    </row>
  </sheetData>
  <mergeCells count="66">
    <mergeCell ref="H80:I80"/>
    <mergeCell ref="I9:I10"/>
    <mergeCell ref="A78:B79"/>
    <mergeCell ref="A70:B72"/>
    <mergeCell ref="A61:B64"/>
    <mergeCell ref="A57:B60"/>
    <mergeCell ref="A9:A11"/>
    <mergeCell ref="C78:D78"/>
    <mergeCell ref="E78:F78"/>
    <mergeCell ref="G78:H78"/>
    <mergeCell ref="G79:H79"/>
    <mergeCell ref="A73:B74"/>
    <mergeCell ref="C73:I73"/>
    <mergeCell ref="C74:I74"/>
    <mergeCell ref="A75:B75"/>
    <mergeCell ref="C69:I69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C60:I60"/>
    <mergeCell ref="C61:I61"/>
    <mergeCell ref="C64:I64"/>
    <mergeCell ref="I55:I56"/>
    <mergeCell ref="C57:I57"/>
    <mergeCell ref="C58:I58"/>
    <mergeCell ref="C59:I59"/>
    <mergeCell ref="C62:I62"/>
    <mergeCell ref="C63:I63"/>
    <mergeCell ref="H53:H54"/>
    <mergeCell ref="I53:I54"/>
    <mergeCell ref="C55:C56"/>
    <mergeCell ref="D55:D56"/>
    <mergeCell ref="E55:E56"/>
    <mergeCell ref="F55:F56"/>
    <mergeCell ref="G55:G56"/>
    <mergeCell ref="H55:H56"/>
    <mergeCell ref="A12:A51"/>
    <mergeCell ref="F12:G12"/>
    <mergeCell ref="A52:B56"/>
    <mergeCell ref="C53:C54"/>
    <mergeCell ref="D53:D54"/>
    <mergeCell ref="E53:E54"/>
    <mergeCell ref="F53:F54"/>
    <mergeCell ref="G53:G54"/>
    <mergeCell ref="A4:H4"/>
    <mergeCell ref="A7:H7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colBreaks count="1" manualBreakCount="1">
    <brk id="8" max="58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topLeftCell="A16" zoomScale="90" zoomScaleNormal="90" workbookViewId="0">
      <selection activeCell="D11" sqref="D1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185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186</v>
      </c>
      <c r="D3" s="5" t="s">
        <v>4</v>
      </c>
      <c r="E3" s="302"/>
      <c r="F3" s="309" t="s">
        <v>187</v>
      </c>
      <c r="G3" s="310"/>
      <c r="H3" s="311">
        <f>G11+'1일'!H3:I3</f>
        <v>4485700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188</v>
      </c>
      <c r="F6" s="15" t="s">
        <v>190</v>
      </c>
      <c r="G6" s="16" t="s">
        <v>189</v>
      </c>
      <c r="H6" s="17">
        <v>0.54</v>
      </c>
      <c r="I6" s="18">
        <v>0.3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2169300</v>
      </c>
      <c r="D11" s="102">
        <v>144</v>
      </c>
      <c r="E11" s="109">
        <f>SUM(E55:I56)</f>
        <v>83100</v>
      </c>
      <c r="F11" s="109">
        <f>SUM(E53:I54)</f>
        <v>6</v>
      </c>
      <c r="G11" s="110">
        <f>C11+E11</f>
        <v>2252400</v>
      </c>
      <c r="H11" s="110">
        <f>D11+F11</f>
        <v>150</v>
      </c>
      <c r="I11" s="111">
        <f>G11/H11</f>
        <v>15016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15.5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15</v>
      </c>
      <c r="D15" s="29"/>
      <c r="E15" s="30"/>
      <c r="F15" s="34"/>
      <c r="G15" s="25"/>
      <c r="H15" s="29"/>
      <c r="I15" s="35">
        <f>C15-D15-D16*1/2-E15-E16*1/2+F15-H15-H16*1/2-I16*1/2</f>
        <v>15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11</v>
      </c>
      <c r="D19" s="29"/>
      <c r="E19" s="30"/>
      <c r="F19" s="34"/>
      <c r="G19" s="25"/>
      <c r="H19" s="29"/>
      <c r="I19" s="35">
        <f>C19-D19-D20*1/2-E19-E20*1/2+F19-H19-H20*1/2-I20*1/2</f>
        <v>11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86</v>
      </c>
      <c r="D21" s="41"/>
      <c r="E21" s="42">
        <v>2</v>
      </c>
      <c r="F21" s="43"/>
      <c r="G21" s="44"/>
      <c r="H21" s="43">
        <v>8</v>
      </c>
      <c r="I21" s="45">
        <f t="shared" ref="I21:I48" si="0">C21-D21-E21+F21-H21</f>
        <v>76</v>
      </c>
    </row>
    <row r="22" spans="1:9" ht="17.25" customHeight="1" x14ac:dyDescent="0.3">
      <c r="A22" s="320"/>
      <c r="B22" s="21" t="s">
        <v>32</v>
      </c>
      <c r="C22" s="46">
        <v>34</v>
      </c>
      <c r="D22" s="23"/>
      <c r="E22" s="47">
        <v>2</v>
      </c>
      <c r="F22" s="48"/>
      <c r="G22" s="25"/>
      <c r="H22" s="48">
        <v>4</v>
      </c>
      <c r="I22" s="49">
        <f t="shared" si="0"/>
        <v>28</v>
      </c>
    </row>
    <row r="23" spans="1:9" ht="17.25" customHeight="1" x14ac:dyDescent="0.3">
      <c r="A23" s="320"/>
      <c r="B23" s="27" t="s">
        <v>33</v>
      </c>
      <c r="C23" s="33">
        <v>113</v>
      </c>
      <c r="D23" s="29"/>
      <c r="E23" s="50">
        <v>2</v>
      </c>
      <c r="F23" s="51"/>
      <c r="G23" s="25"/>
      <c r="H23" s="51">
        <v>11</v>
      </c>
      <c r="I23" s="52">
        <f>C23-D23-D24-E23-E24+F23+F24-H23-H24-I24</f>
        <v>96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>
        <v>3</v>
      </c>
      <c r="I24" s="54"/>
    </row>
    <row r="25" spans="1:9" ht="17.25" customHeight="1" x14ac:dyDescent="0.3">
      <c r="A25" s="320"/>
      <c r="B25" s="21" t="s">
        <v>35</v>
      </c>
      <c r="C25" s="46">
        <v>22</v>
      </c>
      <c r="D25" s="23">
        <v>1</v>
      </c>
      <c r="E25" s="47"/>
      <c r="F25" s="48"/>
      <c r="G25" s="112"/>
      <c r="H25" s="48">
        <v>2</v>
      </c>
      <c r="I25" s="49">
        <f t="shared" si="0"/>
        <v>19</v>
      </c>
    </row>
    <row r="26" spans="1:9" ht="17.25" customHeight="1" x14ac:dyDescent="0.3">
      <c r="A26" s="320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20"/>
      <c r="B27" s="21" t="s">
        <v>37</v>
      </c>
      <c r="C27" s="46">
        <v>26</v>
      </c>
      <c r="D27" s="23">
        <v>1</v>
      </c>
      <c r="E27" s="47"/>
      <c r="F27" s="48"/>
      <c r="G27" s="112"/>
      <c r="H27" s="48">
        <v>4</v>
      </c>
      <c r="I27" s="49">
        <f t="shared" si="0"/>
        <v>21</v>
      </c>
    </row>
    <row r="28" spans="1:9" ht="17.25" customHeight="1" x14ac:dyDescent="0.3">
      <c r="A28" s="320"/>
      <c r="B28" s="160" t="s">
        <v>38</v>
      </c>
      <c r="C28" s="55">
        <v>36</v>
      </c>
      <c r="D28" s="41"/>
      <c r="E28" s="42"/>
      <c r="F28" s="43"/>
      <c r="G28" s="113"/>
      <c r="H28" s="43">
        <v>17</v>
      </c>
      <c r="I28" s="45">
        <f t="shared" si="0"/>
        <v>19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20"/>
      <c r="B30" s="56" t="s">
        <v>40</v>
      </c>
      <c r="C30" s="57">
        <v>119</v>
      </c>
      <c r="D30" s="29"/>
      <c r="E30" s="50"/>
      <c r="F30" s="51"/>
      <c r="G30" s="25"/>
      <c r="H30" s="51">
        <v>32</v>
      </c>
      <c r="I30" s="52">
        <f>C30-D30-D31-E30-E31+F30+F31-H30-H31-I31</f>
        <v>87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4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25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2</v>
      </c>
      <c r="I36" s="52">
        <f>C36-D36-E36+F36-H36</f>
        <v>18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191</v>
      </c>
      <c r="C48" s="117">
        <v>6</v>
      </c>
      <c r="D48" s="29"/>
      <c r="E48" s="50"/>
      <c r="F48" s="51"/>
      <c r="G48" s="25"/>
      <c r="H48" s="51"/>
      <c r="I48" s="52">
        <f t="shared" si="0"/>
        <v>6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565</v>
      </c>
      <c r="D51" s="66">
        <f>SUM(D13:D46)</f>
        <v>2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84</v>
      </c>
      <c r="I51" s="70">
        <f>SUM(I13:I46)</f>
        <v>488</v>
      </c>
    </row>
    <row r="52" spans="1:10" s="76" customFormat="1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26"/>
      <c r="B53" s="327"/>
      <c r="C53" s="330" t="s">
        <v>74</v>
      </c>
      <c r="D53" s="332"/>
      <c r="E53" s="334">
        <v>2</v>
      </c>
      <c r="F53" s="334"/>
      <c r="G53" s="334">
        <v>4</v>
      </c>
      <c r="H53" s="334"/>
      <c r="I53" s="337"/>
      <c r="J53" s="175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36800</v>
      </c>
      <c r="F55" s="341"/>
      <c r="G55" s="341">
        <v>46300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206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207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208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209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192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204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205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 t="s">
        <v>193</v>
      </c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194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203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195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 t="s">
        <v>196</v>
      </c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197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198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199</v>
      </c>
      <c r="E79" s="94">
        <v>0.79166666666666663</v>
      </c>
      <c r="F79" s="93" t="s">
        <v>200</v>
      </c>
      <c r="G79" s="385" t="s">
        <v>201</v>
      </c>
      <c r="H79" s="386"/>
      <c r="I79" s="95" t="s">
        <v>202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A4:H4"/>
    <mergeCell ref="A7:H7"/>
    <mergeCell ref="A9:A11"/>
    <mergeCell ref="B9:B11"/>
    <mergeCell ref="C9:D9"/>
    <mergeCell ref="E9:F9"/>
    <mergeCell ref="G9:H9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I9:I10"/>
    <mergeCell ref="A12:A51"/>
    <mergeCell ref="F12:G12"/>
    <mergeCell ref="A52:B56"/>
    <mergeCell ref="C53:C54"/>
    <mergeCell ref="D53:D54"/>
    <mergeCell ref="E53:E54"/>
    <mergeCell ref="F53:F54"/>
    <mergeCell ref="G53:G54"/>
    <mergeCell ref="H53:H54"/>
    <mergeCell ref="A57:B60"/>
    <mergeCell ref="C57:I57"/>
    <mergeCell ref="C58:I58"/>
    <mergeCell ref="C59:I59"/>
    <mergeCell ref="C60:I60"/>
    <mergeCell ref="C69:I69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C62:I62"/>
    <mergeCell ref="C63:I63"/>
    <mergeCell ref="A61:B64"/>
    <mergeCell ref="C61:I61"/>
    <mergeCell ref="A73:B74"/>
    <mergeCell ref="C73:I73"/>
    <mergeCell ref="C74:I74"/>
    <mergeCell ref="A70:B72"/>
    <mergeCell ref="C70:I70"/>
    <mergeCell ref="C71:I71"/>
    <mergeCell ref="C72:I72"/>
    <mergeCell ref="A65:A69"/>
    <mergeCell ref="B65:B66"/>
    <mergeCell ref="C65:I65"/>
    <mergeCell ref="C66:I66"/>
    <mergeCell ref="B67:B69"/>
    <mergeCell ref="C67:I67"/>
    <mergeCell ref="C68:I68"/>
    <mergeCell ref="H80:I80"/>
    <mergeCell ref="A75:B75"/>
    <mergeCell ref="A78:B79"/>
    <mergeCell ref="C78:D78"/>
    <mergeCell ref="E78:F78"/>
    <mergeCell ref="G78:H78"/>
    <mergeCell ref="G79:H7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6"/>
  <sheetViews>
    <sheetView zoomScale="90" zoomScaleNormal="90" workbookViewId="0">
      <selection activeCell="C66" sqref="C66:I6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210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211</v>
      </c>
      <c r="D3" s="5" t="s">
        <v>4</v>
      </c>
      <c r="E3" s="302"/>
      <c r="F3" s="309" t="s">
        <v>212</v>
      </c>
      <c r="G3" s="310"/>
      <c r="H3" s="311">
        <f>G11+'2일'!H3:I3</f>
        <v>5978900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213</v>
      </c>
      <c r="F6" s="15" t="s">
        <v>214</v>
      </c>
      <c r="G6" s="16" t="s">
        <v>215</v>
      </c>
      <c r="H6" s="17">
        <v>0.98</v>
      </c>
      <c r="I6" s="18">
        <v>0.39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1106600</v>
      </c>
      <c r="D11" s="102">
        <v>74</v>
      </c>
      <c r="E11" s="109">
        <f>SUM(E55:I56)</f>
        <v>386600</v>
      </c>
      <c r="F11" s="109">
        <f>SUM(E53:I54)</f>
        <v>5</v>
      </c>
      <c r="G11" s="110">
        <f>C11+E11</f>
        <v>1493200</v>
      </c>
      <c r="H11" s="110">
        <f>D11+F11</f>
        <v>79</v>
      </c>
      <c r="I11" s="111">
        <f>G11/H11</f>
        <v>18901.265822784811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/>
      <c r="F13" s="24"/>
      <c r="G13" s="25"/>
      <c r="H13" s="23">
        <v>1</v>
      </c>
      <c r="I13" s="26">
        <f>C13-D13-D14*1/2-E13-E14*1/2+F13-H13-H14*1/2-I14*1/2</f>
        <v>18.5</v>
      </c>
    </row>
    <row r="14" spans="1:9" ht="17.25" customHeight="1" x14ac:dyDescent="0.3">
      <c r="A14" s="320"/>
      <c r="B14" s="27" t="s">
        <v>24</v>
      </c>
      <c r="C14" s="28"/>
      <c r="D14" s="29">
        <v>1</v>
      </c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5</v>
      </c>
      <c r="D15" s="29"/>
      <c r="E15" s="30"/>
      <c r="F15" s="34"/>
      <c r="G15" s="25"/>
      <c r="H15" s="29"/>
      <c r="I15" s="35">
        <f>C15-D15-D16*1/2-E15-E16*1/2+F15-H15-H16*1/2-I16*1/2</f>
        <v>5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14</v>
      </c>
      <c r="D17" s="29"/>
      <c r="E17" s="30"/>
      <c r="F17" s="34"/>
      <c r="G17" s="118"/>
      <c r="H17" s="29"/>
      <c r="I17" s="37">
        <f>C17-D17-D18*1/2-E17-E18*1/2+F17-H17-H18*1/2-I18*1/2</f>
        <v>14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6</v>
      </c>
      <c r="D19" s="29"/>
      <c r="E19" s="30"/>
      <c r="F19" s="34"/>
      <c r="G19" s="25"/>
      <c r="H19" s="29"/>
      <c r="I19" s="35">
        <f>C19-D19-D20*1/2-E19-E20*1/2+F19-H19-H20*1/2-I20*1/2</f>
        <v>6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72</v>
      </c>
      <c r="D21" s="41"/>
      <c r="E21" s="42"/>
      <c r="F21" s="43"/>
      <c r="G21" s="44"/>
      <c r="H21" s="43">
        <v>36</v>
      </c>
      <c r="I21" s="45">
        <f t="shared" ref="I21:I48" si="0">C21-D21-E21+F21-H21</f>
        <v>36</v>
      </c>
    </row>
    <row r="22" spans="1:9" ht="17.25" customHeight="1" x14ac:dyDescent="0.3">
      <c r="A22" s="320"/>
      <c r="B22" s="21" t="s">
        <v>32</v>
      </c>
      <c r="C22" s="46">
        <v>16</v>
      </c>
      <c r="D22" s="23"/>
      <c r="E22" s="47"/>
      <c r="F22" s="48"/>
      <c r="G22" s="25"/>
      <c r="H22" s="48">
        <v>2</v>
      </c>
      <c r="I22" s="49">
        <f t="shared" si="0"/>
        <v>14</v>
      </c>
    </row>
    <row r="23" spans="1:9" ht="17.25" customHeight="1" x14ac:dyDescent="0.3">
      <c r="A23" s="320"/>
      <c r="B23" s="27" t="s">
        <v>33</v>
      </c>
      <c r="C23" s="33">
        <v>83</v>
      </c>
      <c r="D23" s="29"/>
      <c r="E23" s="50"/>
      <c r="F23" s="51"/>
      <c r="G23" s="25"/>
      <c r="H23" s="51">
        <v>14</v>
      </c>
      <c r="I23" s="52">
        <f>C23-D23-D24-E23-E24+F23+F24-H23-H24-I24</f>
        <v>69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6</v>
      </c>
      <c r="I25" s="49">
        <f t="shared" si="0"/>
        <v>18</v>
      </c>
    </row>
    <row r="26" spans="1:9" ht="17.25" customHeight="1" x14ac:dyDescent="0.3">
      <c r="A26" s="320"/>
      <c r="B26" s="160" t="s">
        <v>36</v>
      </c>
      <c r="C26" s="55">
        <v>22</v>
      </c>
      <c r="D26" s="41"/>
      <c r="E26" s="42"/>
      <c r="F26" s="43"/>
      <c r="G26" s="113"/>
      <c r="H26" s="43">
        <v>5</v>
      </c>
      <c r="I26" s="45">
        <f t="shared" si="0"/>
        <v>17</v>
      </c>
    </row>
    <row r="27" spans="1:9" ht="17.25" customHeight="1" x14ac:dyDescent="0.3">
      <c r="A27" s="320"/>
      <c r="B27" s="21" t="s">
        <v>37</v>
      </c>
      <c r="C27" s="46">
        <v>21</v>
      </c>
      <c r="D27" s="23"/>
      <c r="E27" s="47"/>
      <c r="F27" s="48"/>
      <c r="G27" s="112"/>
      <c r="H27" s="48">
        <v>7</v>
      </c>
      <c r="I27" s="49">
        <f t="shared" si="0"/>
        <v>14</v>
      </c>
    </row>
    <row r="28" spans="1:9" ht="17.25" customHeight="1" x14ac:dyDescent="0.3">
      <c r="A28" s="320"/>
      <c r="B28" s="160" t="s">
        <v>38</v>
      </c>
      <c r="C28" s="55">
        <v>28</v>
      </c>
      <c r="D28" s="41"/>
      <c r="E28" s="42"/>
      <c r="F28" s="43"/>
      <c r="G28" s="113"/>
      <c r="H28" s="43">
        <v>13</v>
      </c>
      <c r="I28" s="45">
        <f t="shared" si="0"/>
        <v>15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20"/>
      <c r="B30" s="56" t="s">
        <v>40</v>
      </c>
      <c r="C30" s="57">
        <v>70</v>
      </c>
      <c r="D30" s="29"/>
      <c r="E30" s="50"/>
      <c r="F30" s="51"/>
      <c r="G30" s="25"/>
      <c r="H30" s="51">
        <v>38</v>
      </c>
      <c r="I30" s="52">
        <f>C30-D30-D31-E30-E31+F30+F31-H30-H31-I31</f>
        <v>32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10</v>
      </c>
      <c r="D36" s="122"/>
      <c r="E36" s="123"/>
      <c r="F36" s="124"/>
      <c r="G36" s="112"/>
      <c r="H36" s="124">
        <v>2</v>
      </c>
      <c r="I36" s="52">
        <f>C36-D36-E36+F36-H36</f>
        <v>8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5</v>
      </c>
      <c r="D46" s="23"/>
      <c r="E46" s="47"/>
      <c r="F46" s="48"/>
      <c r="G46" s="116"/>
      <c r="H46" s="48">
        <v>1</v>
      </c>
      <c r="I46" s="49">
        <f t="shared" si="0"/>
        <v>4</v>
      </c>
    </row>
    <row r="47" spans="1:9" ht="17.25" customHeight="1" x14ac:dyDescent="0.3">
      <c r="A47" s="320"/>
      <c r="B47" s="120" t="s">
        <v>88</v>
      </c>
      <c r="C47" s="121">
        <v>5</v>
      </c>
      <c r="D47" s="122"/>
      <c r="E47" s="123"/>
      <c r="F47" s="124"/>
      <c r="G47" s="112"/>
      <c r="H47" s="124">
        <v>4</v>
      </c>
      <c r="I47" s="52">
        <f t="shared" si="0"/>
        <v>1</v>
      </c>
    </row>
    <row r="48" spans="1:9" ht="17.25" customHeight="1" x14ac:dyDescent="0.3">
      <c r="A48" s="320"/>
      <c r="B48" s="56" t="s">
        <v>216</v>
      </c>
      <c r="C48" s="117">
        <v>5</v>
      </c>
      <c r="D48" s="29"/>
      <c r="E48" s="50"/>
      <c r="F48" s="51"/>
      <c r="G48" s="25"/>
      <c r="H48" s="51"/>
      <c r="I48" s="52">
        <f t="shared" si="0"/>
        <v>5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411</v>
      </c>
      <c r="D51" s="66">
        <f>SUM(D13:D46)</f>
        <v>1</v>
      </c>
      <c r="E51" s="67">
        <f>SUM(E13:E46)</f>
        <v>0</v>
      </c>
      <c r="F51" s="67">
        <f>SUM(F13:F46)</f>
        <v>0</v>
      </c>
      <c r="G51" s="68" t="s">
        <v>22</v>
      </c>
      <c r="H51" s="69">
        <f>SUM(H13:H46)</f>
        <v>127</v>
      </c>
      <c r="I51" s="70">
        <f>SUM(I13:I46)</f>
        <v>273.5</v>
      </c>
    </row>
    <row r="52" spans="1:10" s="76" customFormat="1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s="76" customFormat="1" ht="17.25" customHeight="1" x14ac:dyDescent="0.3">
      <c r="A53" s="326"/>
      <c r="B53" s="327"/>
      <c r="C53" s="330" t="s">
        <v>74</v>
      </c>
      <c r="D53" s="332"/>
      <c r="E53" s="334">
        <v>0</v>
      </c>
      <c r="F53" s="334">
        <v>1</v>
      </c>
      <c r="G53" s="334">
        <v>3</v>
      </c>
      <c r="H53" s="334"/>
      <c r="I53" s="337">
        <v>1</v>
      </c>
      <c r="J53" s="175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0</v>
      </c>
      <c r="F55" s="341">
        <v>18600</v>
      </c>
      <c r="G55" s="341">
        <v>43000</v>
      </c>
      <c r="H55" s="334"/>
      <c r="I55" s="348">
        <v>325000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227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228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229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230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226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231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217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218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219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220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221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222</v>
      </c>
      <c r="E79" s="94">
        <v>0.79166666666666663</v>
      </c>
      <c r="F79" s="93" t="s">
        <v>223</v>
      </c>
      <c r="G79" s="385" t="s">
        <v>224</v>
      </c>
      <c r="H79" s="386"/>
      <c r="I79" s="95" t="s">
        <v>225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ht="17.25" customHeight="1" x14ac:dyDescent="0.3"/>
    <row r="82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</sheetData>
  <mergeCells count="66">
    <mergeCell ref="C62:I62"/>
    <mergeCell ref="C63:I63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I9:I10"/>
    <mergeCell ref="F12:G12"/>
    <mergeCell ref="A52:B56"/>
    <mergeCell ref="C53:C54"/>
    <mergeCell ref="D53:D54"/>
    <mergeCell ref="E53:E54"/>
    <mergeCell ref="F53:F54"/>
    <mergeCell ref="G53:G54"/>
    <mergeCell ref="H53:H54"/>
    <mergeCell ref="A12:A51"/>
    <mergeCell ref="A61:B64"/>
    <mergeCell ref="C61:I61"/>
    <mergeCell ref="C64:I64"/>
    <mergeCell ref="I53:I54"/>
    <mergeCell ref="C55:C56"/>
    <mergeCell ref="D55:D56"/>
    <mergeCell ref="E55:E56"/>
    <mergeCell ref="F55:F56"/>
    <mergeCell ref="G55:G56"/>
    <mergeCell ref="H55:H56"/>
    <mergeCell ref="I55:I56"/>
    <mergeCell ref="A57:B60"/>
    <mergeCell ref="C57:I57"/>
    <mergeCell ref="C58:I58"/>
    <mergeCell ref="C59:I59"/>
    <mergeCell ref="C60:I60"/>
    <mergeCell ref="A65:A69"/>
    <mergeCell ref="B65:B66"/>
    <mergeCell ref="C65:I65"/>
    <mergeCell ref="C66:I66"/>
    <mergeCell ref="B67:B69"/>
    <mergeCell ref="C67:I67"/>
    <mergeCell ref="C68:I68"/>
    <mergeCell ref="C69:I69"/>
    <mergeCell ref="A70:B72"/>
    <mergeCell ref="C70:I70"/>
    <mergeCell ref="C71:I71"/>
    <mergeCell ref="C72:I72"/>
    <mergeCell ref="A73:B74"/>
    <mergeCell ref="C73:I73"/>
    <mergeCell ref="C74:I74"/>
    <mergeCell ref="H80:I80"/>
    <mergeCell ref="A75:B75"/>
    <mergeCell ref="A78:B79"/>
    <mergeCell ref="C78:D78"/>
    <mergeCell ref="E78:F78"/>
    <mergeCell ref="G78:H78"/>
    <mergeCell ref="G79:H79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C62" sqref="C62:I62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232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233</v>
      </c>
      <c r="D3" s="5" t="s">
        <v>4</v>
      </c>
      <c r="E3" s="302"/>
      <c r="F3" s="309" t="s">
        <v>234</v>
      </c>
      <c r="G3" s="310"/>
      <c r="H3" s="311">
        <f>G11+'3일'!H3:I3</f>
        <v>8490000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235</v>
      </c>
      <c r="F6" s="15" t="s">
        <v>236</v>
      </c>
      <c r="G6" s="16" t="s">
        <v>237</v>
      </c>
      <c r="H6" s="17">
        <v>0.34</v>
      </c>
      <c r="I6" s="18">
        <v>0.31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2272000</v>
      </c>
      <c r="D11" s="102">
        <v>172</v>
      </c>
      <c r="E11" s="109">
        <f>SUM(E55:I56)</f>
        <v>239100</v>
      </c>
      <c r="F11" s="109">
        <f>SUM(E53:I54)</f>
        <v>14</v>
      </c>
      <c r="G11" s="110">
        <f>C11+E11</f>
        <v>2511100</v>
      </c>
      <c r="H11" s="110">
        <f>D11+F11</f>
        <v>186</v>
      </c>
      <c r="I11" s="111">
        <f>G11/H11</f>
        <v>13500.537634408602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18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18</v>
      </c>
      <c r="D17" s="29"/>
      <c r="E17" s="30"/>
      <c r="F17" s="34"/>
      <c r="G17" s="118"/>
      <c r="H17" s="29"/>
      <c r="I17" s="37">
        <f>C17-D17-D18*1/2-E17-E18*1/2+F17-H17-H18*1/2-I18*1/2</f>
        <v>17.5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8</v>
      </c>
      <c r="D19" s="29">
        <v>1</v>
      </c>
      <c r="E19" s="30"/>
      <c r="F19" s="34"/>
      <c r="G19" s="25"/>
      <c r="H19" s="29"/>
      <c r="I19" s="35">
        <f>C19-D19-D20*1/2-E19-E20*1/2+F19-H19-H20*1/2-I20*1/2</f>
        <v>6.5</v>
      </c>
    </row>
    <row r="20" spans="1:9" ht="17.25" customHeight="1" x14ac:dyDescent="0.3">
      <c r="A20" s="320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84</v>
      </c>
      <c r="D21" s="41"/>
      <c r="E21" s="42"/>
      <c r="F21" s="43"/>
      <c r="G21" s="44"/>
      <c r="H21" s="43"/>
      <c r="I21" s="45">
        <f t="shared" ref="I21:I48" si="0">C21-D21-E21+F21-H21</f>
        <v>84</v>
      </c>
    </row>
    <row r="22" spans="1:9" ht="17.25" customHeight="1" x14ac:dyDescent="0.3">
      <c r="A22" s="320"/>
      <c r="B22" s="21" t="s">
        <v>32</v>
      </c>
      <c r="C22" s="46">
        <v>54</v>
      </c>
      <c r="D22" s="23"/>
      <c r="E22" s="47">
        <v>4</v>
      </c>
      <c r="F22" s="48"/>
      <c r="G22" s="25"/>
      <c r="H22" s="48"/>
      <c r="I22" s="49">
        <f t="shared" si="0"/>
        <v>50</v>
      </c>
    </row>
    <row r="23" spans="1:9" ht="17.25" customHeight="1" x14ac:dyDescent="0.3">
      <c r="A23" s="320"/>
      <c r="B23" s="27" t="s">
        <v>33</v>
      </c>
      <c r="C23" s="33">
        <v>130</v>
      </c>
      <c r="D23" s="29"/>
      <c r="E23" s="50">
        <v>2</v>
      </c>
      <c r="F23" s="51"/>
      <c r="G23" s="25"/>
      <c r="H23" s="51"/>
      <c r="I23" s="52">
        <f>C23-D23-D24-E23-E24+F23+F24-H23-H24-I24</f>
        <v>128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25</v>
      </c>
      <c r="D25" s="23"/>
      <c r="E25" s="47"/>
      <c r="F25" s="48"/>
      <c r="G25" s="112"/>
      <c r="H25" s="48"/>
      <c r="I25" s="49">
        <f t="shared" si="0"/>
        <v>25</v>
      </c>
    </row>
    <row r="26" spans="1:9" ht="17.25" customHeight="1" x14ac:dyDescent="0.3">
      <c r="A26" s="320"/>
      <c r="B26" s="160" t="s">
        <v>36</v>
      </c>
      <c r="C26" s="55">
        <v>21</v>
      </c>
      <c r="D26" s="41"/>
      <c r="E26" s="42">
        <v>1</v>
      </c>
      <c r="F26" s="43"/>
      <c r="G26" s="113"/>
      <c r="H26" s="43"/>
      <c r="I26" s="45">
        <f t="shared" si="0"/>
        <v>20</v>
      </c>
    </row>
    <row r="27" spans="1:9" ht="17.25" customHeight="1" x14ac:dyDescent="0.3">
      <c r="A27" s="320"/>
      <c r="B27" s="21" t="s">
        <v>37</v>
      </c>
      <c r="C27" s="46">
        <v>25</v>
      </c>
      <c r="D27" s="23"/>
      <c r="E27" s="47">
        <v>1</v>
      </c>
      <c r="F27" s="48"/>
      <c r="G27" s="112"/>
      <c r="H27" s="48"/>
      <c r="I27" s="49">
        <f t="shared" si="0"/>
        <v>24</v>
      </c>
    </row>
    <row r="28" spans="1:9" ht="17.25" customHeight="1" x14ac:dyDescent="0.3">
      <c r="A28" s="320"/>
      <c r="B28" s="160" t="s">
        <v>38</v>
      </c>
      <c r="C28" s="55">
        <v>36</v>
      </c>
      <c r="D28" s="41"/>
      <c r="E28" s="42">
        <v>2</v>
      </c>
      <c r="F28" s="43"/>
      <c r="G28" s="113"/>
      <c r="H28" s="43">
        <v>2</v>
      </c>
      <c r="I28" s="45">
        <f t="shared" si="0"/>
        <v>32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78</v>
      </c>
      <c r="D30" s="29"/>
      <c r="E30" s="50"/>
      <c r="F30" s="51"/>
      <c r="G30" s="25"/>
      <c r="H30" s="51"/>
      <c r="I30" s="52">
        <f>C30-D30-D31-E30-E31+F30+F31-H30-H31-I31</f>
        <v>78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11</v>
      </c>
      <c r="D46" s="23"/>
      <c r="E46" s="47"/>
      <c r="F46" s="48"/>
      <c r="G46" s="116"/>
      <c r="H46" s="48"/>
      <c r="I46" s="49">
        <f t="shared" si="0"/>
        <v>11</v>
      </c>
    </row>
    <row r="47" spans="1:9" ht="17.25" customHeight="1" x14ac:dyDescent="0.3">
      <c r="A47" s="320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20"/>
      <c r="B48" s="56" t="s">
        <v>191</v>
      </c>
      <c r="C48" s="117">
        <v>5</v>
      </c>
      <c r="D48" s="29"/>
      <c r="E48" s="50"/>
      <c r="F48" s="51"/>
      <c r="G48" s="25"/>
      <c r="H48" s="51"/>
      <c r="I48" s="52">
        <f t="shared" si="0"/>
        <v>5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562</v>
      </c>
      <c r="D51" s="66">
        <f>SUM(D13:D46)</f>
        <v>2</v>
      </c>
      <c r="E51" s="67">
        <f>SUM(E13:E46)</f>
        <v>12</v>
      </c>
      <c r="F51" s="67">
        <f>SUM(F13:F46)</f>
        <v>0</v>
      </c>
      <c r="G51" s="68" t="s">
        <v>22</v>
      </c>
      <c r="H51" s="69">
        <f>SUM(H13:H46)</f>
        <v>2</v>
      </c>
      <c r="I51" s="70">
        <f>SUM(I13:I46)</f>
        <v>536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6</v>
      </c>
      <c r="F53" s="334">
        <v>1</v>
      </c>
      <c r="G53" s="334">
        <v>6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118500</v>
      </c>
      <c r="F55" s="341">
        <v>22800</v>
      </c>
      <c r="G55" s="341">
        <v>59600</v>
      </c>
      <c r="H55" s="334"/>
      <c r="I55" s="348">
        <v>38200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251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5" t="s">
        <v>252</v>
      </c>
      <c r="D58" s="353"/>
      <c r="E58" s="353"/>
      <c r="F58" s="353"/>
      <c r="G58" s="353"/>
      <c r="H58" s="353"/>
      <c r="I58" s="354"/>
    </row>
    <row r="59" spans="1:10" s="76" customFormat="1" ht="17.25" customHeight="1" thickBot="1" x14ac:dyDescent="0.35">
      <c r="A59" s="326"/>
      <c r="B59" s="327"/>
      <c r="C59" s="343" t="s">
        <v>253</v>
      </c>
      <c r="D59" s="343"/>
      <c r="E59" s="343"/>
      <c r="F59" s="343"/>
      <c r="G59" s="343"/>
      <c r="H59" s="343"/>
      <c r="I59" s="344"/>
    </row>
    <row r="60" spans="1:10" s="76" customFormat="1" ht="17.25" customHeight="1" thickBot="1" x14ac:dyDescent="0.35">
      <c r="A60" s="328"/>
      <c r="B60" s="329"/>
      <c r="C60" s="343" t="s">
        <v>254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238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248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249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 t="s">
        <v>250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239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240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241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242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243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244</v>
      </c>
      <c r="E79" s="94">
        <v>0.8125</v>
      </c>
      <c r="F79" s="93" t="s">
        <v>245</v>
      </c>
      <c r="G79" s="385" t="s">
        <v>246</v>
      </c>
      <c r="H79" s="386"/>
      <c r="I79" s="95" t="s">
        <v>247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H15" sqref="H1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255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256</v>
      </c>
      <c r="D3" s="5" t="s">
        <v>4</v>
      </c>
      <c r="E3" s="302"/>
      <c r="F3" s="309" t="s">
        <v>257</v>
      </c>
      <c r="G3" s="310"/>
      <c r="H3" s="311">
        <f>G11+'4일'!H3:I3</f>
        <v>9817700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258</v>
      </c>
      <c r="F6" s="15" t="s">
        <v>260</v>
      </c>
      <c r="G6" s="16" t="s">
        <v>259</v>
      </c>
      <c r="H6" s="17">
        <v>0.35</v>
      </c>
      <c r="I6" s="18">
        <v>0.3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2">
        <v>1144000</v>
      </c>
      <c r="D11" s="102">
        <v>92</v>
      </c>
      <c r="E11" s="109">
        <f>SUM(E55:I56)</f>
        <v>183700</v>
      </c>
      <c r="F11" s="109">
        <f>SUM(E53:I54)</f>
        <v>11</v>
      </c>
      <c r="G11" s="110">
        <f>C11+E11</f>
        <v>1327700</v>
      </c>
      <c r="H11" s="110">
        <f>D11+F11</f>
        <v>103</v>
      </c>
      <c r="I11" s="111">
        <f>G11/H11</f>
        <v>12890.291262135923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17</v>
      </c>
      <c r="D13" s="23"/>
      <c r="E13" s="22"/>
      <c r="F13" s="24"/>
      <c r="G13" s="25"/>
      <c r="H13" s="23">
        <v>5</v>
      </c>
      <c r="I13" s="26">
        <f>C13-D13-D14*1/2-E13-E14*1/2+F13-H13-H14*1/2-I14*1/2</f>
        <v>11.5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14</v>
      </c>
      <c r="D15" s="29"/>
      <c r="E15" s="30"/>
      <c r="F15" s="34"/>
      <c r="G15" s="25"/>
      <c r="H15" s="29"/>
      <c r="I15" s="35">
        <f>C15-D15-D16*1/2-E15-E16*1/2+F15-H15-H16*1/2-I16*1/2</f>
        <v>13.5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18</v>
      </c>
      <c r="D17" s="29"/>
      <c r="E17" s="30"/>
      <c r="F17" s="34"/>
      <c r="G17" s="118"/>
      <c r="H17" s="29">
        <v>1</v>
      </c>
      <c r="I17" s="37">
        <f>C17-D17-D18*1/2-E17-E18*1/2+F17-H17-H18*1/2-I18*1/2</f>
        <v>16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>
        <v>1</v>
      </c>
      <c r="I18" s="36"/>
    </row>
    <row r="19" spans="1:9" ht="17.25" customHeight="1" x14ac:dyDescent="0.3">
      <c r="A19" s="320"/>
      <c r="B19" s="27" t="s">
        <v>29</v>
      </c>
      <c r="C19" s="33">
        <v>8</v>
      </c>
      <c r="D19" s="29"/>
      <c r="E19" s="30"/>
      <c r="F19" s="34"/>
      <c r="G19" s="25"/>
      <c r="H19" s="29">
        <v>1</v>
      </c>
      <c r="I19" s="35">
        <f>C19-D19-D20*1/2-E19-E20*1/2+F19-H19-H20*1/2-I20*1/2</f>
        <v>7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55</v>
      </c>
      <c r="D21" s="41"/>
      <c r="E21" s="42">
        <v>1</v>
      </c>
      <c r="F21" s="43"/>
      <c r="G21" s="44"/>
      <c r="H21" s="43">
        <v>4</v>
      </c>
      <c r="I21" s="45">
        <f t="shared" ref="I21:I48" si="0">C21-D21-E21+F21-H21</f>
        <v>50</v>
      </c>
    </row>
    <row r="22" spans="1:9" ht="17.25" customHeight="1" x14ac:dyDescent="0.3">
      <c r="A22" s="320"/>
      <c r="B22" s="21" t="s">
        <v>32</v>
      </c>
      <c r="C22" s="46">
        <v>30</v>
      </c>
      <c r="D22" s="23"/>
      <c r="E22" s="47">
        <v>1</v>
      </c>
      <c r="F22" s="48"/>
      <c r="G22" s="25"/>
      <c r="H22" s="48">
        <v>17</v>
      </c>
      <c r="I22" s="49">
        <f t="shared" si="0"/>
        <v>12</v>
      </c>
    </row>
    <row r="23" spans="1:9" ht="17.25" customHeight="1" x14ac:dyDescent="0.3">
      <c r="A23" s="320"/>
      <c r="B23" s="27" t="s">
        <v>33</v>
      </c>
      <c r="C23" s="33">
        <v>81</v>
      </c>
      <c r="D23" s="29"/>
      <c r="E23" s="50">
        <v>2</v>
      </c>
      <c r="F23" s="51"/>
      <c r="G23" s="25"/>
      <c r="H23" s="51">
        <v>6</v>
      </c>
      <c r="I23" s="52">
        <f>C23-D23-D24-E23-E24+F23+F24-H23-H24-I24</f>
        <v>71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>
        <v>2</v>
      </c>
      <c r="I24" s="54"/>
    </row>
    <row r="25" spans="1:9" ht="17.25" customHeight="1" x14ac:dyDescent="0.3">
      <c r="A25" s="320"/>
      <c r="B25" s="21" t="s">
        <v>35</v>
      </c>
      <c r="C25" s="46">
        <v>23</v>
      </c>
      <c r="D25" s="23"/>
      <c r="E25" s="47">
        <v>1</v>
      </c>
      <c r="F25" s="48"/>
      <c r="G25" s="112"/>
      <c r="H25" s="48">
        <v>6</v>
      </c>
      <c r="I25" s="49">
        <f t="shared" si="0"/>
        <v>16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0"/>
      <c r="B27" s="21" t="s">
        <v>37</v>
      </c>
      <c r="C27" s="46">
        <v>20</v>
      </c>
      <c r="D27" s="23"/>
      <c r="E27" s="47"/>
      <c r="F27" s="48"/>
      <c r="G27" s="112"/>
      <c r="H27" s="48">
        <v>3</v>
      </c>
      <c r="I27" s="49">
        <f t="shared" si="0"/>
        <v>17</v>
      </c>
    </row>
    <row r="28" spans="1:9" ht="17.25" customHeight="1" x14ac:dyDescent="0.3">
      <c r="A28" s="320"/>
      <c r="B28" s="160" t="s">
        <v>38</v>
      </c>
      <c r="C28" s="55">
        <v>28</v>
      </c>
      <c r="D28" s="41"/>
      <c r="E28" s="42"/>
      <c r="F28" s="43"/>
      <c r="G28" s="113"/>
      <c r="H28" s="43">
        <v>9</v>
      </c>
      <c r="I28" s="45">
        <f t="shared" si="0"/>
        <v>19</v>
      </c>
    </row>
    <row r="29" spans="1:9" ht="17.25" customHeight="1" x14ac:dyDescent="0.3">
      <c r="A29" s="320"/>
      <c r="B29" s="21" t="s">
        <v>39</v>
      </c>
      <c r="C29" s="46">
        <v>5</v>
      </c>
      <c r="D29" s="23">
        <v>2</v>
      </c>
      <c r="E29" s="47"/>
      <c r="F29" s="48"/>
      <c r="G29" s="25"/>
      <c r="H29" s="48"/>
      <c r="I29" s="49">
        <f t="shared" si="0"/>
        <v>3</v>
      </c>
    </row>
    <row r="30" spans="1:9" ht="17.25" customHeight="1" x14ac:dyDescent="0.3">
      <c r="A30" s="320"/>
      <c r="B30" s="56" t="s">
        <v>40</v>
      </c>
      <c r="C30" s="57">
        <v>84</v>
      </c>
      <c r="D30" s="29"/>
      <c r="E30" s="50">
        <v>2</v>
      </c>
      <c r="F30" s="51"/>
      <c r="G30" s="25"/>
      <c r="H30" s="51">
        <v>30</v>
      </c>
      <c r="I30" s="52">
        <f>C30-D30-D31-E30-E31+F30+F31-H30-H31-I31</f>
        <v>52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8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4</v>
      </c>
      <c r="I36" s="52">
        <f>C36-D36-E36+F36-H36</f>
        <v>16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8</v>
      </c>
      <c r="D46" s="23"/>
      <c r="E46" s="47"/>
      <c r="F46" s="48"/>
      <c r="G46" s="116"/>
      <c r="H46" s="48">
        <v>3</v>
      </c>
      <c r="I46" s="49">
        <f t="shared" si="0"/>
        <v>5</v>
      </c>
    </row>
    <row r="47" spans="1:9" ht="17.25" customHeight="1" x14ac:dyDescent="0.3">
      <c r="A47" s="320"/>
      <c r="B47" s="120" t="s">
        <v>88</v>
      </c>
      <c r="C47" s="121">
        <v>6</v>
      </c>
      <c r="D47" s="122"/>
      <c r="E47" s="123"/>
      <c r="F47" s="124"/>
      <c r="G47" s="112"/>
      <c r="H47" s="124">
        <v>3</v>
      </c>
      <c r="I47" s="52">
        <f t="shared" si="0"/>
        <v>3</v>
      </c>
    </row>
    <row r="48" spans="1:9" ht="17.25" customHeight="1" x14ac:dyDescent="0.3">
      <c r="A48" s="320"/>
      <c r="B48" s="56" t="s">
        <v>261</v>
      </c>
      <c r="C48" s="117">
        <v>4</v>
      </c>
      <c r="D48" s="29"/>
      <c r="E48" s="50"/>
      <c r="F48" s="51"/>
      <c r="G48" s="25"/>
      <c r="H48" s="51"/>
      <c r="I48" s="52">
        <f t="shared" si="0"/>
        <v>4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441</v>
      </c>
      <c r="D51" s="66">
        <f>SUM(D13:D46)</f>
        <v>2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92</v>
      </c>
      <c r="I51" s="70">
        <f>SUM(I13:I46)</f>
        <v>338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3</v>
      </c>
      <c r="F53" s="334">
        <v>2</v>
      </c>
      <c r="G53" s="334">
        <v>6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58400</v>
      </c>
      <c r="F55" s="341">
        <v>51500</v>
      </c>
      <c r="G55" s="341">
        <v>73800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269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271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272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273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262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270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276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 t="s">
        <v>274</v>
      </c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275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263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264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265</v>
      </c>
      <c r="E79" s="94">
        <v>0.79166666666666663</v>
      </c>
      <c r="F79" s="93" t="s">
        <v>266</v>
      </c>
      <c r="G79" s="385" t="s">
        <v>267</v>
      </c>
      <c r="H79" s="386"/>
      <c r="I79" s="95" t="s">
        <v>268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A4" sqref="A4:H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278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279</v>
      </c>
      <c r="D3" s="5" t="s">
        <v>4</v>
      </c>
      <c r="E3" s="302"/>
      <c r="F3" s="309" t="s">
        <v>280</v>
      </c>
      <c r="G3" s="310"/>
      <c r="H3" s="311">
        <f>G11+'5일'!H3:I3</f>
        <v>12404300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281</v>
      </c>
      <c r="F6" s="15" t="s">
        <v>282</v>
      </c>
      <c r="G6" s="16" t="s">
        <v>277</v>
      </c>
      <c r="H6" s="17">
        <v>0.41</v>
      </c>
      <c r="I6" s="18">
        <v>0.32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2303200</v>
      </c>
      <c r="D11" s="102">
        <v>173</v>
      </c>
      <c r="E11" s="109">
        <f>SUM(E55:I56)</f>
        <v>283400</v>
      </c>
      <c r="F11" s="109">
        <f>SUM(E53:I54)</f>
        <v>11</v>
      </c>
      <c r="G11" s="110">
        <f>C11+E11</f>
        <v>2586600</v>
      </c>
      <c r="H11" s="110">
        <f>D11+F11</f>
        <v>184</v>
      </c>
      <c r="I11" s="111">
        <f>G11/H11</f>
        <v>14057.608695652174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18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18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18</v>
      </c>
      <c r="D17" s="29"/>
      <c r="E17" s="30">
        <v>1</v>
      </c>
      <c r="F17" s="34"/>
      <c r="G17" s="118"/>
      <c r="H17" s="29"/>
      <c r="I17" s="37">
        <f>C17-D17-D18*1/2-E17-E18*1/2+F17-H17-H18*1/2-I18*1/2</f>
        <v>17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10</v>
      </c>
      <c r="D19" s="29"/>
      <c r="E19" s="30"/>
      <c r="F19" s="34"/>
      <c r="G19" s="25"/>
      <c r="H19" s="29"/>
      <c r="I19" s="35">
        <f>C19-D19-D20*1/2-E19-E20*1/2+F19-H19-H20*1/2-I20*1/2</f>
        <v>9.5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20"/>
      <c r="B21" s="39" t="s">
        <v>31</v>
      </c>
      <c r="C21" s="40">
        <v>61</v>
      </c>
      <c r="D21" s="41"/>
      <c r="E21" s="42"/>
      <c r="F21" s="43"/>
      <c r="G21" s="44"/>
      <c r="H21" s="43"/>
      <c r="I21" s="45">
        <f t="shared" ref="I21:I48" si="0">C21-D21-E21+F21-H21</f>
        <v>61</v>
      </c>
    </row>
    <row r="22" spans="1:9" ht="17.25" customHeight="1" x14ac:dyDescent="0.3">
      <c r="A22" s="320"/>
      <c r="B22" s="21" t="s">
        <v>32</v>
      </c>
      <c r="C22" s="46">
        <v>30</v>
      </c>
      <c r="D22" s="23"/>
      <c r="E22" s="47">
        <v>2</v>
      </c>
      <c r="F22" s="48"/>
      <c r="G22" s="25"/>
      <c r="H22" s="48"/>
      <c r="I22" s="49">
        <f t="shared" si="0"/>
        <v>28</v>
      </c>
    </row>
    <row r="23" spans="1:9" ht="17.25" customHeight="1" x14ac:dyDescent="0.3">
      <c r="A23" s="320"/>
      <c r="B23" s="27" t="s">
        <v>33</v>
      </c>
      <c r="C23" s="33">
        <v>141</v>
      </c>
      <c r="D23" s="29"/>
      <c r="E23" s="50">
        <v>3</v>
      </c>
      <c r="F23" s="51"/>
      <c r="G23" s="25"/>
      <c r="H23" s="51"/>
      <c r="I23" s="52">
        <f>C23-D23-D24-E23-E24+F23+F24-H23-H24-I24</f>
        <v>137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1</v>
      </c>
      <c r="I25" s="49">
        <f t="shared" si="0"/>
        <v>23</v>
      </c>
    </row>
    <row r="26" spans="1:9" ht="17.25" customHeight="1" x14ac:dyDescent="0.3">
      <c r="A26" s="320"/>
      <c r="B26" s="160" t="s">
        <v>36</v>
      </c>
      <c r="C26" s="55">
        <v>19</v>
      </c>
      <c r="D26" s="41"/>
      <c r="E26" s="42"/>
      <c r="F26" s="43"/>
      <c r="G26" s="113"/>
      <c r="H26" s="43"/>
      <c r="I26" s="45">
        <f t="shared" si="0"/>
        <v>19</v>
      </c>
    </row>
    <row r="27" spans="1:9" ht="17.25" customHeight="1" x14ac:dyDescent="0.3">
      <c r="A27" s="320"/>
      <c r="B27" s="21" t="s">
        <v>37</v>
      </c>
      <c r="C27" s="46">
        <v>27</v>
      </c>
      <c r="D27" s="23">
        <v>1</v>
      </c>
      <c r="E27" s="47"/>
      <c r="F27" s="48"/>
      <c r="G27" s="112"/>
      <c r="H27" s="48"/>
      <c r="I27" s="49">
        <f t="shared" si="0"/>
        <v>26</v>
      </c>
    </row>
    <row r="28" spans="1:9" ht="17.25" customHeight="1" x14ac:dyDescent="0.3">
      <c r="A28" s="320"/>
      <c r="B28" s="160" t="s">
        <v>38</v>
      </c>
      <c r="C28" s="55">
        <v>38</v>
      </c>
      <c r="D28" s="41">
        <v>1</v>
      </c>
      <c r="E28" s="42"/>
      <c r="F28" s="43"/>
      <c r="G28" s="113"/>
      <c r="H28" s="43">
        <v>2</v>
      </c>
      <c r="I28" s="45">
        <f t="shared" si="0"/>
        <v>35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78</v>
      </c>
      <c r="D30" s="29">
        <v>3</v>
      </c>
      <c r="E30" s="50"/>
      <c r="F30" s="51"/>
      <c r="G30" s="25"/>
      <c r="H30" s="51">
        <v>24</v>
      </c>
      <c r="I30" s="52">
        <f>C30-D30-D31-E30-E31+F30+F31-H30-H31-I31</f>
        <v>51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3</v>
      </c>
      <c r="F35" s="48"/>
      <c r="G35" s="116"/>
      <c r="H35" s="48"/>
      <c r="I35" s="282">
        <v>34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12</v>
      </c>
      <c r="D46" s="23"/>
      <c r="E46" s="47"/>
      <c r="F46" s="48"/>
      <c r="G46" s="116"/>
      <c r="H46" s="48"/>
      <c r="I46" s="49">
        <f t="shared" si="0"/>
        <v>12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191</v>
      </c>
      <c r="C48" s="117">
        <v>6</v>
      </c>
      <c r="D48" s="29"/>
      <c r="E48" s="50"/>
      <c r="F48" s="51"/>
      <c r="G48" s="25"/>
      <c r="H48" s="51"/>
      <c r="I48" s="52">
        <f t="shared" si="0"/>
        <v>6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533</v>
      </c>
      <c r="D51" s="66">
        <f>SUM(D13:D46)</f>
        <v>5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28</v>
      </c>
      <c r="I51" s="70">
        <f>SUM(I13:I46)</f>
        <v>517.5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>
        <v>1</v>
      </c>
      <c r="G53" s="334">
        <v>7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46900</v>
      </c>
      <c r="F55" s="341">
        <v>18400</v>
      </c>
      <c r="G55" s="341">
        <v>74100</v>
      </c>
      <c r="H55" s="334"/>
      <c r="I55" s="348">
        <v>144000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298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294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295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296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283</v>
      </c>
      <c r="D61" s="346"/>
      <c r="E61" s="346"/>
      <c r="F61" s="346"/>
      <c r="G61" s="346"/>
      <c r="H61" s="346"/>
      <c r="I61" s="347"/>
    </row>
    <row r="62" spans="1:10" s="76" customFormat="1" ht="33.75" customHeight="1" x14ac:dyDescent="0.3">
      <c r="A62" s="326"/>
      <c r="B62" s="327"/>
      <c r="C62" s="359" t="s">
        <v>292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 t="s">
        <v>293</v>
      </c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 t="s">
        <v>297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290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284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285</v>
      </c>
      <c r="D77" s="88"/>
      <c r="E77" s="88"/>
      <c r="F77" s="88" t="s">
        <v>291</v>
      </c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286</v>
      </c>
      <c r="E79" s="94">
        <v>0.8125</v>
      </c>
      <c r="F79" s="93" t="s">
        <v>287</v>
      </c>
      <c r="G79" s="385" t="s">
        <v>288</v>
      </c>
      <c r="H79" s="386"/>
      <c r="I79" s="95" t="s">
        <v>289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3" zoomScale="90" zoomScaleNormal="90" workbookViewId="0">
      <selection activeCell="D55" sqref="D55:D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299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300</v>
      </c>
      <c r="D3" s="5" t="s">
        <v>4</v>
      </c>
      <c r="E3" s="302"/>
      <c r="F3" s="309" t="s">
        <v>301</v>
      </c>
      <c r="G3" s="310"/>
      <c r="H3" s="311">
        <f>G11+'6일'!H3:I3</f>
        <v>14588100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303</v>
      </c>
      <c r="F6" s="15" t="s">
        <v>302</v>
      </c>
      <c r="G6" s="16" t="s">
        <v>304</v>
      </c>
      <c r="H6" s="17">
        <v>0.76</v>
      </c>
      <c r="I6" s="18">
        <v>0.35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1812600</v>
      </c>
      <c r="D11" s="102">
        <v>145</v>
      </c>
      <c r="E11" s="109">
        <f>SUM(E55:I56)</f>
        <v>371200</v>
      </c>
      <c r="F11" s="109">
        <f>SUM(E53:I54)</f>
        <v>10</v>
      </c>
      <c r="G11" s="110">
        <f>C11+E11</f>
        <v>2183800</v>
      </c>
      <c r="H11" s="110">
        <f>D11+F11</f>
        <v>155</v>
      </c>
      <c r="I11" s="111">
        <f>G11/H11</f>
        <v>14089.032258064517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15</v>
      </c>
      <c r="D13" s="23"/>
      <c r="E13" s="22"/>
      <c r="F13" s="24"/>
      <c r="G13" s="25"/>
      <c r="H13" s="23">
        <v>1</v>
      </c>
      <c r="I13" s="26">
        <f>C13-D13-D14*1/2-E13-E14*1/2+F13-H13-H14*1/2-I14*1/2</f>
        <v>13.5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16</v>
      </c>
      <c r="D15" s="29"/>
      <c r="E15" s="30"/>
      <c r="F15" s="34"/>
      <c r="G15" s="25"/>
      <c r="H15" s="29">
        <v>1</v>
      </c>
      <c r="I15" s="35">
        <f>C15-D15-D16*1/2-E15-E16*1/2+F15-H15-H16*1/2-I16*1/2</f>
        <v>15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26</v>
      </c>
      <c r="D17" s="29"/>
      <c r="E17" s="30"/>
      <c r="F17" s="34"/>
      <c r="G17" s="118"/>
      <c r="H17" s="29"/>
      <c r="I17" s="37">
        <f>C17-D17-D18*1/2-E17-E18*1/2+F17-H17-H18*1/2-I18*1/2</f>
        <v>25.5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11</v>
      </c>
      <c r="D19" s="29"/>
      <c r="E19" s="30"/>
      <c r="F19" s="34"/>
      <c r="G19" s="25"/>
      <c r="H19" s="29">
        <v>3</v>
      </c>
      <c r="I19" s="35">
        <f>C19-D19-D20*1/2-E19-E20*1/2+F19-H19-H20*1/2-I20*1/2</f>
        <v>7.5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20"/>
      <c r="B21" s="39" t="s">
        <v>31</v>
      </c>
      <c r="C21" s="40">
        <v>60</v>
      </c>
      <c r="D21" s="41">
        <v>2</v>
      </c>
      <c r="E21" s="42"/>
      <c r="F21" s="43"/>
      <c r="G21" s="44"/>
      <c r="H21" s="43"/>
      <c r="I21" s="45">
        <f t="shared" ref="I21:I48" si="0">C21-D21-E21+F21-H21</f>
        <v>58</v>
      </c>
    </row>
    <row r="22" spans="1:9" ht="17.25" customHeight="1" x14ac:dyDescent="0.3">
      <c r="A22" s="320"/>
      <c r="B22" s="21" t="s">
        <v>32</v>
      </c>
      <c r="C22" s="46">
        <v>43</v>
      </c>
      <c r="D22" s="23"/>
      <c r="E22" s="47">
        <v>4</v>
      </c>
      <c r="F22" s="48"/>
      <c r="G22" s="25"/>
      <c r="H22" s="48">
        <v>18</v>
      </c>
      <c r="I22" s="49">
        <f t="shared" si="0"/>
        <v>21</v>
      </c>
    </row>
    <row r="23" spans="1:9" ht="17.25" customHeight="1" x14ac:dyDescent="0.3">
      <c r="A23" s="320"/>
      <c r="B23" s="27" t="s">
        <v>33</v>
      </c>
      <c r="C23" s="33">
        <v>157</v>
      </c>
      <c r="D23" s="29">
        <v>1</v>
      </c>
      <c r="E23" s="50">
        <v>2</v>
      </c>
      <c r="F23" s="51"/>
      <c r="G23" s="25"/>
      <c r="H23" s="51">
        <v>12</v>
      </c>
      <c r="I23" s="52">
        <f>C23-D23-D24-E23-E24+F23+F24-H23-H24-I24</f>
        <v>127</v>
      </c>
    </row>
    <row r="24" spans="1:9" ht="17.25" customHeight="1" x14ac:dyDescent="0.3">
      <c r="A24" s="320"/>
      <c r="B24" s="160" t="s">
        <v>34</v>
      </c>
      <c r="C24" s="53"/>
      <c r="D24" s="41">
        <v>1</v>
      </c>
      <c r="E24" s="42">
        <v>1</v>
      </c>
      <c r="F24" s="43"/>
      <c r="G24" s="113"/>
      <c r="H24" s="43">
        <v>13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11</v>
      </c>
      <c r="I25" s="49">
        <f t="shared" si="0"/>
        <v>13</v>
      </c>
    </row>
    <row r="26" spans="1:9" ht="17.25" customHeight="1" x14ac:dyDescent="0.3">
      <c r="A26" s="320"/>
      <c r="B26" s="160" t="s">
        <v>36</v>
      </c>
      <c r="C26" s="55">
        <v>18</v>
      </c>
      <c r="D26" s="41">
        <v>2</v>
      </c>
      <c r="E26" s="42">
        <v>1</v>
      </c>
      <c r="F26" s="43"/>
      <c r="G26" s="113"/>
      <c r="H26" s="43"/>
      <c r="I26" s="45">
        <f t="shared" si="0"/>
        <v>15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/>
      <c r="F27" s="48"/>
      <c r="G27" s="112"/>
      <c r="H27" s="48">
        <v>5</v>
      </c>
      <c r="I27" s="49">
        <f t="shared" si="0"/>
        <v>22</v>
      </c>
    </row>
    <row r="28" spans="1:9" ht="17.25" customHeight="1" x14ac:dyDescent="0.3">
      <c r="A28" s="320"/>
      <c r="B28" s="160" t="s">
        <v>38</v>
      </c>
      <c r="C28" s="55">
        <v>38</v>
      </c>
      <c r="D28" s="41"/>
      <c r="E28" s="42"/>
      <c r="F28" s="43"/>
      <c r="G28" s="113"/>
      <c r="H28" s="43">
        <v>16</v>
      </c>
      <c r="I28" s="45">
        <f t="shared" si="0"/>
        <v>22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78</v>
      </c>
      <c r="D30" s="29">
        <v>2</v>
      </c>
      <c r="E30" s="50"/>
      <c r="F30" s="51"/>
      <c r="G30" s="25"/>
      <c r="H30" s="51">
        <v>15</v>
      </c>
      <c r="I30" s="52">
        <f>C30-D30-D31-E30-E31+F30+F31-H30-H31-I31</f>
        <v>61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7</v>
      </c>
      <c r="F35" s="48"/>
      <c r="G35" s="116"/>
      <c r="H35" s="48"/>
      <c r="I35" s="282">
        <v>29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1</v>
      </c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0"/>
      <c r="B47" s="120" t="s">
        <v>88</v>
      </c>
      <c r="C47" s="121">
        <v>22</v>
      </c>
      <c r="D47" s="122"/>
      <c r="E47" s="123"/>
      <c r="F47" s="124"/>
      <c r="G47" s="112"/>
      <c r="H47" s="124">
        <v>2</v>
      </c>
      <c r="I47" s="52">
        <f t="shared" si="0"/>
        <v>20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>
        <v>3</v>
      </c>
      <c r="I48" s="52">
        <f t="shared" si="0"/>
        <v>7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580</v>
      </c>
      <c r="D51" s="66">
        <f>SUM(D13:D46)</f>
        <v>8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97</v>
      </c>
      <c r="I51" s="70">
        <f>SUM(I13:I46)</f>
        <v>465.5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>
        <v>1</v>
      </c>
      <c r="E53" s="334">
        <v>1</v>
      </c>
      <c r="F53" s="334">
        <v>2</v>
      </c>
      <c r="G53" s="334">
        <v>5</v>
      </c>
      <c r="H53" s="334"/>
      <c r="I53" s="337">
        <v>2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>
        <v>24900</v>
      </c>
      <c r="E55" s="341">
        <v>21500</v>
      </c>
      <c r="F55" s="341">
        <v>41500</v>
      </c>
      <c r="G55" s="341">
        <v>39200</v>
      </c>
      <c r="H55" s="334"/>
      <c r="I55" s="348">
        <v>269000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322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319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320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321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305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316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 t="s">
        <v>317</v>
      </c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 t="s">
        <v>318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306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307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308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309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310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311</v>
      </c>
      <c r="E79" s="94">
        <v>0.8125</v>
      </c>
      <c r="F79" s="93" t="s">
        <v>312</v>
      </c>
      <c r="G79" s="385" t="s">
        <v>313</v>
      </c>
      <c r="H79" s="386"/>
      <c r="I79" s="95" t="s">
        <v>314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3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323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324</v>
      </c>
      <c r="D3" s="5" t="s">
        <v>4</v>
      </c>
      <c r="E3" s="302"/>
      <c r="F3" s="309" t="s">
        <v>325</v>
      </c>
      <c r="G3" s="310"/>
      <c r="H3" s="311">
        <f>G11+'7일'!H3:I3</f>
        <v>17689900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326</v>
      </c>
      <c r="F6" s="15" t="s">
        <v>328</v>
      </c>
      <c r="G6" s="16" t="s">
        <v>327</v>
      </c>
      <c r="H6" s="17">
        <v>0.27</v>
      </c>
      <c r="I6" s="18">
        <v>0.28999999999999998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2759700</v>
      </c>
      <c r="D11" s="102">
        <v>184</v>
      </c>
      <c r="E11" s="109">
        <f>SUM(E55:I56)</f>
        <v>342100</v>
      </c>
      <c r="F11" s="109">
        <f>SUM(E53:I54)</f>
        <v>9</v>
      </c>
      <c r="G11" s="110">
        <f>C11+E11</f>
        <v>3101800</v>
      </c>
      <c r="H11" s="110">
        <f>D11+F11</f>
        <v>193</v>
      </c>
      <c r="I11" s="111">
        <f>G11/H11</f>
        <v>16071.502590673575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19</v>
      </c>
      <c r="D13" s="23"/>
      <c r="E13" s="22"/>
      <c r="F13" s="24"/>
      <c r="G13" s="25"/>
      <c r="H13" s="23"/>
      <c r="I13" s="26">
        <f>C13-D13-D14*1/2-E13-E14*1/2+F13-H13-H14*1/2-I14*1/2</f>
        <v>19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18</v>
      </c>
      <c r="D15" s="29"/>
      <c r="E15" s="30"/>
      <c r="F15" s="34"/>
      <c r="G15" s="25"/>
      <c r="H15" s="29"/>
      <c r="I15" s="35">
        <f>C15-D15-D16*1/2-E15-E16*1/2+F15-H15-H16*1/2-I16*1/2</f>
        <v>17.5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27</v>
      </c>
      <c r="D17" s="29"/>
      <c r="E17" s="30"/>
      <c r="F17" s="34"/>
      <c r="G17" s="118"/>
      <c r="H17" s="29"/>
      <c r="I17" s="37">
        <f>C17-D17-D18*1/2-E17-E18*1/2+F17-H17-H18*1/2-I18*1/2</f>
        <v>27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13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77</v>
      </c>
      <c r="D21" s="41"/>
      <c r="E21" s="42"/>
      <c r="F21" s="43"/>
      <c r="G21" s="44"/>
      <c r="H21" s="43"/>
      <c r="I21" s="45">
        <f t="shared" ref="I21:I48" si="0">C21-D21-E21+F21-H21</f>
        <v>77</v>
      </c>
    </row>
    <row r="22" spans="1:9" ht="17.25" customHeight="1" x14ac:dyDescent="0.3">
      <c r="A22" s="320"/>
      <c r="B22" s="21" t="s">
        <v>32</v>
      </c>
      <c r="C22" s="46">
        <v>45</v>
      </c>
      <c r="D22" s="23"/>
      <c r="E22" s="47">
        <v>2</v>
      </c>
      <c r="F22" s="48"/>
      <c r="G22" s="25"/>
      <c r="H22" s="48"/>
      <c r="I22" s="49">
        <f t="shared" si="0"/>
        <v>43</v>
      </c>
    </row>
    <row r="23" spans="1:9" ht="17.25" customHeight="1" x14ac:dyDescent="0.3">
      <c r="A23" s="320"/>
      <c r="B23" s="27" t="s">
        <v>33</v>
      </c>
      <c r="C23" s="33">
        <v>132</v>
      </c>
      <c r="D23" s="29"/>
      <c r="E23" s="50">
        <v>3</v>
      </c>
      <c r="F23" s="51"/>
      <c r="G23" s="25"/>
      <c r="H23" s="51"/>
      <c r="I23" s="52">
        <f>C23-D23-D24-E23-E24+F23+F24-H23-H24-I24</f>
        <v>129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20"/>
      <c r="B26" s="160" t="s">
        <v>36</v>
      </c>
      <c r="C26" s="55">
        <v>37</v>
      </c>
      <c r="D26" s="41">
        <v>1</v>
      </c>
      <c r="E26" s="42"/>
      <c r="F26" s="43"/>
      <c r="G26" s="113"/>
      <c r="H26" s="43"/>
      <c r="I26" s="45">
        <f t="shared" si="0"/>
        <v>36</v>
      </c>
    </row>
    <row r="27" spans="1:9" ht="17.25" customHeight="1" x14ac:dyDescent="0.3">
      <c r="A27" s="320"/>
      <c r="B27" s="21" t="s">
        <v>37</v>
      </c>
      <c r="C27" s="46">
        <v>28</v>
      </c>
      <c r="D27" s="23">
        <v>1</v>
      </c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20"/>
      <c r="B28" s="160" t="s">
        <v>38</v>
      </c>
      <c r="C28" s="55">
        <v>39</v>
      </c>
      <c r="D28" s="41">
        <v>1</v>
      </c>
      <c r="E28" s="42"/>
      <c r="F28" s="43"/>
      <c r="G28" s="113"/>
      <c r="H28" s="43"/>
      <c r="I28" s="45">
        <f t="shared" si="0"/>
        <v>38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20"/>
      <c r="B30" s="56" t="s">
        <v>40</v>
      </c>
      <c r="C30" s="57">
        <v>78</v>
      </c>
      <c r="D30" s="29"/>
      <c r="E30" s="50">
        <v>1</v>
      </c>
      <c r="F30" s="51"/>
      <c r="G30" s="25"/>
      <c r="H30" s="51">
        <v>3</v>
      </c>
      <c r="I30" s="52">
        <f>C30-D30-D31-E30-E31+F30+F31-H30-H31-I31</f>
        <v>74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4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27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12</v>
      </c>
      <c r="D46" s="23"/>
      <c r="E46" s="47"/>
      <c r="F46" s="48"/>
      <c r="G46" s="116"/>
      <c r="H46" s="48">
        <v>1</v>
      </c>
      <c r="I46" s="49">
        <f t="shared" si="0"/>
        <v>11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 t="s">
        <v>340</v>
      </c>
      <c r="I48" s="52" t="e">
        <f t="shared" si="0"/>
        <v>#VALUE!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592</v>
      </c>
      <c r="D51" s="66">
        <f>SUM(D13:D46)</f>
        <v>3</v>
      </c>
      <c r="E51" s="67">
        <f>SUM(E13:E46)</f>
        <v>8</v>
      </c>
      <c r="F51" s="67">
        <f>SUM(F13:F46)</f>
        <v>0</v>
      </c>
      <c r="G51" s="68" t="s">
        <v>22</v>
      </c>
      <c r="H51" s="69">
        <f>SUM(H13:H46)</f>
        <v>5</v>
      </c>
      <c r="I51" s="70">
        <f>SUM(I13:I46)</f>
        <v>592.5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0</v>
      </c>
      <c r="F53" s="334">
        <v>0</v>
      </c>
      <c r="G53" s="334">
        <v>7</v>
      </c>
      <c r="H53" s="334"/>
      <c r="I53" s="337">
        <v>2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0</v>
      </c>
      <c r="F55" s="341">
        <v>0</v>
      </c>
      <c r="G55" s="341">
        <v>108500</v>
      </c>
      <c r="H55" s="334"/>
      <c r="I55" s="348">
        <v>233600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405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341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342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343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329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6" t="s">
        <v>338</v>
      </c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330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331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339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332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333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334</v>
      </c>
      <c r="E79" s="94">
        <v>0.8125</v>
      </c>
      <c r="F79" s="93" t="s">
        <v>335</v>
      </c>
      <c r="G79" s="385" t="s">
        <v>336</v>
      </c>
      <c r="H79" s="386"/>
      <c r="I79" s="95" t="s">
        <v>337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4" zoomScale="90" zoomScaleNormal="90" workbookViewId="0">
      <selection activeCell="F50" sqref="F5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344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345</v>
      </c>
      <c r="D3" s="5" t="s">
        <v>4</v>
      </c>
      <c r="E3" s="302"/>
      <c r="F3" s="309" t="s">
        <v>346</v>
      </c>
      <c r="G3" s="310"/>
      <c r="H3" s="311">
        <f>G11+'8일'!H3:I3</f>
        <v>19848200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347</v>
      </c>
      <c r="F6" s="15" t="s">
        <v>349</v>
      </c>
      <c r="G6" s="16" t="s">
        <v>348</v>
      </c>
      <c r="H6" s="17">
        <v>0.26</v>
      </c>
      <c r="I6" s="18">
        <v>0.28999999999999998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1998000</v>
      </c>
      <c r="D11" s="102">
        <v>126</v>
      </c>
      <c r="E11" s="109">
        <f>SUM(E55:I56)</f>
        <v>160300</v>
      </c>
      <c r="F11" s="109">
        <f>SUM(E53:I54)</f>
        <v>11</v>
      </c>
      <c r="G11" s="110">
        <f>C11+E11</f>
        <v>2158300</v>
      </c>
      <c r="H11" s="110">
        <f>D11+F11</f>
        <v>137</v>
      </c>
      <c r="I11" s="111">
        <f>G11/H11</f>
        <v>15754.014598540147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19</v>
      </c>
      <c r="D13" s="23"/>
      <c r="E13" s="22">
        <v>1</v>
      </c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16</v>
      </c>
      <c r="D15" s="29"/>
      <c r="E15" s="30"/>
      <c r="F15" s="34"/>
      <c r="G15" s="25"/>
      <c r="H15" s="29"/>
      <c r="I15" s="35">
        <f>C15-D15-D16*1/2-E15-E16*1/2+F15-H15-H16*1/2-I16*1/2</f>
        <v>15.5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18</v>
      </c>
      <c r="D17" s="29"/>
      <c r="E17" s="30"/>
      <c r="F17" s="34"/>
      <c r="G17" s="118"/>
      <c r="H17" s="29"/>
      <c r="I17" s="37">
        <f>C17-D17-D18*1/2-E17-E18*1/2+F17-H17-H18*1/2-I18*1/2</f>
        <v>17.5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59</v>
      </c>
      <c r="D21" s="41"/>
      <c r="E21" s="42">
        <v>2</v>
      </c>
      <c r="F21" s="43"/>
      <c r="G21" s="44"/>
      <c r="H21" s="43"/>
      <c r="I21" s="45">
        <f t="shared" ref="I21:I48" si="0">C21-D21-E21+F21-H21</f>
        <v>57</v>
      </c>
    </row>
    <row r="22" spans="1:9" ht="17.25" customHeight="1" x14ac:dyDescent="0.3">
      <c r="A22" s="320"/>
      <c r="B22" s="21" t="s">
        <v>32</v>
      </c>
      <c r="C22" s="46">
        <v>37</v>
      </c>
      <c r="D22" s="23"/>
      <c r="E22" s="47">
        <v>1</v>
      </c>
      <c r="F22" s="48"/>
      <c r="G22" s="25"/>
      <c r="H22" s="48">
        <v>2</v>
      </c>
      <c r="I22" s="49">
        <f t="shared" si="0"/>
        <v>34</v>
      </c>
    </row>
    <row r="23" spans="1:9" ht="17.25" customHeight="1" x14ac:dyDescent="0.3">
      <c r="A23" s="320"/>
      <c r="B23" s="27" t="s">
        <v>33</v>
      </c>
      <c r="C23" s="33">
        <v>145</v>
      </c>
      <c r="D23" s="29"/>
      <c r="E23" s="50">
        <v>2</v>
      </c>
      <c r="F23" s="51"/>
      <c r="G23" s="25"/>
      <c r="H23" s="51"/>
      <c r="I23" s="52">
        <f>C23-D23-D24-E23-E24+F23+F24-H23-H24-I24</f>
        <v>136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3</v>
      </c>
      <c r="F24" s="43"/>
      <c r="G24" s="113"/>
      <c r="H24" s="43">
        <v>4</v>
      </c>
      <c r="I24" s="54"/>
    </row>
    <row r="25" spans="1:9" ht="17.25" customHeight="1" x14ac:dyDescent="0.3">
      <c r="A25" s="320"/>
      <c r="B25" s="21" t="s">
        <v>35</v>
      </c>
      <c r="C25" s="46">
        <v>22</v>
      </c>
      <c r="D25" s="23"/>
      <c r="E25" s="47"/>
      <c r="F25" s="48"/>
      <c r="G25" s="112"/>
      <c r="H25" s="48">
        <v>2</v>
      </c>
      <c r="I25" s="49">
        <f t="shared" si="0"/>
        <v>20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0"/>
      <c r="B27" s="21" t="s">
        <v>37</v>
      </c>
      <c r="C27" s="46">
        <v>25</v>
      </c>
      <c r="D27" s="23">
        <v>1</v>
      </c>
      <c r="E27" s="47"/>
      <c r="F27" s="48"/>
      <c r="G27" s="112"/>
      <c r="H27" s="48"/>
      <c r="I27" s="49">
        <f t="shared" si="0"/>
        <v>24</v>
      </c>
    </row>
    <row r="28" spans="1:9" ht="17.25" customHeight="1" x14ac:dyDescent="0.3">
      <c r="A28" s="320"/>
      <c r="B28" s="160" t="s">
        <v>38</v>
      </c>
      <c r="C28" s="55">
        <v>40</v>
      </c>
      <c r="D28" s="41"/>
      <c r="E28" s="42"/>
      <c r="F28" s="43"/>
      <c r="G28" s="113"/>
      <c r="H28" s="43">
        <v>23</v>
      </c>
      <c r="I28" s="45">
        <f t="shared" si="0"/>
        <v>17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108</v>
      </c>
      <c r="D30" s="29">
        <v>4</v>
      </c>
      <c r="E30" s="50">
        <v>2</v>
      </c>
      <c r="F30" s="51"/>
      <c r="G30" s="25"/>
      <c r="H30" s="51">
        <v>38</v>
      </c>
      <c r="I30" s="52">
        <f>C30-D30-D31-E30-E31+F30+F31-H30-H31-I31</f>
        <v>64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12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>
        <v>2</v>
      </c>
      <c r="I47" s="52">
        <f t="shared" si="0"/>
        <v>6</v>
      </c>
    </row>
    <row r="48" spans="1:9" ht="17.25" customHeight="1" x14ac:dyDescent="0.3">
      <c r="A48" s="320"/>
      <c r="B48" s="56" t="s">
        <v>315</v>
      </c>
      <c r="C48" s="117">
        <v>5</v>
      </c>
      <c r="D48" s="29"/>
      <c r="E48" s="50"/>
      <c r="F48" s="51"/>
      <c r="G48" s="25"/>
      <c r="H48" s="51">
        <v>1</v>
      </c>
      <c r="I48" s="52">
        <f t="shared" si="0"/>
        <v>4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567</v>
      </c>
      <c r="D51" s="66">
        <f>SUM(D13:D46)</f>
        <v>5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70</v>
      </c>
      <c r="I51" s="70">
        <f>SUM(I13:I46)</f>
        <v>483.5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/>
      <c r="G53" s="334">
        <v>9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40000</v>
      </c>
      <c r="F55" s="341"/>
      <c r="G55" s="341">
        <v>120300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364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366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365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367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350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94" t="s">
        <v>360</v>
      </c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26"/>
      <c r="B63" s="327"/>
      <c r="C63" s="397"/>
      <c r="D63" s="398"/>
      <c r="E63" s="398"/>
      <c r="F63" s="398"/>
      <c r="G63" s="398"/>
      <c r="H63" s="398"/>
      <c r="I63" s="399"/>
    </row>
    <row r="64" spans="1:10" s="76" customFormat="1" ht="17.25" customHeight="1" thickBot="1" x14ac:dyDescent="0.35">
      <c r="A64" s="328"/>
      <c r="B64" s="329"/>
      <c r="C64" s="343" t="s">
        <v>362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88" t="s">
        <v>361</v>
      </c>
      <c r="D65" s="389"/>
      <c r="E65" s="389"/>
      <c r="F65" s="389"/>
      <c r="G65" s="389"/>
      <c r="H65" s="389"/>
      <c r="I65" s="390"/>
    </row>
    <row r="66" spans="1:9" s="76" customFormat="1" ht="17.25" customHeight="1" x14ac:dyDescent="0.3">
      <c r="A66" s="364"/>
      <c r="B66" s="367"/>
      <c r="C66" s="391" t="s">
        <v>363</v>
      </c>
      <c r="D66" s="392"/>
      <c r="E66" s="392"/>
      <c r="F66" s="392"/>
      <c r="G66" s="392"/>
      <c r="H66" s="392"/>
      <c r="I66" s="393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351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359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352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 t="s">
        <v>353</v>
      </c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354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355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356</v>
      </c>
      <c r="E79" s="94">
        <v>0.79166666666666663</v>
      </c>
      <c r="F79" s="93" t="s">
        <v>357</v>
      </c>
      <c r="G79" s="385" t="s">
        <v>358</v>
      </c>
      <c r="H79" s="386"/>
      <c r="I79" s="95" t="s">
        <v>358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2:I63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1:I61"/>
    <mergeCell ref="C64:I64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368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369</v>
      </c>
      <c r="D3" s="5" t="s">
        <v>4</v>
      </c>
      <c r="E3" s="302"/>
      <c r="F3" s="309" t="s">
        <v>370</v>
      </c>
      <c r="G3" s="310"/>
      <c r="H3" s="311">
        <f>G11+'9일'!H3:I3</f>
        <v>21818300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373</v>
      </c>
      <c r="F6" s="15" t="s">
        <v>371</v>
      </c>
      <c r="G6" s="16" t="s">
        <v>372</v>
      </c>
      <c r="H6" s="17">
        <v>0.27</v>
      </c>
      <c r="I6" s="18">
        <v>0.28000000000000003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1522100</v>
      </c>
      <c r="D11" s="102">
        <v>106</v>
      </c>
      <c r="E11" s="109">
        <f>SUM(E55:I56)</f>
        <v>448000</v>
      </c>
      <c r="F11" s="109">
        <f>SUM(E53:I54)</f>
        <v>9</v>
      </c>
      <c r="G11" s="110">
        <f>C11+E11</f>
        <v>1970100</v>
      </c>
      <c r="H11" s="110">
        <f>D11+F11</f>
        <v>115</v>
      </c>
      <c r="I11" s="111">
        <f>G11/H11</f>
        <v>17131.304347826088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16</v>
      </c>
      <c r="D13" s="23"/>
      <c r="E13" s="22"/>
      <c r="F13" s="24"/>
      <c r="G13" s="25"/>
      <c r="H13" s="23"/>
      <c r="I13" s="26">
        <f>C13-D13-D14*1/2-E13-E14*1/2+F13-H13-H14*1/2-I14*1/2</f>
        <v>15.5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15</v>
      </c>
      <c r="D15" s="29"/>
      <c r="E15" s="30"/>
      <c r="F15" s="34"/>
      <c r="G15" s="25"/>
      <c r="H15" s="29"/>
      <c r="I15" s="35">
        <f>C15-D15-D16*1/2-E15-E16*1/2+F15-H15-H16*1/2-I16*1/2</f>
        <v>15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19</v>
      </c>
      <c r="D17" s="29"/>
      <c r="E17" s="30"/>
      <c r="F17" s="34"/>
      <c r="G17" s="118"/>
      <c r="H17" s="29"/>
      <c r="I17" s="37">
        <f>C17-D17-D18*1/2-E17-E18*1/2+F17-H17-H18*1/2-I18*1/2</f>
        <v>19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5</v>
      </c>
      <c r="D19" s="29"/>
      <c r="E19" s="30"/>
      <c r="F19" s="34"/>
      <c r="G19" s="25"/>
      <c r="H19" s="29"/>
      <c r="I19" s="35">
        <f>C19-D19-D20*1/2-E19-E20*1/2+F19-H19-H20*1/2-I20*1/2</f>
        <v>5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69</v>
      </c>
      <c r="D21" s="41"/>
      <c r="E21" s="42">
        <v>2</v>
      </c>
      <c r="F21" s="43"/>
      <c r="G21" s="44"/>
      <c r="H21" s="43"/>
      <c r="I21" s="45">
        <f t="shared" ref="I21:I48" si="0">C21-D21-E21+F21-H21</f>
        <v>67</v>
      </c>
    </row>
    <row r="22" spans="1:9" ht="17.25" customHeight="1" x14ac:dyDescent="0.3">
      <c r="A22" s="320"/>
      <c r="B22" s="21" t="s">
        <v>32</v>
      </c>
      <c r="C22" s="46">
        <v>23</v>
      </c>
      <c r="D22" s="23"/>
      <c r="E22" s="47">
        <v>2</v>
      </c>
      <c r="F22" s="48"/>
      <c r="G22" s="25"/>
      <c r="H22" s="48"/>
      <c r="I22" s="49">
        <f t="shared" si="0"/>
        <v>21</v>
      </c>
    </row>
    <row r="23" spans="1:9" ht="17.25" customHeight="1" x14ac:dyDescent="0.3">
      <c r="A23" s="320"/>
      <c r="B23" s="27" t="s">
        <v>33</v>
      </c>
      <c r="C23" s="33">
        <v>72</v>
      </c>
      <c r="D23" s="29">
        <v>1</v>
      </c>
      <c r="E23" s="50">
        <v>1</v>
      </c>
      <c r="F23" s="51"/>
      <c r="G23" s="25"/>
      <c r="H23" s="51"/>
      <c r="I23" s="52">
        <f>C23-D23-D24-E23-E24+F23+F24-H23-H24-I24</f>
        <v>69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22</v>
      </c>
      <c r="D25" s="23"/>
      <c r="E25" s="47">
        <v>2</v>
      </c>
      <c r="F25" s="48"/>
      <c r="G25" s="112"/>
      <c r="H25" s="48"/>
      <c r="I25" s="49">
        <f t="shared" si="0"/>
        <v>20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>
        <v>1</v>
      </c>
      <c r="F26" s="43"/>
      <c r="G26" s="113"/>
      <c r="H26" s="43">
        <v>1</v>
      </c>
      <c r="I26" s="45">
        <f t="shared" si="0"/>
        <v>18</v>
      </c>
    </row>
    <row r="27" spans="1:9" ht="17.25" customHeight="1" x14ac:dyDescent="0.3">
      <c r="A27" s="320"/>
      <c r="B27" s="21" t="s">
        <v>37</v>
      </c>
      <c r="C27" s="46">
        <v>20</v>
      </c>
      <c r="D27" s="23"/>
      <c r="E27" s="47"/>
      <c r="F27" s="48"/>
      <c r="G27" s="112"/>
      <c r="H27" s="48"/>
      <c r="I27" s="49">
        <f t="shared" si="0"/>
        <v>20</v>
      </c>
    </row>
    <row r="28" spans="1:9" ht="17.25" customHeight="1" x14ac:dyDescent="0.3">
      <c r="A28" s="320"/>
      <c r="B28" s="160" t="s">
        <v>38</v>
      </c>
      <c r="C28" s="55">
        <v>24</v>
      </c>
      <c r="D28" s="41">
        <v>5</v>
      </c>
      <c r="E28" s="42"/>
      <c r="F28" s="43"/>
      <c r="G28" s="113"/>
      <c r="H28" s="43"/>
      <c r="I28" s="45">
        <f t="shared" si="0"/>
        <v>19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20"/>
      <c r="B30" s="56" t="s">
        <v>40</v>
      </c>
      <c r="C30" s="57">
        <v>62</v>
      </c>
      <c r="D30" s="29"/>
      <c r="E30" s="50">
        <v>2</v>
      </c>
      <c r="F30" s="51"/>
      <c r="G30" s="25"/>
      <c r="H30" s="51"/>
      <c r="I30" s="52">
        <f>C30-D30-D31-E30-E31+F30+F31-H30-H31-I31</f>
        <v>57</v>
      </c>
    </row>
    <row r="31" spans="1:9" ht="17.25" customHeight="1" x14ac:dyDescent="0.3">
      <c r="A31" s="320"/>
      <c r="B31" s="58" t="s">
        <v>41</v>
      </c>
      <c r="C31" s="59"/>
      <c r="D31" s="60"/>
      <c r="E31" s="61">
        <v>3</v>
      </c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>
        <v>1</v>
      </c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12</v>
      </c>
      <c r="D36" s="122"/>
      <c r="E36" s="123"/>
      <c r="F36" s="124"/>
      <c r="G36" s="112"/>
      <c r="H36" s="124"/>
      <c r="I36" s="52">
        <f>C36-D36-E36+F36-H36</f>
        <v>12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6</v>
      </c>
      <c r="D46" s="23"/>
      <c r="E46" s="47"/>
      <c r="F46" s="48"/>
      <c r="G46" s="116"/>
      <c r="H46" s="48"/>
      <c r="I46" s="49">
        <f t="shared" si="0"/>
        <v>6</v>
      </c>
    </row>
    <row r="47" spans="1:9" ht="17.25" customHeight="1" x14ac:dyDescent="0.3">
      <c r="A47" s="320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20"/>
      <c r="B48" s="56" t="s">
        <v>315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394</v>
      </c>
      <c r="D51" s="66">
        <f>SUM(D13:D46)</f>
        <v>6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4</v>
      </c>
      <c r="I51" s="70">
        <f>SUM(I13:I46)</f>
        <v>366.5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3</v>
      </c>
      <c r="F53" s="334">
        <v>2</v>
      </c>
      <c r="G53" s="334">
        <v>3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57300</v>
      </c>
      <c r="F55" s="341">
        <v>44600</v>
      </c>
      <c r="G55" s="341">
        <v>21100</v>
      </c>
      <c r="H55" s="334"/>
      <c r="I55" s="348">
        <v>325000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383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384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385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/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374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382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 t="s">
        <v>386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375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376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377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378</v>
      </c>
      <c r="E79" s="94">
        <v>0.77083333333333337</v>
      </c>
      <c r="F79" s="93" t="s">
        <v>379</v>
      </c>
      <c r="G79" s="385" t="s">
        <v>380</v>
      </c>
      <c r="H79" s="386"/>
      <c r="I79" s="95" t="s">
        <v>381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E49" sqref="E49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387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388</v>
      </c>
      <c r="D3" s="5" t="s">
        <v>4</v>
      </c>
      <c r="E3" s="302"/>
      <c r="F3" s="309" t="s">
        <v>389</v>
      </c>
      <c r="G3" s="310"/>
      <c r="H3" s="311">
        <f>G11+'10일'!H3:I3</f>
        <v>23634300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392</v>
      </c>
      <c r="F6" s="15" t="s">
        <v>390</v>
      </c>
      <c r="G6" s="16" t="s">
        <v>391</v>
      </c>
      <c r="H6" s="17">
        <v>0.69</v>
      </c>
      <c r="I6" s="18">
        <v>0.35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1672700</v>
      </c>
      <c r="D11" s="102">
        <v>142</v>
      </c>
      <c r="E11" s="109">
        <f>SUM(E55:I56)</f>
        <v>143300</v>
      </c>
      <c r="F11" s="109">
        <f>SUM(E53:I54)</f>
        <v>7</v>
      </c>
      <c r="G11" s="110">
        <f>C11+E11</f>
        <v>1816000</v>
      </c>
      <c r="H11" s="110">
        <f>D11+F11</f>
        <v>149</v>
      </c>
      <c r="I11" s="111">
        <f>G11/H11</f>
        <v>12187.919463087248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18</v>
      </c>
      <c r="D13" s="23"/>
      <c r="E13" s="22">
        <v>1</v>
      </c>
      <c r="F13" s="24"/>
      <c r="G13" s="25"/>
      <c r="H13" s="23"/>
      <c r="I13" s="26">
        <f>C13-D13-D14*1/2-E13-E14*1/2+F13-H13-H14*1/2-I14*1/2</f>
        <v>17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17</v>
      </c>
      <c r="D15" s="29"/>
      <c r="E15" s="30">
        <v>1</v>
      </c>
      <c r="F15" s="34"/>
      <c r="G15" s="25"/>
      <c r="H15" s="29">
        <v>4</v>
      </c>
      <c r="I15" s="35">
        <f>C15-D15-D16*1/2-E15-E16*1/2+F15-H15-H16*1/2-I16*1/2</f>
        <v>12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29</v>
      </c>
      <c r="D17" s="29">
        <v>2</v>
      </c>
      <c r="E17" s="30">
        <v>1</v>
      </c>
      <c r="F17" s="34"/>
      <c r="G17" s="118"/>
      <c r="H17" s="29">
        <v>4</v>
      </c>
      <c r="I17" s="37">
        <f>C17-D17-D18*1/2-E17-E18*1/2+F17-H17-H18*1/2-I18*1/2</f>
        <v>22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9</v>
      </c>
      <c r="D19" s="29">
        <v>9</v>
      </c>
      <c r="E19" s="30"/>
      <c r="F19" s="34"/>
      <c r="G19" s="25"/>
      <c r="H19" s="29"/>
      <c r="I19" s="35">
        <f>C19-D19-D20*1/2-E19-E20*1/2+F19-H19-H20*1/2-I20*1/2</f>
        <v>0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55</v>
      </c>
      <c r="D21" s="41"/>
      <c r="E21" s="42">
        <v>2</v>
      </c>
      <c r="F21" s="43"/>
      <c r="G21" s="44"/>
      <c r="H21" s="43">
        <v>10</v>
      </c>
      <c r="I21" s="45">
        <f t="shared" ref="I21:I48" si="0">C21-D21-E21+F21-H21</f>
        <v>43</v>
      </c>
    </row>
    <row r="22" spans="1:9" ht="17.25" customHeight="1" x14ac:dyDescent="0.3">
      <c r="A22" s="320"/>
      <c r="B22" s="21" t="s">
        <v>32</v>
      </c>
      <c r="C22" s="46">
        <v>22</v>
      </c>
      <c r="D22" s="23"/>
      <c r="E22" s="47">
        <v>2</v>
      </c>
      <c r="F22" s="48"/>
      <c r="G22" s="25"/>
      <c r="H22" s="48">
        <v>16</v>
      </c>
      <c r="I22" s="49">
        <f t="shared" si="0"/>
        <v>4</v>
      </c>
    </row>
    <row r="23" spans="1:9" ht="17.25" customHeight="1" x14ac:dyDescent="0.3">
      <c r="A23" s="320"/>
      <c r="B23" s="27" t="s">
        <v>33</v>
      </c>
      <c r="C23" s="33">
        <v>117</v>
      </c>
      <c r="D23" s="29"/>
      <c r="E23" s="50">
        <v>1</v>
      </c>
      <c r="F23" s="51"/>
      <c r="G23" s="25"/>
      <c r="H23" s="51"/>
      <c r="I23" s="52">
        <f>C23-D23-D24-E23-E24+F23+F24-H23-H24-I24</f>
        <v>114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22</v>
      </c>
      <c r="D25" s="23">
        <v>1</v>
      </c>
      <c r="E25" s="47">
        <v>1</v>
      </c>
      <c r="F25" s="48"/>
      <c r="G25" s="112"/>
      <c r="H25" s="48">
        <v>6</v>
      </c>
      <c r="I25" s="49">
        <f t="shared" si="0"/>
        <v>14</v>
      </c>
    </row>
    <row r="26" spans="1:9" ht="17.25" customHeight="1" x14ac:dyDescent="0.3">
      <c r="A26" s="320"/>
      <c r="B26" s="160" t="s">
        <v>36</v>
      </c>
      <c r="C26" s="55">
        <v>20</v>
      </c>
      <c r="D26" s="41">
        <v>2</v>
      </c>
      <c r="E26" s="42"/>
      <c r="F26" s="43"/>
      <c r="G26" s="113"/>
      <c r="H26" s="43">
        <v>2</v>
      </c>
      <c r="I26" s="45">
        <f t="shared" si="0"/>
        <v>16</v>
      </c>
    </row>
    <row r="27" spans="1:9" ht="17.25" customHeight="1" x14ac:dyDescent="0.3">
      <c r="A27" s="320"/>
      <c r="B27" s="21" t="s">
        <v>37</v>
      </c>
      <c r="C27" s="46">
        <v>25</v>
      </c>
      <c r="D27" s="23"/>
      <c r="E27" s="47"/>
      <c r="F27" s="48"/>
      <c r="G27" s="112"/>
      <c r="H27" s="48">
        <v>2</v>
      </c>
      <c r="I27" s="49">
        <f t="shared" si="0"/>
        <v>23</v>
      </c>
    </row>
    <row r="28" spans="1:9" ht="17.25" customHeight="1" x14ac:dyDescent="0.3">
      <c r="A28" s="320"/>
      <c r="B28" s="160" t="s">
        <v>38</v>
      </c>
      <c r="C28" s="55">
        <v>36</v>
      </c>
      <c r="D28" s="41"/>
      <c r="E28" s="42"/>
      <c r="F28" s="43"/>
      <c r="G28" s="113"/>
      <c r="H28" s="43">
        <v>6</v>
      </c>
      <c r="I28" s="45">
        <f t="shared" si="0"/>
        <v>30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62</v>
      </c>
      <c r="D30" s="29">
        <v>2</v>
      </c>
      <c r="E30" s="50">
        <v>2</v>
      </c>
      <c r="F30" s="51"/>
      <c r="G30" s="25"/>
      <c r="H30" s="51">
        <v>36</v>
      </c>
      <c r="I30" s="52">
        <f>C30-D30-D31-E30-E31+F30+F31-H30-H31-I31</f>
        <v>22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1</v>
      </c>
      <c r="F36" s="124"/>
      <c r="G36" s="112"/>
      <c r="H36" s="124">
        <v>1</v>
      </c>
      <c r="I36" s="52">
        <f>C36-D36-E36+F36-H36</f>
        <v>18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315</v>
      </c>
      <c r="C48" s="117"/>
      <c r="D48" s="29"/>
      <c r="E48" s="50"/>
      <c r="F48" s="51"/>
      <c r="G48" s="25"/>
      <c r="H48" s="51"/>
      <c r="I48" s="52">
        <f t="shared" si="0"/>
        <v>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473</v>
      </c>
      <c r="D51" s="66">
        <f>SUM(D13:D46)</f>
        <v>16</v>
      </c>
      <c r="E51" s="67">
        <f>SUM(E13:E46)</f>
        <v>14</v>
      </c>
      <c r="F51" s="67">
        <f>SUM(F13:F46)</f>
        <v>0</v>
      </c>
      <c r="G51" s="68" t="s">
        <v>22</v>
      </c>
      <c r="H51" s="69">
        <f>SUM(H13:H46)</f>
        <v>87</v>
      </c>
      <c r="I51" s="70">
        <f>SUM(I13:I46)</f>
        <v>348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>
        <v>2</v>
      </c>
      <c r="G53" s="334">
        <v>2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39500</v>
      </c>
      <c r="F55" s="341">
        <v>40100</v>
      </c>
      <c r="G55" s="341">
        <v>25500</v>
      </c>
      <c r="H55" s="334"/>
      <c r="I55" s="348">
        <v>38200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406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409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407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408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393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94" t="s">
        <v>402</v>
      </c>
      <c r="D62" s="395"/>
      <c r="E62" s="395"/>
      <c r="F62" s="395"/>
      <c r="G62" s="395"/>
      <c r="H62" s="395"/>
      <c r="I62" s="396"/>
    </row>
    <row r="63" spans="1:10" s="76" customFormat="1" ht="17.25" customHeight="1" x14ac:dyDescent="0.3">
      <c r="A63" s="326"/>
      <c r="B63" s="327"/>
      <c r="C63" s="397"/>
      <c r="D63" s="398"/>
      <c r="E63" s="398"/>
      <c r="F63" s="398"/>
      <c r="G63" s="398"/>
      <c r="H63" s="398"/>
      <c r="I63" s="399"/>
    </row>
    <row r="64" spans="1:10" s="76" customFormat="1" ht="17.25" customHeight="1" thickBot="1" x14ac:dyDescent="0.35">
      <c r="A64" s="328"/>
      <c r="B64" s="329"/>
      <c r="C64" s="343" t="s">
        <v>403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400" t="s">
        <v>404</v>
      </c>
      <c r="D65" s="401"/>
      <c r="E65" s="401"/>
      <c r="F65" s="401"/>
      <c r="G65" s="401"/>
      <c r="H65" s="401"/>
      <c r="I65" s="402"/>
    </row>
    <row r="66" spans="1:9" s="76" customFormat="1" ht="17.25" customHeight="1" x14ac:dyDescent="0.3">
      <c r="A66" s="364"/>
      <c r="B66" s="367"/>
      <c r="C66" s="403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395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396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394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397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398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399</v>
      </c>
      <c r="E79" s="94">
        <v>0.8125</v>
      </c>
      <c r="F79" s="93" t="s">
        <v>400</v>
      </c>
      <c r="G79" s="385" t="s">
        <v>401</v>
      </c>
      <c r="H79" s="386"/>
      <c r="I79" s="95" t="s">
        <v>401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4">
    <mergeCell ref="A4:H4"/>
    <mergeCell ref="A7:H7"/>
    <mergeCell ref="A9:A11"/>
    <mergeCell ref="B9:B11"/>
    <mergeCell ref="C9:D9"/>
    <mergeCell ref="E9:F9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12:A51"/>
    <mergeCell ref="A52:B56"/>
    <mergeCell ref="C53:C54"/>
    <mergeCell ref="D53:D54"/>
    <mergeCell ref="E53:E54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G9:H9"/>
    <mergeCell ref="C62:I63"/>
    <mergeCell ref="H80:I80"/>
    <mergeCell ref="C72:I72"/>
    <mergeCell ref="C73:I73"/>
    <mergeCell ref="C74:I74"/>
    <mergeCell ref="G78:H78"/>
    <mergeCell ref="G79:H79"/>
    <mergeCell ref="C64:I64"/>
    <mergeCell ref="C65:I66"/>
    <mergeCell ref="A73:B74"/>
    <mergeCell ref="A75:B75"/>
    <mergeCell ref="A78:B79"/>
    <mergeCell ref="C78:D78"/>
    <mergeCell ref="E78:F78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59:I59"/>
    <mergeCell ref="C60:I60"/>
    <mergeCell ref="C61:I61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0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413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414</v>
      </c>
      <c r="D3" s="5" t="s">
        <v>4</v>
      </c>
      <c r="E3" s="302"/>
      <c r="F3" s="309" t="s">
        <v>412</v>
      </c>
      <c r="G3" s="310"/>
      <c r="H3" s="311">
        <f>G11+'11일'!H3:I3</f>
        <v>26508500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415</v>
      </c>
      <c r="F6" s="15" t="s">
        <v>411</v>
      </c>
      <c r="G6" s="16" t="s">
        <v>410</v>
      </c>
      <c r="H6" s="17">
        <v>0.54</v>
      </c>
      <c r="I6" s="18">
        <v>0.39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2503600</v>
      </c>
      <c r="D11" s="102">
        <v>175</v>
      </c>
      <c r="E11" s="109">
        <f>SUM(E55:I56)</f>
        <v>370600</v>
      </c>
      <c r="F11" s="109">
        <f>SUM(E53:I54)</f>
        <v>17</v>
      </c>
      <c r="G11" s="110">
        <f>C11+E11</f>
        <v>2874200</v>
      </c>
      <c r="H11" s="110">
        <f>D11+F11</f>
        <v>192</v>
      </c>
      <c r="I11" s="111">
        <f>G11/H11</f>
        <v>14969.791666666666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18</v>
      </c>
      <c r="D13" s="23"/>
      <c r="E13" s="22"/>
      <c r="F13" s="24"/>
      <c r="G13" s="25"/>
      <c r="H13" s="23"/>
      <c r="I13" s="26">
        <f>C13-D13-D14*1/2-E13-E14*1/2+F13-H13-H14*1/2-I14*1/2</f>
        <v>17.5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17</v>
      </c>
      <c r="D15" s="29"/>
      <c r="E15" s="30"/>
      <c r="F15" s="34"/>
      <c r="G15" s="25"/>
      <c r="H15" s="29"/>
      <c r="I15" s="35">
        <f>C15-D15-D16*1/2-E15-E16*1/2+F15-H15-H16*1/2-I16*1/2</f>
        <v>16.5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18</v>
      </c>
      <c r="D17" s="29"/>
      <c r="E17" s="30">
        <v>1</v>
      </c>
      <c r="F17" s="34"/>
      <c r="G17" s="118"/>
      <c r="H17" s="29"/>
      <c r="I17" s="37">
        <f>C17-D17-D18*1/2-E17-E18*1/2+F17-H17-H18*1/2-I18*1/2</f>
        <v>17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9</v>
      </c>
      <c r="D19" s="29"/>
      <c r="E19" s="30"/>
      <c r="F19" s="34"/>
      <c r="G19" s="25"/>
      <c r="H19" s="29"/>
      <c r="I19" s="35">
        <f>C19-D19-D20*1/2-E19-E20*1/2+F19-H19-H20*1/2-I20*1/2</f>
        <v>9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56</v>
      </c>
      <c r="D21" s="41"/>
      <c r="E21" s="42">
        <v>1</v>
      </c>
      <c r="F21" s="43"/>
      <c r="G21" s="44"/>
      <c r="H21" s="43"/>
      <c r="I21" s="45">
        <f t="shared" ref="I21:I48" si="0">C21-D21-E21+F21-H21</f>
        <v>55</v>
      </c>
    </row>
    <row r="22" spans="1:9" ht="17.25" customHeight="1" x14ac:dyDescent="0.3">
      <c r="A22" s="320"/>
      <c r="B22" s="21" t="s">
        <v>32</v>
      </c>
      <c r="C22" s="46">
        <v>34</v>
      </c>
      <c r="D22" s="23"/>
      <c r="E22" s="47">
        <v>1</v>
      </c>
      <c r="F22" s="48"/>
      <c r="G22" s="25"/>
      <c r="H22" s="48"/>
      <c r="I22" s="49">
        <f t="shared" si="0"/>
        <v>33</v>
      </c>
    </row>
    <row r="23" spans="1:9" ht="17.25" customHeight="1" x14ac:dyDescent="0.3">
      <c r="A23" s="320"/>
      <c r="B23" s="27" t="s">
        <v>33</v>
      </c>
      <c r="C23" s="33">
        <v>144</v>
      </c>
      <c r="D23" s="29"/>
      <c r="E23" s="50">
        <v>3</v>
      </c>
      <c r="F23" s="51"/>
      <c r="G23" s="25"/>
      <c r="H23" s="51"/>
      <c r="I23" s="52">
        <f>C23-D23-D24-E23-E24+F23+F24-H23-H24-I24</f>
        <v>140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0"/>
      <c r="B27" s="21" t="s">
        <v>37</v>
      </c>
      <c r="C27" s="46">
        <v>19</v>
      </c>
      <c r="D27" s="23"/>
      <c r="E27" s="47"/>
      <c r="F27" s="48"/>
      <c r="G27" s="112"/>
      <c r="H27" s="48"/>
      <c r="I27" s="49">
        <f t="shared" si="0"/>
        <v>19</v>
      </c>
    </row>
    <row r="28" spans="1:9" ht="17.25" customHeight="1" x14ac:dyDescent="0.3">
      <c r="A28" s="320"/>
      <c r="B28" s="160" t="s">
        <v>38</v>
      </c>
      <c r="C28" s="55">
        <v>25</v>
      </c>
      <c r="D28" s="41">
        <v>1</v>
      </c>
      <c r="E28" s="42"/>
      <c r="F28" s="43"/>
      <c r="G28" s="113"/>
      <c r="H28" s="43"/>
      <c r="I28" s="45">
        <f t="shared" si="0"/>
        <v>24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62</v>
      </c>
      <c r="D30" s="29"/>
      <c r="E30" s="50"/>
      <c r="F30" s="51"/>
      <c r="G30" s="25"/>
      <c r="H30" s="51"/>
      <c r="I30" s="52">
        <f>C30-D30-D31-E30-E31+F30+F31-H30-H31-I31</f>
        <v>62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>
        <v>38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24</v>
      </c>
      <c r="D46" s="23"/>
      <c r="E46" s="47"/>
      <c r="F46" s="48"/>
      <c r="G46" s="116"/>
      <c r="H46" s="48"/>
      <c r="I46" s="49">
        <f t="shared" si="0"/>
        <v>24</v>
      </c>
    </row>
    <row r="47" spans="1:9" ht="17.25" customHeight="1" x14ac:dyDescent="0.3">
      <c r="A47" s="320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20"/>
      <c r="B48" s="56" t="s">
        <v>315</v>
      </c>
      <c r="C48" s="117">
        <v>6</v>
      </c>
      <c r="D48" s="29"/>
      <c r="E48" s="50"/>
      <c r="F48" s="51"/>
      <c r="G48" s="25"/>
      <c r="H48" s="51"/>
      <c r="I48" s="52">
        <f t="shared" si="0"/>
        <v>6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509</v>
      </c>
      <c r="D51" s="66">
        <f>SUM(D13:D46)</f>
        <v>1</v>
      </c>
      <c r="E51" s="67">
        <f>SUM(E13:E46)</f>
        <v>9</v>
      </c>
      <c r="F51" s="67">
        <f>SUM(F13:F46)</f>
        <v>0</v>
      </c>
      <c r="G51" s="68" t="s">
        <v>22</v>
      </c>
      <c r="H51" s="69">
        <f>SUM(H13:H46)</f>
        <v>0</v>
      </c>
      <c r="I51" s="70">
        <f>SUM(I13:I46)</f>
        <v>528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4</v>
      </c>
      <c r="F53" s="334">
        <v>1</v>
      </c>
      <c r="G53" s="334">
        <v>11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78400</v>
      </c>
      <c r="F55" s="341">
        <v>18900</v>
      </c>
      <c r="G55" s="341">
        <v>122100</v>
      </c>
      <c r="H55" s="334"/>
      <c r="I55" s="348">
        <v>151200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430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431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432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433</v>
      </c>
      <c r="D60" s="343"/>
      <c r="E60" s="343"/>
      <c r="F60" s="343"/>
      <c r="G60" s="343"/>
      <c r="H60" s="343"/>
      <c r="I60" s="344"/>
    </row>
    <row r="61" spans="1:10" s="76" customFormat="1" ht="33.75" customHeight="1" x14ac:dyDescent="0.3">
      <c r="A61" s="324" t="s">
        <v>73</v>
      </c>
      <c r="B61" s="325"/>
      <c r="C61" s="345" t="s">
        <v>424</v>
      </c>
      <c r="D61" s="407"/>
      <c r="E61" s="407"/>
      <c r="F61" s="407"/>
      <c r="G61" s="407"/>
      <c r="H61" s="407"/>
      <c r="I61" s="408"/>
    </row>
    <row r="62" spans="1:10" s="76" customFormat="1" ht="17.25" customHeight="1" x14ac:dyDescent="0.3">
      <c r="A62" s="326"/>
      <c r="B62" s="327"/>
      <c r="C62" s="356" t="s">
        <v>423</v>
      </c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394" t="s">
        <v>425</v>
      </c>
      <c r="D63" s="395"/>
      <c r="E63" s="395"/>
      <c r="F63" s="395"/>
      <c r="G63" s="395"/>
      <c r="H63" s="395"/>
      <c r="I63" s="396"/>
    </row>
    <row r="64" spans="1:10" s="76" customFormat="1" ht="17.25" customHeight="1" thickBot="1" x14ac:dyDescent="0.35">
      <c r="A64" s="328"/>
      <c r="B64" s="329"/>
      <c r="C64" s="404"/>
      <c r="D64" s="405"/>
      <c r="E64" s="405"/>
      <c r="F64" s="405"/>
      <c r="G64" s="405"/>
      <c r="H64" s="405"/>
      <c r="I64" s="406"/>
    </row>
    <row r="65" spans="1:9" s="76" customFormat="1" ht="17.25" customHeight="1" x14ac:dyDescent="0.3">
      <c r="A65" s="363" t="s">
        <v>46</v>
      </c>
      <c r="B65" s="366" t="s">
        <v>47</v>
      </c>
      <c r="C65" s="346" t="s">
        <v>426</v>
      </c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 t="s">
        <v>427</v>
      </c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 t="s">
        <v>429</v>
      </c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416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428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417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418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419</v>
      </c>
      <c r="E79" s="94">
        <v>0.8125</v>
      </c>
      <c r="F79" s="93" t="s">
        <v>420</v>
      </c>
      <c r="G79" s="385" t="s">
        <v>421</v>
      </c>
      <c r="H79" s="386"/>
      <c r="I79" s="95" t="s">
        <v>422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3:I64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1:I61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4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437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434</v>
      </c>
      <c r="D3" s="5" t="s">
        <v>4</v>
      </c>
      <c r="E3" s="302"/>
      <c r="F3" s="309" t="s">
        <v>436</v>
      </c>
      <c r="G3" s="310"/>
      <c r="H3" s="311">
        <f>G11+'12일'!H3:I3</f>
        <v>28923300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438</v>
      </c>
      <c r="F6" s="15" t="s">
        <v>439</v>
      </c>
      <c r="G6" s="16" t="s">
        <v>435</v>
      </c>
      <c r="H6" s="17">
        <v>0.48</v>
      </c>
      <c r="I6" s="18">
        <v>0.33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2291600</v>
      </c>
      <c r="D11" s="102">
        <v>153</v>
      </c>
      <c r="E11" s="109">
        <f>SUM(E55:I56)</f>
        <v>123200</v>
      </c>
      <c r="F11" s="109">
        <f>SUM(E53:I54)</f>
        <v>8</v>
      </c>
      <c r="G11" s="110">
        <f>C11+E11</f>
        <v>2414800</v>
      </c>
      <c r="H11" s="110">
        <f>D11+F11</f>
        <v>161</v>
      </c>
      <c r="I11" s="111">
        <f>G11/H11</f>
        <v>14998.757763975154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27</v>
      </c>
      <c r="D13" s="23"/>
      <c r="E13" s="22"/>
      <c r="F13" s="24"/>
      <c r="G13" s="25"/>
      <c r="H13" s="23">
        <v>3</v>
      </c>
      <c r="I13" s="26">
        <f>C13-D13-D14*1/2-E13-E14*1/2+F13-H13-H14*1/2-I14*1/2</f>
        <v>23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26</v>
      </c>
      <c r="D15" s="29"/>
      <c r="E15" s="30">
        <v>1</v>
      </c>
      <c r="F15" s="34"/>
      <c r="G15" s="25"/>
      <c r="H15" s="29">
        <v>1</v>
      </c>
      <c r="I15" s="35">
        <f>C15-D15-D16*1/2-E15-E16*1/2+F15-H15-H16*1/2-I16*1/2</f>
        <v>24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16</v>
      </c>
      <c r="D17" s="29">
        <v>2</v>
      </c>
      <c r="E17" s="30">
        <v>1</v>
      </c>
      <c r="F17" s="34"/>
      <c r="G17" s="118"/>
      <c r="H17" s="29"/>
      <c r="I17" s="37">
        <f>C17-D17-D18*1/2-E17-E18*1/2+F17-H17-H18*1/2-I18*1/2</f>
        <v>12.5</v>
      </c>
    </row>
    <row r="18" spans="1:9" ht="17.25" customHeight="1" x14ac:dyDescent="0.3">
      <c r="A18" s="320"/>
      <c r="B18" s="27" t="s">
        <v>28</v>
      </c>
      <c r="C18" s="28"/>
      <c r="D18" s="29">
        <v>1</v>
      </c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9</v>
      </c>
      <c r="D19" s="29"/>
      <c r="E19" s="30"/>
      <c r="F19" s="34"/>
      <c r="G19" s="25"/>
      <c r="H19" s="29"/>
      <c r="I19" s="35">
        <f>C19-D19-D20*1/2-E19-E20*1/2+F19-H19-H20*1/2-I20*1/2</f>
        <v>9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65</v>
      </c>
      <c r="D21" s="41"/>
      <c r="E21" s="42">
        <v>2</v>
      </c>
      <c r="F21" s="43"/>
      <c r="G21" s="44"/>
      <c r="H21" s="43">
        <v>8</v>
      </c>
      <c r="I21" s="45">
        <f t="shared" ref="I21:I48" si="0">C21-D21-E21+F21-H21</f>
        <v>55</v>
      </c>
    </row>
    <row r="22" spans="1:9" ht="17.25" customHeight="1" x14ac:dyDescent="0.3">
      <c r="A22" s="320"/>
      <c r="B22" s="21" t="s">
        <v>32</v>
      </c>
      <c r="C22" s="46">
        <v>35</v>
      </c>
      <c r="D22" s="23"/>
      <c r="E22" s="47">
        <v>1</v>
      </c>
      <c r="F22" s="48"/>
      <c r="G22" s="25"/>
      <c r="H22" s="48">
        <v>4</v>
      </c>
      <c r="I22" s="49">
        <f t="shared" si="0"/>
        <v>30</v>
      </c>
    </row>
    <row r="23" spans="1:9" ht="17.25" customHeight="1" x14ac:dyDescent="0.3">
      <c r="A23" s="320"/>
      <c r="B23" s="27" t="s">
        <v>33</v>
      </c>
      <c r="C23" s="33">
        <v>166</v>
      </c>
      <c r="D23" s="29"/>
      <c r="E23" s="50">
        <v>2</v>
      </c>
      <c r="F23" s="51"/>
      <c r="G23" s="25"/>
      <c r="H23" s="51"/>
      <c r="I23" s="52">
        <f>C23-D23-D24-E23-E24+F23+F24-H23-H24-I24</f>
        <v>164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3</v>
      </c>
      <c r="I25" s="49">
        <f t="shared" si="0"/>
        <v>21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0"/>
      <c r="B27" s="21" t="s">
        <v>37</v>
      </c>
      <c r="C27" s="46">
        <v>26</v>
      </c>
      <c r="D27" s="23"/>
      <c r="E27" s="47"/>
      <c r="F27" s="48"/>
      <c r="G27" s="112"/>
      <c r="H27" s="48">
        <v>3</v>
      </c>
      <c r="I27" s="49">
        <f t="shared" si="0"/>
        <v>23</v>
      </c>
    </row>
    <row r="28" spans="1:9" ht="17.25" customHeight="1" x14ac:dyDescent="0.3">
      <c r="A28" s="320"/>
      <c r="B28" s="160" t="s">
        <v>38</v>
      </c>
      <c r="C28" s="55">
        <v>38</v>
      </c>
      <c r="D28" s="41">
        <v>2</v>
      </c>
      <c r="E28" s="42"/>
      <c r="F28" s="43"/>
      <c r="G28" s="113"/>
      <c r="H28" s="43">
        <v>6</v>
      </c>
      <c r="I28" s="45">
        <f t="shared" si="0"/>
        <v>30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63</v>
      </c>
      <c r="D30" s="29"/>
      <c r="E30" s="50"/>
      <c r="F30" s="51"/>
      <c r="G30" s="25"/>
      <c r="H30" s="51"/>
      <c r="I30" s="52">
        <f>C30-D30-D31-E30-E31+F30+F31-H30-H31-I31</f>
        <v>63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10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22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20"/>
      <c r="B47" s="120" t="s">
        <v>88</v>
      </c>
      <c r="C47" s="121">
        <v>9</v>
      </c>
      <c r="D47" s="122"/>
      <c r="E47" s="123"/>
      <c r="F47" s="124"/>
      <c r="G47" s="112"/>
      <c r="H47" s="124">
        <v>2</v>
      </c>
      <c r="I47" s="52">
        <f t="shared" si="0"/>
        <v>7</v>
      </c>
    </row>
    <row r="48" spans="1:9" ht="17.25" customHeight="1" x14ac:dyDescent="0.3">
      <c r="A48" s="320"/>
      <c r="B48" s="56" t="s">
        <v>315</v>
      </c>
      <c r="C48" s="117">
        <v>8</v>
      </c>
      <c r="D48" s="29"/>
      <c r="E48" s="50"/>
      <c r="F48" s="51"/>
      <c r="G48" s="25"/>
      <c r="H48" s="51"/>
      <c r="I48" s="52">
        <f t="shared" si="0"/>
        <v>8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565</v>
      </c>
      <c r="D51" s="66">
        <f>SUM(D13:D46)</f>
        <v>5</v>
      </c>
      <c r="E51" s="67">
        <f>SUM(E13:E46)</f>
        <v>11</v>
      </c>
      <c r="F51" s="67">
        <f>SUM(F13:F46)</f>
        <v>0</v>
      </c>
      <c r="G51" s="68" t="s">
        <v>22</v>
      </c>
      <c r="H51" s="69">
        <f>SUM(H13:H46)</f>
        <v>29</v>
      </c>
      <c r="I51" s="70">
        <f>SUM(I13:I46)</f>
        <v>538.5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/>
      <c r="F53" s="334"/>
      <c r="G53" s="334">
        <v>7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/>
      <c r="F55" s="341"/>
      <c r="G55" s="341">
        <v>72800</v>
      </c>
      <c r="H55" s="334"/>
      <c r="I55" s="348">
        <v>50400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452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453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454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455</v>
      </c>
      <c r="D60" s="343"/>
      <c r="E60" s="343"/>
      <c r="F60" s="343"/>
      <c r="G60" s="343"/>
      <c r="H60" s="343"/>
      <c r="I60" s="344"/>
    </row>
    <row r="61" spans="1:10" s="76" customFormat="1" ht="34.5" customHeight="1" x14ac:dyDescent="0.3">
      <c r="A61" s="324" t="s">
        <v>73</v>
      </c>
      <c r="B61" s="325"/>
      <c r="C61" s="345" t="s">
        <v>440</v>
      </c>
      <c r="D61" s="407"/>
      <c r="E61" s="407"/>
      <c r="F61" s="407"/>
      <c r="G61" s="407"/>
      <c r="H61" s="407"/>
      <c r="I61" s="408"/>
    </row>
    <row r="62" spans="1:10" s="76" customFormat="1" ht="17.25" customHeight="1" x14ac:dyDescent="0.3">
      <c r="A62" s="326"/>
      <c r="B62" s="327"/>
      <c r="C62" s="356" t="s">
        <v>449</v>
      </c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409" t="s">
        <v>451</v>
      </c>
      <c r="D63" s="410"/>
      <c r="E63" s="410"/>
      <c r="F63" s="410"/>
      <c r="G63" s="410"/>
      <c r="H63" s="410"/>
      <c r="I63" s="411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 t="s">
        <v>441</v>
      </c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450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51" t="s">
        <v>442</v>
      </c>
      <c r="D73" s="351"/>
      <c r="E73" s="351"/>
      <c r="F73" s="351"/>
      <c r="G73" s="351"/>
      <c r="H73" s="351"/>
      <c r="I73" s="352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443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444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445</v>
      </c>
      <c r="E79" s="94">
        <v>0.8125</v>
      </c>
      <c r="F79" s="93" t="s">
        <v>446</v>
      </c>
      <c r="G79" s="385" t="s">
        <v>447</v>
      </c>
      <c r="H79" s="386"/>
      <c r="I79" s="95" t="s">
        <v>448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4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457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458</v>
      </c>
      <c r="D3" s="5" t="s">
        <v>4</v>
      </c>
      <c r="E3" s="302"/>
      <c r="F3" s="309" t="s">
        <v>459</v>
      </c>
      <c r="G3" s="310"/>
      <c r="H3" s="311">
        <f>G11+'13일'!H3:I3</f>
        <v>31377400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461</v>
      </c>
      <c r="F6" s="15" t="s">
        <v>460</v>
      </c>
      <c r="G6" s="16" t="s">
        <v>456</v>
      </c>
      <c r="H6" s="17">
        <v>0.3</v>
      </c>
      <c r="I6" s="18">
        <v>0.36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2187800</v>
      </c>
      <c r="D11" s="102">
        <v>165</v>
      </c>
      <c r="E11" s="109">
        <f>SUM(E55:I56)</f>
        <v>266300</v>
      </c>
      <c r="F11" s="109">
        <f>SUM(E53:I54)</f>
        <v>11</v>
      </c>
      <c r="G11" s="110">
        <f>C11+E11</f>
        <v>2454100</v>
      </c>
      <c r="H11" s="110">
        <f>D11+F11</f>
        <v>176</v>
      </c>
      <c r="I11" s="111">
        <f>G11/H11</f>
        <v>13943.75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19</v>
      </c>
      <c r="D13" s="23"/>
      <c r="E13" s="22"/>
      <c r="F13" s="24"/>
      <c r="G13" s="25"/>
      <c r="H13" s="23">
        <v>3</v>
      </c>
      <c r="I13" s="26">
        <f>C13-D13-D14*1/2-E13-E14*1/2+F13-H13-H14*1/2-I14*1/2</f>
        <v>15.5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17</v>
      </c>
      <c r="D15" s="29"/>
      <c r="E15" s="30"/>
      <c r="F15" s="34"/>
      <c r="G15" s="25"/>
      <c r="H15" s="29">
        <v>6</v>
      </c>
      <c r="I15" s="35">
        <f>C15-D15-D16*1/2-E15-E16*1/2+F15-H15-H16*1/2-I16*1/2</f>
        <v>10.5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24</v>
      </c>
      <c r="D17" s="29">
        <v>6</v>
      </c>
      <c r="E17" s="30">
        <v>1</v>
      </c>
      <c r="F17" s="34"/>
      <c r="G17" s="118"/>
      <c r="H17" s="29"/>
      <c r="I17" s="37">
        <f>C17-D17-D18*1/2-E17-E18*1/2+F17-H17-H18*1/2-I18*1/2</f>
        <v>17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12.5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20"/>
      <c r="B21" s="39" t="s">
        <v>31</v>
      </c>
      <c r="C21" s="40">
        <v>59</v>
      </c>
      <c r="D21" s="41"/>
      <c r="E21" s="42">
        <v>2</v>
      </c>
      <c r="F21" s="43"/>
      <c r="G21" s="44"/>
      <c r="H21" s="43"/>
      <c r="I21" s="45">
        <f t="shared" ref="I21:I48" si="0">C21-D21-E21+F21-H21</f>
        <v>57</v>
      </c>
    </row>
    <row r="22" spans="1:9" ht="17.25" customHeight="1" x14ac:dyDescent="0.3">
      <c r="A22" s="320"/>
      <c r="B22" s="21" t="s">
        <v>32</v>
      </c>
      <c r="C22" s="46">
        <v>36</v>
      </c>
      <c r="D22" s="23"/>
      <c r="E22" s="47">
        <v>4</v>
      </c>
      <c r="F22" s="48"/>
      <c r="G22" s="25"/>
      <c r="H22" s="48">
        <v>8</v>
      </c>
      <c r="I22" s="49">
        <f t="shared" si="0"/>
        <v>24</v>
      </c>
    </row>
    <row r="23" spans="1:9" ht="17.25" customHeight="1" x14ac:dyDescent="0.3">
      <c r="A23" s="320"/>
      <c r="B23" s="27" t="s">
        <v>33</v>
      </c>
      <c r="C23" s="33">
        <v>147</v>
      </c>
      <c r="D23" s="29"/>
      <c r="E23" s="50">
        <v>3</v>
      </c>
      <c r="F23" s="51"/>
      <c r="G23" s="25"/>
      <c r="H23" s="51">
        <v>8</v>
      </c>
      <c r="I23" s="52">
        <f>C23-D23-D24-E23-E24+F23+F24-H23-H24-I24</f>
        <v>136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2</v>
      </c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20</v>
      </c>
      <c r="D26" s="41">
        <v>1</v>
      </c>
      <c r="E26" s="42"/>
      <c r="F26" s="43"/>
      <c r="G26" s="113"/>
      <c r="H26" s="43"/>
      <c r="I26" s="45">
        <f t="shared" si="0"/>
        <v>19</v>
      </c>
    </row>
    <row r="27" spans="1:9" ht="17.25" customHeight="1" x14ac:dyDescent="0.3">
      <c r="A27" s="320"/>
      <c r="B27" s="21" t="s">
        <v>37</v>
      </c>
      <c r="C27" s="46">
        <v>26</v>
      </c>
      <c r="D27" s="23">
        <v>1</v>
      </c>
      <c r="E27" s="47"/>
      <c r="F27" s="48"/>
      <c r="G27" s="112"/>
      <c r="H27" s="48">
        <v>6</v>
      </c>
      <c r="I27" s="49">
        <f t="shared" si="0"/>
        <v>19</v>
      </c>
    </row>
    <row r="28" spans="1:9" ht="17.25" customHeight="1" x14ac:dyDescent="0.3">
      <c r="A28" s="320"/>
      <c r="B28" s="160" t="s">
        <v>38</v>
      </c>
      <c r="C28" s="55">
        <v>38</v>
      </c>
      <c r="D28" s="41"/>
      <c r="E28" s="42"/>
      <c r="F28" s="43"/>
      <c r="G28" s="113"/>
      <c r="H28" s="43"/>
      <c r="I28" s="45">
        <f t="shared" si="0"/>
        <v>38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78</v>
      </c>
      <c r="D30" s="29">
        <v>2</v>
      </c>
      <c r="E30" s="50"/>
      <c r="F30" s="51"/>
      <c r="G30" s="25"/>
      <c r="H30" s="51"/>
      <c r="I30" s="52">
        <f>C30-D30-D31-E30-E31+F30+F31-H30-H31-I31</f>
        <v>76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24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18</v>
      </c>
      <c r="D46" s="23"/>
      <c r="E46" s="47"/>
      <c r="F46" s="48"/>
      <c r="G46" s="116"/>
      <c r="H46" s="48"/>
      <c r="I46" s="49">
        <f t="shared" si="0"/>
        <v>18</v>
      </c>
    </row>
    <row r="47" spans="1:9" ht="17.25" customHeight="1" x14ac:dyDescent="0.3">
      <c r="A47" s="320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560</v>
      </c>
      <c r="D51" s="66">
        <f>SUM(D13:D46)</f>
        <v>10</v>
      </c>
      <c r="E51" s="67">
        <f>SUM(E13:E46)</f>
        <v>13</v>
      </c>
      <c r="F51" s="67">
        <f>SUM(F13:F46)</f>
        <v>0</v>
      </c>
      <c r="G51" s="68" t="s">
        <v>22</v>
      </c>
      <c r="H51" s="69">
        <f>SUM(H13:H46)</f>
        <v>35</v>
      </c>
      <c r="I51" s="70">
        <f>SUM(I13:I46)</f>
        <v>518.5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3</v>
      </c>
      <c r="F53" s="334"/>
      <c r="G53" s="334">
        <v>7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56600</v>
      </c>
      <c r="F55" s="341"/>
      <c r="G55" s="341">
        <v>65700</v>
      </c>
      <c r="H55" s="334"/>
      <c r="I55" s="348">
        <v>144000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474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476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475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477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462</v>
      </c>
      <c r="D61" s="346"/>
      <c r="E61" s="346"/>
      <c r="F61" s="346"/>
      <c r="G61" s="346"/>
      <c r="H61" s="346"/>
      <c r="I61" s="347"/>
    </row>
    <row r="62" spans="1:10" s="76" customFormat="1" ht="34.5" customHeight="1" x14ac:dyDescent="0.3">
      <c r="A62" s="326"/>
      <c r="B62" s="327"/>
      <c r="C62" s="359" t="s">
        <v>471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472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 t="s">
        <v>473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463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464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465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466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467</v>
      </c>
      <c r="E79" s="94">
        <v>0.8125</v>
      </c>
      <c r="F79" s="93" t="s">
        <v>468</v>
      </c>
      <c r="G79" s="385" t="s">
        <v>469</v>
      </c>
      <c r="H79" s="386"/>
      <c r="I79" s="95" t="s">
        <v>470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3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478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479</v>
      </c>
      <c r="D3" s="5" t="s">
        <v>4</v>
      </c>
      <c r="E3" s="302"/>
      <c r="F3" s="309" t="s">
        <v>480</v>
      </c>
      <c r="G3" s="310"/>
      <c r="H3" s="311">
        <f>G11+'14일'!H3:I3</f>
        <v>33821600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491</v>
      </c>
      <c r="F6" s="15" t="s">
        <v>492</v>
      </c>
      <c r="G6" s="16" t="s">
        <v>493</v>
      </c>
      <c r="H6" s="17">
        <v>0.48</v>
      </c>
      <c r="I6" s="18">
        <v>0.35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2187800</v>
      </c>
      <c r="D11" s="102">
        <v>165</v>
      </c>
      <c r="E11" s="109">
        <f>SUM(E55:I56)</f>
        <v>256400</v>
      </c>
      <c r="F11" s="109">
        <f>SUM(E53:I54)</f>
        <v>10</v>
      </c>
      <c r="G11" s="110">
        <f>C11+E11</f>
        <v>2444200</v>
      </c>
      <c r="H11" s="110">
        <f>D11+F11</f>
        <v>175</v>
      </c>
      <c r="I11" s="111">
        <f>G11/H11</f>
        <v>13966.857142857143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24</v>
      </c>
      <c r="D13" s="23"/>
      <c r="E13" s="22"/>
      <c r="F13" s="24"/>
      <c r="G13" s="25"/>
      <c r="H13" s="23"/>
      <c r="I13" s="26">
        <f>C13-D13-D14*1/2-E13-E14*1/2+F13-H13-H14*1/2-I14*1/2</f>
        <v>23.5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22</v>
      </c>
      <c r="D15" s="29"/>
      <c r="E15" s="30"/>
      <c r="F15" s="34"/>
      <c r="G15" s="25"/>
      <c r="H15" s="29"/>
      <c r="I15" s="35">
        <f>C15-D15-D16*1/2-E15-E16*1/2+F15-H15-H16*1/2-I16*1/2</f>
        <v>21.5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26</v>
      </c>
      <c r="D17" s="29"/>
      <c r="E17" s="30">
        <v>1</v>
      </c>
      <c r="F17" s="34"/>
      <c r="G17" s="118"/>
      <c r="H17" s="29"/>
      <c r="I17" s="37">
        <f>C17-D17-D18*1/2-E17-E18*1/2+F17-H17-H18*1/2-I18*1/2</f>
        <v>25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>
        <v>1</v>
      </c>
      <c r="F19" s="34"/>
      <c r="G19" s="25"/>
      <c r="H19" s="29"/>
      <c r="I19" s="35">
        <f>C19-D19-D20*1/2-E19-E20*1/2+F19-H19-H20*1/2-I20*1/2</f>
        <v>11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79</v>
      </c>
      <c r="D21" s="41"/>
      <c r="E21" s="42">
        <v>2</v>
      </c>
      <c r="F21" s="43"/>
      <c r="G21" s="44"/>
      <c r="H21" s="43"/>
      <c r="I21" s="45">
        <f t="shared" ref="I21:I48" si="0">C21-D21-E21+F21-H21</f>
        <v>77</v>
      </c>
    </row>
    <row r="22" spans="1:9" ht="17.25" customHeight="1" x14ac:dyDescent="0.3">
      <c r="A22" s="320"/>
      <c r="B22" s="21" t="s">
        <v>32</v>
      </c>
      <c r="C22" s="46">
        <v>41</v>
      </c>
      <c r="D22" s="23"/>
      <c r="E22" s="47">
        <v>2</v>
      </c>
      <c r="F22" s="48"/>
      <c r="G22" s="25"/>
      <c r="H22" s="48"/>
      <c r="I22" s="49">
        <f t="shared" si="0"/>
        <v>39</v>
      </c>
    </row>
    <row r="23" spans="1:9" ht="17.25" customHeight="1" x14ac:dyDescent="0.3">
      <c r="A23" s="320"/>
      <c r="B23" s="27" t="s">
        <v>33</v>
      </c>
      <c r="C23" s="33">
        <v>160</v>
      </c>
      <c r="D23" s="29"/>
      <c r="E23" s="50">
        <v>3</v>
      </c>
      <c r="F23" s="51"/>
      <c r="G23" s="25"/>
      <c r="H23" s="51"/>
      <c r="I23" s="52">
        <f>C23-D23-D24-E23-E24+F23+F24-H23-H24-I24</f>
        <v>157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22</v>
      </c>
      <c r="D25" s="23"/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42</v>
      </c>
      <c r="D26" s="41"/>
      <c r="E26" s="42"/>
      <c r="F26" s="43"/>
      <c r="G26" s="113"/>
      <c r="H26" s="43"/>
      <c r="I26" s="45">
        <f t="shared" si="0"/>
        <v>42</v>
      </c>
    </row>
    <row r="27" spans="1:9" ht="17.25" customHeight="1" x14ac:dyDescent="0.3">
      <c r="A27" s="320"/>
      <c r="B27" s="21" t="s">
        <v>37</v>
      </c>
      <c r="C27" s="46">
        <v>34</v>
      </c>
      <c r="D27" s="23">
        <v>34</v>
      </c>
      <c r="E27" s="47"/>
      <c r="F27" s="48"/>
      <c r="G27" s="112"/>
      <c r="H27" s="48"/>
      <c r="I27" s="49">
        <f t="shared" si="0"/>
        <v>0</v>
      </c>
    </row>
    <row r="28" spans="1:9" ht="17.25" customHeight="1" x14ac:dyDescent="0.3">
      <c r="A28" s="320"/>
      <c r="B28" s="160" t="s">
        <v>38</v>
      </c>
      <c r="C28" s="55">
        <v>47</v>
      </c>
      <c r="D28" s="41">
        <v>47</v>
      </c>
      <c r="E28" s="42"/>
      <c r="F28" s="43"/>
      <c r="G28" s="113"/>
      <c r="H28" s="43"/>
      <c r="I28" s="45">
        <f t="shared" si="0"/>
        <v>0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97</v>
      </c>
      <c r="D30" s="29"/>
      <c r="E30" s="50">
        <v>1</v>
      </c>
      <c r="F30" s="51"/>
      <c r="G30" s="25"/>
      <c r="H30" s="51">
        <v>14</v>
      </c>
      <c r="I30" s="52">
        <f>C30-D30-D31-E30-E31+F30+F31-H30-H31-I31</f>
        <v>82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41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0"/>
      <c r="B47" s="120" t="s">
        <v>88</v>
      </c>
      <c r="C47" s="121">
        <v>10</v>
      </c>
      <c r="D47" s="122"/>
      <c r="E47" s="123"/>
      <c r="F47" s="124"/>
      <c r="G47" s="112"/>
      <c r="H47" s="124"/>
      <c r="I47" s="52">
        <f t="shared" si="0"/>
        <v>10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661</v>
      </c>
      <c r="D51" s="66">
        <f>SUM(D13:D46)</f>
        <v>81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14</v>
      </c>
      <c r="I51" s="70">
        <f>SUM(I13:I46)</f>
        <v>579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/>
      <c r="G53" s="334">
        <v>7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68800</v>
      </c>
      <c r="F55" s="341"/>
      <c r="G55" s="341">
        <v>149000</v>
      </c>
      <c r="H55" s="334"/>
      <c r="I55" s="348">
        <v>38600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497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498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499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/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481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490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 t="s">
        <v>495</v>
      </c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 t="s">
        <v>496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483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482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494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484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485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486</v>
      </c>
      <c r="E79" s="94">
        <v>0.8125</v>
      </c>
      <c r="F79" s="93" t="s">
        <v>487</v>
      </c>
      <c r="G79" s="385" t="s">
        <v>488</v>
      </c>
      <c r="H79" s="386"/>
      <c r="I79" s="95" t="s">
        <v>489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" zoomScale="90" zoomScaleNormal="90" workbookViewId="0">
      <selection activeCell="D21" sqref="D2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500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501</v>
      </c>
      <c r="D3" s="5" t="s">
        <v>4</v>
      </c>
      <c r="E3" s="302"/>
      <c r="F3" s="309" t="s">
        <v>506</v>
      </c>
      <c r="G3" s="310"/>
      <c r="H3" s="311">
        <f>G11+'15일'!H3:I3</f>
        <v>36097300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503</v>
      </c>
      <c r="F6" s="15" t="s">
        <v>504</v>
      </c>
      <c r="G6" s="16" t="s">
        <v>502</v>
      </c>
      <c r="H6" s="17">
        <v>0.34</v>
      </c>
      <c r="I6" s="18">
        <v>0.32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2057700</v>
      </c>
      <c r="D11" s="102">
        <v>135</v>
      </c>
      <c r="E11" s="109">
        <f>SUM(E55:I56)</f>
        <v>218000</v>
      </c>
      <c r="F11" s="109">
        <f>SUM(E53:I54)</f>
        <v>13</v>
      </c>
      <c r="G11" s="110">
        <f>C11+E11</f>
        <v>2275700</v>
      </c>
      <c r="H11" s="110">
        <f>D11+F11</f>
        <v>148</v>
      </c>
      <c r="I11" s="111">
        <f>G11/H11</f>
        <v>15376.351351351352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23</v>
      </c>
      <c r="D13" s="23"/>
      <c r="E13" s="22"/>
      <c r="F13" s="24"/>
      <c r="G13" s="25"/>
      <c r="H13" s="23"/>
      <c r="I13" s="26">
        <f>C13-D13-D14*1/2-E13-E14*1/2+F13-H13-H14*1/2-I14*1/2</f>
        <v>22.5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22</v>
      </c>
      <c r="D15" s="29"/>
      <c r="E15" s="30"/>
      <c r="F15" s="34"/>
      <c r="G15" s="25"/>
      <c r="H15" s="29">
        <v>1</v>
      </c>
      <c r="I15" s="35">
        <f>C15-D15-D16*1/2-E15-E16*1/2+F15-H15-H16*1/2-I16*1/2</f>
        <v>20.5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24</v>
      </c>
      <c r="D17" s="29"/>
      <c r="E17" s="30"/>
      <c r="F17" s="34"/>
      <c r="G17" s="118"/>
      <c r="H17" s="29"/>
      <c r="I17" s="37">
        <f>C17-D17-D18*1/2-E17-E18*1/2+F17-H17-H18*1/2-I18*1/2</f>
        <v>23.5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/>
      <c r="F19" s="34"/>
      <c r="G19" s="25"/>
      <c r="H19" s="29">
        <v>3</v>
      </c>
      <c r="I19" s="35">
        <f>C19-D19-D20*1/2-E19-E20*1/2+F19-H19-H20*1/2-I20*1/2</f>
        <v>8.5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58</v>
      </c>
      <c r="D21" s="41"/>
      <c r="E21" s="42">
        <v>3</v>
      </c>
      <c r="F21" s="43"/>
      <c r="G21" s="44"/>
      <c r="H21" s="43">
        <v>1</v>
      </c>
      <c r="I21" s="45">
        <f t="shared" ref="I21:I48" si="0">C21-D21-E21+F21-H21</f>
        <v>54</v>
      </c>
    </row>
    <row r="22" spans="1:9" ht="17.25" customHeight="1" x14ac:dyDescent="0.3">
      <c r="A22" s="320"/>
      <c r="B22" s="21" t="s">
        <v>32</v>
      </c>
      <c r="C22" s="46">
        <v>31</v>
      </c>
      <c r="D22" s="23"/>
      <c r="E22" s="47">
        <v>2</v>
      </c>
      <c r="F22" s="48"/>
      <c r="G22" s="25"/>
      <c r="H22" s="48">
        <v>19</v>
      </c>
      <c r="I22" s="49">
        <f t="shared" si="0"/>
        <v>10</v>
      </c>
    </row>
    <row r="23" spans="1:9" ht="17.25" customHeight="1" x14ac:dyDescent="0.3">
      <c r="A23" s="320"/>
      <c r="B23" s="27" t="s">
        <v>33</v>
      </c>
      <c r="C23" s="33">
        <v>177</v>
      </c>
      <c r="D23" s="29"/>
      <c r="E23" s="50">
        <v>3</v>
      </c>
      <c r="F23" s="51"/>
      <c r="G23" s="25"/>
      <c r="H23" s="51">
        <v>57</v>
      </c>
      <c r="I23" s="52">
        <f>C23-D23-D24-E23-E24+F23+F24-H23-H24-I24</f>
        <v>95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2</v>
      </c>
      <c r="F24" s="43"/>
      <c r="G24" s="113"/>
      <c r="H24" s="43">
        <v>20</v>
      </c>
      <c r="I24" s="54"/>
    </row>
    <row r="25" spans="1:9" ht="17.25" customHeight="1" x14ac:dyDescent="0.3">
      <c r="A25" s="320"/>
      <c r="B25" s="21" t="s">
        <v>35</v>
      </c>
      <c r="C25" s="46">
        <v>36</v>
      </c>
      <c r="D25" s="23"/>
      <c r="E25" s="47">
        <v>2</v>
      </c>
      <c r="F25" s="48"/>
      <c r="G25" s="112"/>
      <c r="H25" s="48">
        <v>10</v>
      </c>
      <c r="I25" s="49">
        <f t="shared" si="0"/>
        <v>24</v>
      </c>
    </row>
    <row r="26" spans="1:9" ht="17.25" customHeight="1" x14ac:dyDescent="0.3">
      <c r="A26" s="320"/>
      <c r="B26" s="160" t="s">
        <v>36</v>
      </c>
      <c r="C26" s="55">
        <v>35</v>
      </c>
      <c r="D26" s="41"/>
      <c r="E26" s="42"/>
      <c r="F26" s="43"/>
      <c r="G26" s="113"/>
      <c r="H26" s="43"/>
      <c r="I26" s="45">
        <f t="shared" si="0"/>
        <v>35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/>
      <c r="F27" s="48"/>
      <c r="G27" s="112"/>
      <c r="H27" s="48">
        <v>1</v>
      </c>
      <c r="I27" s="49">
        <f t="shared" si="0"/>
        <v>26</v>
      </c>
    </row>
    <row r="28" spans="1:9" ht="17.25" customHeight="1" x14ac:dyDescent="0.3">
      <c r="A28" s="320"/>
      <c r="B28" s="160" t="s">
        <v>38</v>
      </c>
      <c r="C28" s="55">
        <v>38</v>
      </c>
      <c r="D28" s="41"/>
      <c r="E28" s="42"/>
      <c r="F28" s="43"/>
      <c r="G28" s="113"/>
      <c r="H28" s="43">
        <v>9</v>
      </c>
      <c r="I28" s="45">
        <f t="shared" si="0"/>
        <v>29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73</v>
      </c>
      <c r="D30" s="29">
        <v>1</v>
      </c>
      <c r="E30" s="50"/>
      <c r="F30" s="51"/>
      <c r="G30" s="25"/>
      <c r="H30" s="51">
        <v>8</v>
      </c>
      <c r="I30" s="52">
        <f>C30-D30-D31-E30-E31+F30+F31-H30-H31-I31</f>
        <v>64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8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14</v>
      </c>
      <c r="D46" s="23"/>
      <c r="E46" s="47"/>
      <c r="F46" s="48"/>
      <c r="G46" s="116"/>
      <c r="H46" s="48">
        <v>6</v>
      </c>
      <c r="I46" s="49">
        <f t="shared" si="0"/>
        <v>8</v>
      </c>
    </row>
    <row r="47" spans="1:9" ht="17.25" customHeight="1" x14ac:dyDescent="0.3">
      <c r="A47" s="320"/>
      <c r="B47" s="120" t="s">
        <v>88</v>
      </c>
      <c r="C47" s="121">
        <v>10</v>
      </c>
      <c r="D47" s="122"/>
      <c r="E47" s="123"/>
      <c r="F47" s="124"/>
      <c r="G47" s="112"/>
      <c r="H47" s="124">
        <v>5</v>
      </c>
      <c r="I47" s="52">
        <f t="shared" si="0"/>
        <v>5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>
        <v>3</v>
      </c>
      <c r="I48" s="52">
        <f t="shared" si="0"/>
        <v>7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615</v>
      </c>
      <c r="D51" s="66">
        <f>SUM(D13:D46)</f>
        <v>1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135</v>
      </c>
      <c r="I51" s="70">
        <f>SUM(I13:I46)</f>
        <v>456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5</v>
      </c>
      <c r="F53" s="334"/>
      <c r="G53" s="334">
        <v>8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104100</v>
      </c>
      <c r="F55" s="341"/>
      <c r="G55" s="341">
        <v>113900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518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519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520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521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505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514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517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507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515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 t="s">
        <v>516</v>
      </c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508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509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510</v>
      </c>
      <c r="E79" s="94">
        <v>0.77083333333333337</v>
      </c>
      <c r="F79" s="93" t="s">
        <v>511</v>
      </c>
      <c r="G79" s="385" t="s">
        <v>512</v>
      </c>
      <c r="H79" s="386"/>
      <c r="I79" s="95" t="s">
        <v>513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522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523</v>
      </c>
      <c r="D3" s="5" t="s">
        <v>4</v>
      </c>
      <c r="E3" s="302"/>
      <c r="F3" s="309"/>
      <c r="G3" s="310"/>
      <c r="H3" s="311">
        <f>G11+'16일'!H3:I3</f>
        <v>37619900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526</v>
      </c>
      <c r="F6" s="15" t="s">
        <v>524</v>
      </c>
      <c r="G6" s="16" t="s">
        <v>525</v>
      </c>
      <c r="H6" s="17">
        <v>0.3</v>
      </c>
      <c r="I6" s="18">
        <v>0.31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1176200</v>
      </c>
      <c r="D11" s="102">
        <v>82</v>
      </c>
      <c r="E11" s="109">
        <f>SUM(E55:I56)</f>
        <v>346400</v>
      </c>
      <c r="F11" s="109">
        <f>SUM(E53:I54)</f>
        <v>18</v>
      </c>
      <c r="G11" s="110">
        <f>C11+E11</f>
        <v>1522600</v>
      </c>
      <c r="H11" s="110">
        <f>D11+F11</f>
        <v>100</v>
      </c>
      <c r="I11" s="111">
        <f>G11/H11</f>
        <v>15226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16</v>
      </c>
      <c r="D13" s="23"/>
      <c r="E13" s="22"/>
      <c r="F13" s="24"/>
      <c r="G13" s="25"/>
      <c r="H13" s="23">
        <v>1</v>
      </c>
      <c r="I13" s="26">
        <f>C13-D13-D14*1/2-E13-E14*1/2+F13-H13-H14*1/2-I14*1/2</f>
        <v>14.5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17</v>
      </c>
      <c r="D15" s="29"/>
      <c r="E15" s="30"/>
      <c r="F15" s="34"/>
      <c r="G15" s="25"/>
      <c r="H15" s="29">
        <v>2</v>
      </c>
      <c r="I15" s="35">
        <f>C15-D15-D16*1/2-E15-E16*1/2+F15-H15-H16*1/2-I16*1/2</f>
        <v>15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20</v>
      </c>
      <c r="D17" s="29"/>
      <c r="E17" s="30"/>
      <c r="F17" s="34"/>
      <c r="G17" s="118"/>
      <c r="H17" s="29">
        <v>2</v>
      </c>
      <c r="I17" s="37">
        <f>C17-D17-D18*1/2-E17-E18*1/2+F17-H17-H18*1/2-I18*1/2</f>
        <v>17.5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8</v>
      </c>
      <c r="D19" s="29"/>
      <c r="E19" s="30"/>
      <c r="F19" s="34"/>
      <c r="G19" s="25"/>
      <c r="H19" s="29">
        <v>1</v>
      </c>
      <c r="I19" s="35">
        <f>C19-D19-D20*1/2-E19-E20*1/2+F19-H19-H20*1/2-I20*1/2</f>
        <v>6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>
        <v>1</v>
      </c>
      <c r="I20" s="38"/>
    </row>
    <row r="21" spans="1:9" ht="17.25" customHeight="1" x14ac:dyDescent="0.3">
      <c r="A21" s="320"/>
      <c r="B21" s="39" t="s">
        <v>31</v>
      </c>
      <c r="C21" s="40">
        <v>95</v>
      </c>
      <c r="D21" s="41"/>
      <c r="E21" s="42">
        <v>4</v>
      </c>
      <c r="F21" s="43"/>
      <c r="G21" s="44"/>
      <c r="H21" s="43">
        <v>19</v>
      </c>
      <c r="I21" s="45">
        <f t="shared" ref="I21:I48" si="0">C21-D21-E21+F21-H21</f>
        <v>72</v>
      </c>
    </row>
    <row r="22" spans="1:9" ht="17.25" customHeight="1" x14ac:dyDescent="0.3">
      <c r="A22" s="320"/>
      <c r="B22" s="21" t="s">
        <v>32</v>
      </c>
      <c r="C22" s="46">
        <v>40</v>
      </c>
      <c r="D22" s="23">
        <v>2</v>
      </c>
      <c r="E22" s="47">
        <v>4</v>
      </c>
      <c r="F22" s="48"/>
      <c r="G22" s="25"/>
      <c r="H22" s="48">
        <v>4</v>
      </c>
      <c r="I22" s="49">
        <f t="shared" si="0"/>
        <v>30</v>
      </c>
    </row>
    <row r="23" spans="1:9" ht="17.25" customHeight="1" x14ac:dyDescent="0.3">
      <c r="A23" s="320"/>
      <c r="B23" s="27" t="s">
        <v>33</v>
      </c>
      <c r="C23" s="33">
        <v>93</v>
      </c>
      <c r="D23" s="29">
        <v>4</v>
      </c>
      <c r="E23" s="50">
        <v>2</v>
      </c>
      <c r="F23" s="51"/>
      <c r="G23" s="25"/>
      <c r="H23" s="51"/>
      <c r="I23" s="52">
        <f>C23-D23-D24-E23-E24+F23+F24-H23-H24-I24</f>
        <v>82</v>
      </c>
    </row>
    <row r="24" spans="1:9" ht="17.25" customHeight="1" x14ac:dyDescent="0.3">
      <c r="A24" s="320"/>
      <c r="B24" s="160" t="s">
        <v>34</v>
      </c>
      <c r="C24" s="53"/>
      <c r="D24" s="41">
        <v>2</v>
      </c>
      <c r="E24" s="42">
        <v>1</v>
      </c>
      <c r="F24" s="43"/>
      <c r="G24" s="113"/>
      <c r="H24" s="43">
        <v>2</v>
      </c>
      <c r="I24" s="54"/>
    </row>
    <row r="25" spans="1:9" ht="17.25" customHeight="1" x14ac:dyDescent="0.3">
      <c r="A25" s="320"/>
      <c r="B25" s="21" t="s">
        <v>35</v>
      </c>
      <c r="C25" s="46">
        <v>21</v>
      </c>
      <c r="D25" s="23"/>
      <c r="E25" s="47"/>
      <c r="F25" s="48"/>
      <c r="G25" s="112"/>
      <c r="H25" s="48">
        <v>8</v>
      </c>
      <c r="I25" s="49">
        <f t="shared" si="0"/>
        <v>13</v>
      </c>
    </row>
    <row r="26" spans="1:9" ht="17.25" customHeight="1" x14ac:dyDescent="0.3">
      <c r="A26" s="320"/>
      <c r="B26" s="160" t="s">
        <v>36</v>
      </c>
      <c r="C26" s="55">
        <v>43</v>
      </c>
      <c r="D26" s="41"/>
      <c r="E26" s="42"/>
      <c r="F26" s="43"/>
      <c r="G26" s="113"/>
      <c r="H26" s="43">
        <v>6</v>
      </c>
      <c r="I26" s="45">
        <f t="shared" si="0"/>
        <v>37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>
        <v>2</v>
      </c>
      <c r="F27" s="48"/>
      <c r="G27" s="112"/>
      <c r="H27" s="48">
        <v>13</v>
      </c>
      <c r="I27" s="49">
        <f t="shared" si="0"/>
        <v>12</v>
      </c>
    </row>
    <row r="28" spans="1:9" ht="17.25" customHeight="1" x14ac:dyDescent="0.3">
      <c r="A28" s="320"/>
      <c r="B28" s="160" t="s">
        <v>38</v>
      </c>
      <c r="C28" s="55">
        <v>39</v>
      </c>
      <c r="D28" s="41"/>
      <c r="E28" s="42">
        <v>3</v>
      </c>
      <c r="F28" s="43"/>
      <c r="G28" s="113"/>
      <c r="H28" s="43">
        <v>16</v>
      </c>
      <c r="I28" s="45">
        <f t="shared" si="0"/>
        <v>20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3</v>
      </c>
      <c r="I29" s="49">
        <f t="shared" si="0"/>
        <v>2</v>
      </c>
    </row>
    <row r="30" spans="1:9" ht="17.25" customHeight="1" x14ac:dyDescent="0.3">
      <c r="A30" s="320"/>
      <c r="B30" s="56" t="s">
        <v>40</v>
      </c>
      <c r="C30" s="57">
        <v>95</v>
      </c>
      <c r="D30" s="29">
        <v>1</v>
      </c>
      <c r="E30" s="50"/>
      <c r="F30" s="51"/>
      <c r="G30" s="25"/>
      <c r="H30" s="51">
        <v>24</v>
      </c>
      <c r="I30" s="52">
        <f>C30-D30-D31-E30-E31+F30+F31-H30-H31-I31</f>
        <v>70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9</v>
      </c>
      <c r="I36" s="52">
        <f>C36-D36-E36+F36-H36</f>
        <v>11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7</v>
      </c>
      <c r="D46" s="23"/>
      <c r="E46" s="47"/>
      <c r="F46" s="48"/>
      <c r="G46" s="116"/>
      <c r="H46" s="48">
        <v>2</v>
      </c>
      <c r="I46" s="49">
        <f t="shared" si="0"/>
        <v>5</v>
      </c>
    </row>
    <row r="47" spans="1:9" ht="17.25" customHeight="1" x14ac:dyDescent="0.3">
      <c r="A47" s="320"/>
      <c r="B47" s="120" t="s">
        <v>88</v>
      </c>
      <c r="C47" s="121">
        <v>5</v>
      </c>
      <c r="D47" s="122"/>
      <c r="E47" s="123"/>
      <c r="F47" s="124"/>
      <c r="G47" s="112"/>
      <c r="H47" s="124"/>
      <c r="I47" s="52">
        <f t="shared" si="0"/>
        <v>5</v>
      </c>
    </row>
    <row r="48" spans="1:9" ht="17.25" customHeight="1" x14ac:dyDescent="0.3">
      <c r="A48" s="320"/>
      <c r="B48" s="56" t="s">
        <v>315</v>
      </c>
      <c r="C48" s="117">
        <v>5</v>
      </c>
      <c r="D48" s="29"/>
      <c r="E48" s="50"/>
      <c r="F48" s="51"/>
      <c r="G48" s="25"/>
      <c r="H48" s="51">
        <v>2</v>
      </c>
      <c r="I48" s="52">
        <f t="shared" si="0"/>
        <v>3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556</v>
      </c>
      <c r="D51" s="66">
        <f>SUM(D13:D46)</f>
        <v>9</v>
      </c>
      <c r="E51" s="67">
        <f>SUM(E13:E46)</f>
        <v>19</v>
      </c>
      <c r="F51" s="67">
        <f>SUM(F13:F46)</f>
        <v>0</v>
      </c>
      <c r="G51" s="68" t="s">
        <v>22</v>
      </c>
      <c r="H51" s="69">
        <f>SUM(H13:H46)</f>
        <v>113</v>
      </c>
      <c r="I51" s="70">
        <f>SUM(I13:I46)</f>
        <v>407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14</v>
      </c>
      <c r="F53" s="334"/>
      <c r="G53" s="334">
        <v>4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290300</v>
      </c>
      <c r="F55" s="341"/>
      <c r="G55" s="341">
        <v>56100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540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541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543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542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527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535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 t="s">
        <v>528</v>
      </c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536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537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538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 t="s">
        <v>539</v>
      </c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529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530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531</v>
      </c>
      <c r="E79" s="94">
        <v>0.79166666666666663</v>
      </c>
      <c r="F79" s="93" t="s">
        <v>532</v>
      </c>
      <c r="G79" s="385" t="s">
        <v>533</v>
      </c>
      <c r="H79" s="386"/>
      <c r="I79" s="95" t="s">
        <v>534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5" zoomScale="90" zoomScaleNormal="90" workbookViewId="0">
      <selection activeCell="C61" sqref="C61:I6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544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545</v>
      </c>
      <c r="D3" s="5" t="s">
        <v>4</v>
      </c>
      <c r="E3" s="302"/>
      <c r="F3" s="309" t="s">
        <v>546</v>
      </c>
      <c r="G3" s="310"/>
      <c r="H3" s="311">
        <f>G11+'17일'!H3:I3</f>
        <v>40130400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548</v>
      </c>
      <c r="F6" s="15" t="s">
        <v>547</v>
      </c>
      <c r="G6" s="16" t="s">
        <v>549</v>
      </c>
      <c r="H6" s="17">
        <v>0.27</v>
      </c>
      <c r="I6" s="18">
        <v>0.3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2334300</v>
      </c>
      <c r="D11" s="102">
        <v>172</v>
      </c>
      <c r="E11" s="109">
        <f>SUM(E55:I56)</f>
        <v>176200</v>
      </c>
      <c r="F11" s="109">
        <f>SUM(E53:I54)</f>
        <v>10</v>
      </c>
      <c r="G11" s="110">
        <f>C11+E11</f>
        <v>2510500</v>
      </c>
      <c r="H11" s="110">
        <f>D11+F11</f>
        <v>182</v>
      </c>
      <c r="I11" s="111">
        <f>G11/H11</f>
        <v>13793.956043956045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17</v>
      </c>
      <c r="D13" s="23"/>
      <c r="E13" s="22"/>
      <c r="F13" s="24"/>
      <c r="G13" s="25"/>
      <c r="H13" s="23"/>
      <c r="I13" s="26">
        <f>C13-D13-D14*1/2-E13-E14*1/2+F13-H13-H14*1/2-I14*1/2</f>
        <v>16.5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14</v>
      </c>
      <c r="D15" s="29"/>
      <c r="E15" s="30"/>
      <c r="F15" s="34"/>
      <c r="G15" s="25"/>
      <c r="H15" s="29"/>
      <c r="I15" s="35">
        <f>C15-D15-D16*1/2-E15-E16*1/2+F15-H15-H16*1/2-I16*1/2</f>
        <v>13.5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20</v>
      </c>
      <c r="D17" s="29"/>
      <c r="E17" s="30"/>
      <c r="F17" s="34"/>
      <c r="G17" s="118"/>
      <c r="H17" s="29"/>
      <c r="I17" s="37">
        <f>C17-D17-D18*1/2-E17-E18*1/2+F17-H17-H18*1/2-I18*1/2</f>
        <v>19.5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12.5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77</v>
      </c>
      <c r="D21" s="41"/>
      <c r="E21" s="42">
        <v>3</v>
      </c>
      <c r="F21" s="43"/>
      <c r="G21" s="44"/>
      <c r="H21" s="43">
        <v>1</v>
      </c>
      <c r="I21" s="45">
        <f t="shared" ref="I21:I48" si="0">C21-D21-E21+F21-H21</f>
        <v>73</v>
      </c>
    </row>
    <row r="22" spans="1:9" ht="17.25" customHeight="1" x14ac:dyDescent="0.3">
      <c r="A22" s="320"/>
      <c r="B22" s="21" t="s">
        <v>32</v>
      </c>
      <c r="C22" s="46">
        <v>36</v>
      </c>
      <c r="D22" s="23"/>
      <c r="E22" s="47">
        <v>2</v>
      </c>
      <c r="F22" s="48"/>
      <c r="G22" s="25"/>
      <c r="H22" s="48"/>
      <c r="I22" s="49">
        <f t="shared" si="0"/>
        <v>34</v>
      </c>
    </row>
    <row r="23" spans="1:9" ht="17.25" customHeight="1" x14ac:dyDescent="0.3">
      <c r="A23" s="320"/>
      <c r="B23" s="27" t="s">
        <v>33</v>
      </c>
      <c r="C23" s="33">
        <v>130</v>
      </c>
      <c r="D23" s="29"/>
      <c r="E23" s="50">
        <v>3</v>
      </c>
      <c r="F23" s="51"/>
      <c r="G23" s="25"/>
      <c r="H23" s="51"/>
      <c r="I23" s="52">
        <f>C23-D23-D24-E23-E24+F23+F24-H23-H24-I24</f>
        <v>125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2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>
        <v>3</v>
      </c>
      <c r="E25" s="47"/>
      <c r="F25" s="48"/>
      <c r="G25" s="112"/>
      <c r="H25" s="48">
        <v>5</v>
      </c>
      <c r="I25" s="49">
        <f t="shared" si="0"/>
        <v>16</v>
      </c>
    </row>
    <row r="26" spans="1:9" ht="17.25" customHeight="1" x14ac:dyDescent="0.3">
      <c r="A26" s="320"/>
      <c r="B26" s="160" t="s">
        <v>36</v>
      </c>
      <c r="C26" s="55">
        <v>22</v>
      </c>
      <c r="D26" s="41"/>
      <c r="E26" s="42"/>
      <c r="F26" s="43"/>
      <c r="G26" s="113"/>
      <c r="H26" s="43"/>
      <c r="I26" s="45">
        <f t="shared" si="0"/>
        <v>22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>
        <v>1</v>
      </c>
      <c r="F27" s="48"/>
      <c r="G27" s="112"/>
      <c r="H27" s="48">
        <v>1</v>
      </c>
      <c r="I27" s="49">
        <f t="shared" si="0"/>
        <v>25</v>
      </c>
    </row>
    <row r="28" spans="1:9" ht="17.25" customHeight="1" x14ac:dyDescent="0.3">
      <c r="A28" s="320"/>
      <c r="B28" s="160" t="s">
        <v>38</v>
      </c>
      <c r="C28" s="55">
        <v>40</v>
      </c>
      <c r="D28" s="41"/>
      <c r="E28" s="42">
        <v>2</v>
      </c>
      <c r="F28" s="43"/>
      <c r="G28" s="113"/>
      <c r="H28" s="43">
        <v>12</v>
      </c>
      <c r="I28" s="45">
        <f t="shared" si="0"/>
        <v>26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77</v>
      </c>
      <c r="D30" s="29"/>
      <c r="E30" s="50">
        <v>1</v>
      </c>
      <c r="F30" s="51"/>
      <c r="G30" s="25"/>
      <c r="H30" s="51"/>
      <c r="I30" s="52">
        <f>C30-D30-D31-E30-E31+F30+F31-H30-H31-I31</f>
        <v>76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9</v>
      </c>
      <c r="D46" s="23"/>
      <c r="E46" s="47"/>
      <c r="F46" s="48"/>
      <c r="G46" s="116"/>
      <c r="H46" s="48"/>
      <c r="I46" s="49">
        <f t="shared" si="0"/>
        <v>9</v>
      </c>
    </row>
    <row r="47" spans="1:9" ht="17.25" customHeight="1" x14ac:dyDescent="0.3">
      <c r="A47" s="320"/>
      <c r="B47" s="120" t="s">
        <v>88</v>
      </c>
      <c r="C47" s="121">
        <v>6</v>
      </c>
      <c r="D47" s="122"/>
      <c r="E47" s="123"/>
      <c r="F47" s="124"/>
      <c r="G47" s="112"/>
      <c r="H47" s="124"/>
      <c r="I47" s="52">
        <f t="shared" si="0"/>
        <v>6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547</v>
      </c>
      <c r="D51" s="66">
        <f>SUM(D13:D46)</f>
        <v>3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19</v>
      </c>
      <c r="I51" s="70">
        <f>SUM(I13:I46)</f>
        <v>493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/>
      <c r="F53" s="334">
        <v>1</v>
      </c>
      <c r="G53" s="334">
        <v>8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/>
      <c r="F55" s="341">
        <v>39900</v>
      </c>
      <c r="G55" s="341">
        <v>98100</v>
      </c>
      <c r="H55" s="334"/>
      <c r="I55" s="348">
        <v>38200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559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560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561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562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557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558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550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551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552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553</v>
      </c>
      <c r="E79" s="94">
        <v>0.8125</v>
      </c>
      <c r="F79" s="93" t="s">
        <v>554</v>
      </c>
      <c r="G79" s="385" t="s">
        <v>555</v>
      </c>
      <c r="H79" s="386"/>
      <c r="I79" s="95" t="s">
        <v>556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C16" zoomScale="90" zoomScaleNormal="90" workbookViewId="0">
      <selection activeCell="N16" sqref="N1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563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564</v>
      </c>
      <c r="D3" s="5" t="s">
        <v>4</v>
      </c>
      <c r="E3" s="302"/>
      <c r="F3" s="309" t="s">
        <v>565</v>
      </c>
      <c r="G3" s="310"/>
      <c r="H3" s="311">
        <f>G11+'18일'!H3:I3</f>
        <v>42746200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567</v>
      </c>
      <c r="F6" s="15" t="s">
        <v>568</v>
      </c>
      <c r="G6" s="16" t="s">
        <v>566</v>
      </c>
      <c r="H6" s="17">
        <v>0.44</v>
      </c>
      <c r="I6" s="18">
        <v>0.35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2313600</v>
      </c>
      <c r="D11" s="102">
        <v>179</v>
      </c>
      <c r="E11" s="109">
        <f>SUM(E55:I56)</f>
        <v>302200</v>
      </c>
      <c r="F11" s="109">
        <f>SUM(E53:I54)</f>
        <v>12</v>
      </c>
      <c r="G11" s="110">
        <f>C11+E11</f>
        <v>2615800</v>
      </c>
      <c r="H11" s="110">
        <f>D11+F11</f>
        <v>191</v>
      </c>
      <c r="I11" s="111">
        <f>G11/H11</f>
        <v>13695.287958115183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/>
      <c r="F13" s="24"/>
      <c r="G13" s="25"/>
      <c r="H13" s="23">
        <v>2</v>
      </c>
      <c r="I13" s="26">
        <f>C13-D13-D14*1/2-E13-E14*1/2+F13-H13-H14*1/2-I14*1/2</f>
        <v>17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20</v>
      </c>
      <c r="D15" s="29"/>
      <c r="E15" s="30"/>
      <c r="F15" s="34"/>
      <c r="G15" s="25"/>
      <c r="H15" s="29">
        <v>7</v>
      </c>
      <c r="I15" s="35">
        <f>C15-D15-D16*1/2-E15-E16*1/2+F15-H15-H16*1/2-I16*1/2</f>
        <v>12.5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16</v>
      </c>
      <c r="D17" s="29"/>
      <c r="E17" s="30">
        <v>1</v>
      </c>
      <c r="F17" s="34"/>
      <c r="G17" s="118"/>
      <c r="H17" s="29">
        <v>7</v>
      </c>
      <c r="I17" s="37">
        <f>C17-D17-D18*1/2-E17-E18*1/2+F17-H17-H18*1/2-I18*1/2</f>
        <v>7.5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/>
      <c r="F19" s="34"/>
      <c r="G19" s="25"/>
      <c r="H19" s="29">
        <v>4</v>
      </c>
      <c r="I19" s="35">
        <f>C19-D19-D20*1/2-E19-E20*1/2+F19-H19-H20*1/2-I20*1/2</f>
        <v>8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73</v>
      </c>
      <c r="D21" s="41"/>
      <c r="E21" s="42">
        <v>2</v>
      </c>
      <c r="F21" s="43"/>
      <c r="G21" s="44"/>
      <c r="H21" s="43">
        <v>24</v>
      </c>
      <c r="I21" s="45">
        <f t="shared" ref="I21:I48" si="0">C21-D21-E21+F21-H21</f>
        <v>47</v>
      </c>
    </row>
    <row r="22" spans="1:9" ht="17.25" customHeight="1" x14ac:dyDescent="0.3">
      <c r="A22" s="320"/>
      <c r="B22" s="21" t="s">
        <v>32</v>
      </c>
      <c r="C22" s="46">
        <v>33</v>
      </c>
      <c r="D22" s="23"/>
      <c r="E22" s="47">
        <v>1</v>
      </c>
      <c r="F22" s="48"/>
      <c r="G22" s="25"/>
      <c r="H22" s="48">
        <v>2</v>
      </c>
      <c r="I22" s="49">
        <f t="shared" si="0"/>
        <v>30</v>
      </c>
    </row>
    <row r="23" spans="1:9" ht="17.25" customHeight="1" x14ac:dyDescent="0.3">
      <c r="A23" s="320"/>
      <c r="B23" s="27" t="s">
        <v>33</v>
      </c>
      <c r="C23" s="33">
        <v>133</v>
      </c>
      <c r="D23" s="29"/>
      <c r="E23" s="50">
        <v>3</v>
      </c>
      <c r="F23" s="51"/>
      <c r="G23" s="25"/>
      <c r="H23" s="51">
        <v>8</v>
      </c>
      <c r="I23" s="52">
        <f>C23-D23-D24-E23-E24+F23+F24-H23-H24-I24</f>
        <v>105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3</v>
      </c>
      <c r="F24" s="43"/>
      <c r="G24" s="113"/>
      <c r="H24" s="43">
        <v>14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4</v>
      </c>
      <c r="I25" s="49">
        <f t="shared" si="0"/>
        <v>20</v>
      </c>
    </row>
    <row r="26" spans="1:9" ht="17.25" customHeight="1" x14ac:dyDescent="0.3">
      <c r="A26" s="320"/>
      <c r="B26" s="160" t="s">
        <v>36</v>
      </c>
      <c r="C26" s="55">
        <v>42</v>
      </c>
      <c r="D26" s="41"/>
      <c r="E26" s="42">
        <v>1</v>
      </c>
      <c r="F26" s="43"/>
      <c r="G26" s="113"/>
      <c r="H26" s="43">
        <v>1</v>
      </c>
      <c r="I26" s="45">
        <f t="shared" si="0"/>
        <v>40</v>
      </c>
    </row>
    <row r="27" spans="1:9" ht="17.25" customHeight="1" x14ac:dyDescent="0.3">
      <c r="A27" s="320"/>
      <c r="B27" s="21" t="s">
        <v>37</v>
      </c>
      <c r="C27" s="46">
        <v>18</v>
      </c>
      <c r="D27" s="23"/>
      <c r="E27" s="47"/>
      <c r="F27" s="48"/>
      <c r="G27" s="112"/>
      <c r="H27" s="48"/>
      <c r="I27" s="49">
        <f t="shared" si="0"/>
        <v>18</v>
      </c>
    </row>
    <row r="28" spans="1:9" ht="17.25" customHeight="1" x14ac:dyDescent="0.3">
      <c r="A28" s="320"/>
      <c r="B28" s="160" t="s">
        <v>38</v>
      </c>
      <c r="C28" s="55">
        <v>22</v>
      </c>
      <c r="D28" s="41"/>
      <c r="E28" s="42"/>
      <c r="F28" s="43"/>
      <c r="G28" s="113"/>
      <c r="H28" s="43">
        <v>7</v>
      </c>
      <c r="I28" s="45">
        <f t="shared" si="0"/>
        <v>15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/>
      <c r="D30" s="29"/>
      <c r="E30" s="50"/>
      <c r="F30" s="51"/>
      <c r="G30" s="25"/>
      <c r="H30" s="51">
        <v>10</v>
      </c>
      <c r="I30" s="52">
        <f>C30-D30-D31-E30-E31+F30+F31-H30-H31-I31</f>
        <v>-10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3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26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22</v>
      </c>
      <c r="D46" s="23"/>
      <c r="E46" s="47"/>
      <c r="F46" s="48"/>
      <c r="G46" s="116"/>
      <c r="H46" s="48"/>
      <c r="I46" s="49">
        <f t="shared" si="0"/>
        <v>22</v>
      </c>
    </row>
    <row r="47" spans="1:9" ht="17.25" customHeight="1" x14ac:dyDescent="0.3">
      <c r="A47" s="320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20"/>
      <c r="B48" s="56" t="s">
        <v>569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474</v>
      </c>
      <c r="D51" s="66">
        <f>SUM(D13:D46)</f>
        <v>0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91</v>
      </c>
      <c r="I51" s="70">
        <f>SUM(I13:I46)</f>
        <v>389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4</v>
      </c>
      <c r="F53" s="334"/>
      <c r="G53" s="334">
        <v>7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79800</v>
      </c>
      <c r="F55" s="341"/>
      <c r="G55" s="341">
        <v>71200</v>
      </c>
      <c r="H55" s="334"/>
      <c r="I55" s="348">
        <v>151200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578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579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580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/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571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570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572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573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574</v>
      </c>
      <c r="E79" s="94">
        <v>0.8125</v>
      </c>
      <c r="F79" s="93" t="s">
        <v>575</v>
      </c>
      <c r="G79" s="385" t="s">
        <v>576</v>
      </c>
      <c r="H79" s="386"/>
      <c r="I79" s="95" t="s">
        <v>577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9" zoomScale="90" zoomScaleNormal="90" workbookViewId="0">
      <selection activeCell="D55" sqref="D55:D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581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582</v>
      </c>
      <c r="D3" s="5" t="s">
        <v>4</v>
      </c>
      <c r="E3" s="302"/>
      <c r="F3" s="309" t="s">
        <v>583</v>
      </c>
      <c r="G3" s="310"/>
      <c r="H3" s="311">
        <f>G11+'19일'!H3:I3</f>
        <v>44404900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585</v>
      </c>
      <c r="F6" s="15" t="s">
        <v>586</v>
      </c>
      <c r="G6" s="16" t="s">
        <v>584</v>
      </c>
      <c r="H6" s="17">
        <v>0.86</v>
      </c>
      <c r="I6" s="18">
        <v>0.45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1368600</v>
      </c>
      <c r="D11" s="102">
        <v>100</v>
      </c>
      <c r="E11" s="109">
        <f>SUM(E55:I56)</f>
        <v>290100</v>
      </c>
      <c r="F11" s="109">
        <f>SUM(E53:I54)</f>
        <v>11</v>
      </c>
      <c r="G11" s="110">
        <f>C11+E11</f>
        <v>1658700</v>
      </c>
      <c r="H11" s="110">
        <f>D11+F11</f>
        <v>111</v>
      </c>
      <c r="I11" s="111">
        <f>G11/H11</f>
        <v>14943.243243243243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21</v>
      </c>
      <c r="D13" s="23"/>
      <c r="E13" s="22"/>
      <c r="F13" s="24"/>
      <c r="G13" s="25"/>
      <c r="H13" s="23">
        <v>9</v>
      </c>
      <c r="I13" s="26">
        <f>C13-D13-D14*1/2-E13-E14*1/2+F13-H13-H14*1/2-I14*1/2</f>
        <v>10.5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2</v>
      </c>
      <c r="I14" s="32"/>
    </row>
    <row r="15" spans="1:9" ht="17.25" customHeight="1" x14ac:dyDescent="0.3">
      <c r="A15" s="320"/>
      <c r="B15" s="27" t="s">
        <v>25</v>
      </c>
      <c r="C15" s="33">
        <v>18</v>
      </c>
      <c r="D15" s="29"/>
      <c r="E15" s="30"/>
      <c r="F15" s="34"/>
      <c r="G15" s="25"/>
      <c r="H15" s="29">
        <v>9</v>
      </c>
      <c r="I15" s="35">
        <f>C15-D15-D16*1/2-E15-E16*1/2+F15-H15-H16*1/2-I16*1/2</f>
        <v>8.5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16</v>
      </c>
      <c r="D17" s="29"/>
      <c r="E17" s="30">
        <v>1</v>
      </c>
      <c r="F17" s="34"/>
      <c r="G17" s="118"/>
      <c r="H17" s="29">
        <v>5</v>
      </c>
      <c r="I17" s="37">
        <f>C17-D17-D18*1/2-E17-E18*1/2+F17-H17-H18*1/2-I18*1/2</f>
        <v>10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/>
      <c r="F19" s="34"/>
      <c r="G19" s="25"/>
      <c r="H19" s="29">
        <v>4</v>
      </c>
      <c r="I19" s="35">
        <f>C19-D19-D20*1/2-E19-E20*1/2+F19-H19-H20*1/2-I20*1/2</f>
        <v>7.5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63</v>
      </c>
      <c r="D21" s="41"/>
      <c r="E21" s="42">
        <v>3</v>
      </c>
      <c r="F21" s="43"/>
      <c r="G21" s="44"/>
      <c r="H21" s="43">
        <v>42</v>
      </c>
      <c r="I21" s="45">
        <f t="shared" ref="I21:I48" si="0">C21-D21-E21+F21-H21</f>
        <v>18</v>
      </c>
    </row>
    <row r="22" spans="1:9" ht="17.25" customHeight="1" x14ac:dyDescent="0.3">
      <c r="A22" s="320"/>
      <c r="B22" s="21" t="s">
        <v>32</v>
      </c>
      <c r="C22" s="46">
        <v>33</v>
      </c>
      <c r="D22" s="23"/>
      <c r="E22" s="47">
        <v>1</v>
      </c>
      <c r="F22" s="48"/>
      <c r="G22" s="25"/>
      <c r="H22" s="48">
        <v>21</v>
      </c>
      <c r="I22" s="49">
        <f t="shared" si="0"/>
        <v>11</v>
      </c>
    </row>
    <row r="23" spans="1:9" ht="17.25" customHeight="1" x14ac:dyDescent="0.3">
      <c r="A23" s="320"/>
      <c r="B23" s="27" t="s">
        <v>33</v>
      </c>
      <c r="C23" s="33">
        <v>93</v>
      </c>
      <c r="D23" s="29"/>
      <c r="E23" s="50">
        <v>2</v>
      </c>
      <c r="F23" s="51"/>
      <c r="G23" s="25"/>
      <c r="H23" s="51">
        <v>13</v>
      </c>
      <c r="I23" s="52">
        <f>C23-D23-D24-E23-E24+F23+F24-H23-H24-I24</f>
        <v>59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>
        <v>19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4</v>
      </c>
      <c r="I25" s="49">
        <f t="shared" si="0"/>
        <v>20</v>
      </c>
    </row>
    <row r="26" spans="1:9" ht="17.25" customHeight="1" x14ac:dyDescent="0.3">
      <c r="A26" s="320"/>
      <c r="B26" s="160" t="s">
        <v>36</v>
      </c>
      <c r="C26" s="55">
        <v>42</v>
      </c>
      <c r="D26" s="41"/>
      <c r="E26" s="42"/>
      <c r="F26" s="43"/>
      <c r="G26" s="113"/>
      <c r="H26" s="43">
        <v>9</v>
      </c>
      <c r="I26" s="45">
        <f t="shared" si="0"/>
        <v>33</v>
      </c>
    </row>
    <row r="27" spans="1:9" ht="17.25" customHeight="1" x14ac:dyDescent="0.3">
      <c r="A27" s="320"/>
      <c r="B27" s="21" t="s">
        <v>37</v>
      </c>
      <c r="C27" s="46">
        <v>18</v>
      </c>
      <c r="D27" s="23"/>
      <c r="E27" s="47"/>
      <c r="F27" s="48"/>
      <c r="G27" s="112"/>
      <c r="H27" s="48">
        <v>10</v>
      </c>
      <c r="I27" s="49">
        <f t="shared" si="0"/>
        <v>8</v>
      </c>
    </row>
    <row r="28" spans="1:9" ht="17.25" customHeight="1" x14ac:dyDescent="0.3">
      <c r="A28" s="320"/>
      <c r="B28" s="160" t="s">
        <v>38</v>
      </c>
      <c r="C28" s="55">
        <v>22</v>
      </c>
      <c r="D28" s="41"/>
      <c r="E28" s="42"/>
      <c r="F28" s="43"/>
      <c r="G28" s="113"/>
      <c r="H28" s="43">
        <v>32</v>
      </c>
      <c r="I28" s="45">
        <f t="shared" si="0"/>
        <v>-10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5</v>
      </c>
      <c r="I29" s="49">
        <f t="shared" si="0"/>
        <v>0</v>
      </c>
    </row>
    <row r="30" spans="1:9" ht="17.25" customHeight="1" x14ac:dyDescent="0.3">
      <c r="A30" s="320"/>
      <c r="B30" s="56" t="s">
        <v>40</v>
      </c>
      <c r="C30" s="57">
        <v>70</v>
      </c>
      <c r="D30" s="29">
        <v>11</v>
      </c>
      <c r="E30" s="50">
        <v>2</v>
      </c>
      <c r="F30" s="51"/>
      <c r="G30" s="25"/>
      <c r="H30" s="51">
        <v>25</v>
      </c>
      <c r="I30" s="52">
        <f>C30-D30-D31-E30-E31+F30+F31-H30-H31-I31</f>
        <v>32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>
        <v>1</v>
      </c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21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2</v>
      </c>
      <c r="F36" s="124"/>
      <c r="G36" s="112"/>
      <c r="H36" s="124">
        <v>3</v>
      </c>
      <c r="I36" s="52">
        <f>C36-D36-E36+F36-H36</f>
        <v>15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5</v>
      </c>
      <c r="D46" s="23"/>
      <c r="E46" s="47"/>
      <c r="F46" s="48"/>
      <c r="G46" s="116"/>
      <c r="H46" s="48"/>
      <c r="I46" s="49">
        <f t="shared" si="0"/>
        <v>5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587</v>
      </c>
      <c r="C48" s="117">
        <v>9</v>
      </c>
      <c r="D48" s="29"/>
      <c r="E48" s="50"/>
      <c r="F48" s="51"/>
      <c r="G48" s="25"/>
      <c r="H48" s="51">
        <v>3</v>
      </c>
      <c r="I48" s="52">
        <f t="shared" si="0"/>
        <v>6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479</v>
      </c>
      <c r="D51" s="66">
        <f>SUM(D13:D46)</f>
        <v>11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213</v>
      </c>
      <c r="I51" s="70">
        <f>SUM(I13:I46)</f>
        <v>248.5</v>
      </c>
    </row>
    <row r="52" spans="1:10" ht="17.25" customHeight="1" x14ac:dyDescent="0.3">
      <c r="A52" s="324" t="s">
        <v>72</v>
      </c>
      <c r="B52" s="325"/>
      <c r="C52" s="71"/>
      <c r="D52" s="72" t="s">
        <v>161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>
        <v>1</v>
      </c>
      <c r="E53" s="334">
        <v>4</v>
      </c>
      <c r="F53" s="334">
        <v>1</v>
      </c>
      <c r="G53" s="334">
        <v>4</v>
      </c>
      <c r="H53" s="334"/>
      <c r="I53" s="337">
        <v>2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>
        <v>44400</v>
      </c>
      <c r="E55" s="341">
        <v>79600</v>
      </c>
      <c r="F55" s="341">
        <v>31600</v>
      </c>
      <c r="G55" s="341">
        <v>46000</v>
      </c>
      <c r="H55" s="334"/>
      <c r="I55" s="348">
        <v>132900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599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600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602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601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596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597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598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 t="s">
        <v>622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588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589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590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591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592</v>
      </c>
      <c r="E79" s="94">
        <v>0.8125</v>
      </c>
      <c r="F79" s="93" t="s">
        <v>593</v>
      </c>
      <c r="G79" s="385" t="s">
        <v>594</v>
      </c>
      <c r="H79" s="386"/>
      <c r="I79" s="95" t="s">
        <v>595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H30" sqref="H3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603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604</v>
      </c>
      <c r="D3" s="5" t="s">
        <v>4</v>
      </c>
      <c r="E3" s="302"/>
      <c r="F3" s="309" t="s">
        <v>605</v>
      </c>
      <c r="G3" s="310"/>
      <c r="H3" s="311">
        <f>G11+'20일'!H3:I3</f>
        <v>46989100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606</v>
      </c>
      <c r="F6" s="15" t="s">
        <v>607</v>
      </c>
      <c r="G6" s="16" t="s">
        <v>608</v>
      </c>
      <c r="H6" s="17">
        <v>0.76</v>
      </c>
      <c r="I6" s="18">
        <v>0.41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2327900</v>
      </c>
      <c r="D11" s="102">
        <v>166</v>
      </c>
      <c r="E11" s="109">
        <f>SUM(E55:I56)</f>
        <v>256300</v>
      </c>
      <c r="F11" s="109">
        <f>SUM(E53:I54)</f>
        <v>10</v>
      </c>
      <c r="G11" s="110">
        <f>C11+E11</f>
        <v>2584200</v>
      </c>
      <c r="H11" s="110">
        <f>D11+F11</f>
        <v>176</v>
      </c>
      <c r="I11" s="111">
        <f>G11/H11</f>
        <v>14682.954545454546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26</v>
      </c>
      <c r="D13" s="23"/>
      <c r="E13" s="22"/>
      <c r="F13" s="24"/>
      <c r="G13" s="25"/>
      <c r="H13" s="23">
        <v>5</v>
      </c>
      <c r="I13" s="26">
        <f>C13-D13-D14*1/2-E13-E14*1/2+F13-H13-H14*1/2-I14*1/2</f>
        <v>20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24</v>
      </c>
      <c r="D15" s="29"/>
      <c r="E15" s="30"/>
      <c r="F15" s="34"/>
      <c r="G15" s="25"/>
      <c r="H15" s="29"/>
      <c r="I15" s="35">
        <f>C15-D15-D16*1/2-E15-E16*1/2+F15-H15-H16*1/2-I16*1/2</f>
        <v>23.5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34</v>
      </c>
      <c r="D17" s="29"/>
      <c r="E17" s="30">
        <v>1</v>
      </c>
      <c r="F17" s="34"/>
      <c r="G17" s="118"/>
      <c r="H17" s="29">
        <v>9</v>
      </c>
      <c r="I17" s="37">
        <f>C17-D17-D18*1/2-E17-E18*1/2+F17-H17-H18*1/2-I18*1/2</f>
        <v>24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>
        <v>1</v>
      </c>
      <c r="E19" s="30"/>
      <c r="F19" s="34"/>
      <c r="G19" s="25"/>
      <c r="H19" s="29"/>
      <c r="I19" s="35">
        <f>C19-D19-D20*1/2-E19-E20*1/2+F19-H19-H20*1/2-I20*1/2</f>
        <v>10.5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54</v>
      </c>
      <c r="D21" s="41"/>
      <c r="E21" s="42">
        <v>2</v>
      </c>
      <c r="F21" s="43"/>
      <c r="G21" s="44"/>
      <c r="H21" s="43"/>
      <c r="I21" s="45">
        <f t="shared" ref="I21:I48" si="0">C21-D21-E21+F21-H21</f>
        <v>52</v>
      </c>
    </row>
    <row r="22" spans="1:9" ht="17.25" customHeight="1" x14ac:dyDescent="0.3">
      <c r="A22" s="320"/>
      <c r="B22" s="21" t="s">
        <v>32</v>
      </c>
      <c r="C22" s="46">
        <v>32</v>
      </c>
      <c r="D22" s="23"/>
      <c r="E22" s="47">
        <v>1</v>
      </c>
      <c r="F22" s="48"/>
      <c r="G22" s="25"/>
      <c r="H22" s="48">
        <v>3</v>
      </c>
      <c r="I22" s="49">
        <f t="shared" si="0"/>
        <v>28</v>
      </c>
    </row>
    <row r="23" spans="1:9" ht="17.25" customHeight="1" x14ac:dyDescent="0.3">
      <c r="A23" s="320"/>
      <c r="B23" s="27" t="s">
        <v>33</v>
      </c>
      <c r="C23" s="33">
        <v>204</v>
      </c>
      <c r="D23" s="29"/>
      <c r="E23" s="50">
        <v>3</v>
      </c>
      <c r="F23" s="51"/>
      <c r="G23" s="25"/>
      <c r="H23" s="51">
        <v>63</v>
      </c>
      <c r="I23" s="52">
        <f>C23-D23-D24-E23-E24+F23+F24-H23-H24-I24</f>
        <v>130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2</v>
      </c>
      <c r="F24" s="43"/>
      <c r="G24" s="113"/>
      <c r="H24" s="43">
        <v>6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2</v>
      </c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43</v>
      </c>
      <c r="D26" s="41"/>
      <c r="E26" s="42">
        <v>1</v>
      </c>
      <c r="F26" s="43"/>
      <c r="G26" s="113"/>
      <c r="H26" s="43">
        <v>7</v>
      </c>
      <c r="I26" s="45">
        <f t="shared" si="0"/>
        <v>35</v>
      </c>
    </row>
    <row r="27" spans="1:9" ht="17.25" customHeight="1" x14ac:dyDescent="0.3">
      <c r="A27" s="320"/>
      <c r="B27" s="21" t="s">
        <v>37</v>
      </c>
      <c r="C27" s="46">
        <v>23</v>
      </c>
      <c r="D27" s="23">
        <v>1</v>
      </c>
      <c r="E27" s="47"/>
      <c r="F27" s="48"/>
      <c r="G27" s="112"/>
      <c r="H27" s="48"/>
      <c r="I27" s="49">
        <f t="shared" si="0"/>
        <v>22</v>
      </c>
    </row>
    <row r="28" spans="1:9" ht="17.25" customHeight="1" x14ac:dyDescent="0.3">
      <c r="A28" s="320"/>
      <c r="B28" s="160" t="s">
        <v>38</v>
      </c>
      <c r="C28" s="55">
        <v>37</v>
      </c>
      <c r="D28" s="41">
        <v>1</v>
      </c>
      <c r="E28" s="42"/>
      <c r="F28" s="43"/>
      <c r="G28" s="113"/>
      <c r="H28" s="43">
        <v>9</v>
      </c>
      <c r="I28" s="45">
        <f t="shared" si="0"/>
        <v>27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79</v>
      </c>
      <c r="D30" s="29"/>
      <c r="E30" s="50"/>
      <c r="F30" s="51"/>
      <c r="G30" s="25"/>
      <c r="H30" s="51">
        <v>8</v>
      </c>
      <c r="I30" s="52">
        <f>C30-D30-D31-E30-E31+F30+F31-H30-H31-I31</f>
        <v>71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28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28</v>
      </c>
      <c r="D46" s="23"/>
      <c r="E46" s="47"/>
      <c r="F46" s="48"/>
      <c r="G46" s="116"/>
      <c r="H46" s="48">
        <v>2</v>
      </c>
      <c r="I46" s="49">
        <f t="shared" si="0"/>
        <v>26</v>
      </c>
    </row>
    <row r="47" spans="1:9" ht="17.25" customHeight="1" x14ac:dyDescent="0.3">
      <c r="A47" s="320"/>
      <c r="B47" s="120" t="s">
        <v>88</v>
      </c>
      <c r="C47" s="121">
        <v>9</v>
      </c>
      <c r="D47" s="122"/>
      <c r="E47" s="123"/>
      <c r="F47" s="124"/>
      <c r="G47" s="112"/>
      <c r="H47" s="124">
        <v>3</v>
      </c>
      <c r="I47" s="52">
        <f t="shared" si="0"/>
        <v>6</v>
      </c>
    </row>
    <row r="48" spans="1:9" ht="17.25" customHeight="1" x14ac:dyDescent="0.3">
      <c r="A48" s="320"/>
      <c r="B48" s="56" t="s">
        <v>609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664</v>
      </c>
      <c r="D51" s="66">
        <f>SUM(D13:D46)</f>
        <v>3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115</v>
      </c>
      <c r="I51" s="70">
        <f>SUM(I13:I46)</f>
        <v>546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3</v>
      </c>
      <c r="F53" s="334"/>
      <c r="G53" s="334">
        <v>6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61900</v>
      </c>
      <c r="F55" s="341"/>
      <c r="G55" s="341">
        <v>50400</v>
      </c>
      <c r="H55" s="334"/>
      <c r="I55" s="348">
        <v>144000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625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626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628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627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610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5" t="s">
        <v>619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94" t="s">
        <v>620</v>
      </c>
      <c r="D63" s="395"/>
      <c r="E63" s="395"/>
      <c r="F63" s="395"/>
      <c r="G63" s="395"/>
      <c r="H63" s="395"/>
      <c r="I63" s="396"/>
    </row>
    <row r="64" spans="1:10" s="76" customFormat="1" ht="17.25" customHeight="1" thickBot="1" x14ac:dyDescent="0.35">
      <c r="A64" s="328"/>
      <c r="B64" s="329"/>
      <c r="C64" s="404"/>
      <c r="D64" s="405"/>
      <c r="E64" s="405"/>
      <c r="F64" s="405"/>
      <c r="G64" s="405"/>
      <c r="H64" s="405"/>
      <c r="I64" s="406"/>
    </row>
    <row r="65" spans="1:9" s="76" customFormat="1" ht="17.25" customHeight="1" x14ac:dyDescent="0.3">
      <c r="A65" s="363" t="s">
        <v>46</v>
      </c>
      <c r="B65" s="366" t="s">
        <v>47</v>
      </c>
      <c r="C65" s="346" t="s">
        <v>624</v>
      </c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 t="s">
        <v>623</v>
      </c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611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612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621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613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614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615</v>
      </c>
      <c r="E79" s="94">
        <v>0.8125</v>
      </c>
      <c r="F79" s="93" t="s">
        <v>616</v>
      </c>
      <c r="G79" s="385" t="s">
        <v>617</v>
      </c>
      <c r="H79" s="386"/>
      <c r="I79" s="95" t="s">
        <v>618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3:I64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1:I61"/>
    <mergeCell ref="C62:I62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H53" sqref="H53:H5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629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630</v>
      </c>
      <c r="D3" s="5" t="s">
        <v>4</v>
      </c>
      <c r="E3" s="302"/>
      <c r="F3" s="309" t="s">
        <v>631</v>
      </c>
      <c r="G3" s="310"/>
      <c r="H3" s="311">
        <f>G11+'21일'!H3:I3</f>
        <v>50559200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632</v>
      </c>
      <c r="F6" s="15" t="s">
        <v>633</v>
      </c>
      <c r="G6" s="16" t="s">
        <v>634</v>
      </c>
      <c r="H6" s="17">
        <v>0.44</v>
      </c>
      <c r="I6" s="18">
        <v>0.3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3326000</v>
      </c>
      <c r="D11" s="102">
        <v>207</v>
      </c>
      <c r="E11" s="109">
        <f>SUM(E55:I56)</f>
        <v>244100</v>
      </c>
      <c r="F11" s="109">
        <f>SUM(E53:I54)</f>
        <v>15</v>
      </c>
      <c r="G11" s="110">
        <f>C11+E11</f>
        <v>3570100</v>
      </c>
      <c r="H11" s="110">
        <f>D11+F11</f>
        <v>222</v>
      </c>
      <c r="I11" s="111">
        <f>G11/H11</f>
        <v>16081.531531531531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29</v>
      </c>
      <c r="D13" s="23"/>
      <c r="E13" s="22"/>
      <c r="F13" s="24"/>
      <c r="G13" s="25"/>
      <c r="H13" s="23"/>
      <c r="I13" s="26">
        <f>C13-D13-D14*1/2-E13-E14*1/2+F13-H13-H14*1/2-I14*1/2</f>
        <v>28.5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29</v>
      </c>
      <c r="D15" s="29"/>
      <c r="E15" s="30"/>
      <c r="F15" s="34"/>
      <c r="G15" s="25"/>
      <c r="H15" s="29"/>
      <c r="I15" s="35">
        <f>C15-D15-D16*1/2-E15-E16*1/2+F15-H15-H16*1/2-I16*1/2</f>
        <v>28.5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30</v>
      </c>
      <c r="D17" s="29"/>
      <c r="E17" s="30">
        <v>1</v>
      </c>
      <c r="F17" s="34"/>
      <c r="G17" s="118"/>
      <c r="H17" s="29"/>
      <c r="I17" s="37">
        <f>C17-D17-D18*1/2-E17-E18*1/2+F17-H17-H18*1/2-I18*1/2</f>
        <v>29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17</v>
      </c>
      <c r="D19" s="29"/>
      <c r="E19" s="30"/>
      <c r="F19" s="34"/>
      <c r="G19" s="25"/>
      <c r="H19" s="29"/>
      <c r="I19" s="35">
        <f>C19-D19-D20*1/2-E19-E20*1/2+F19-H19-H20*1/2-I20*1/2</f>
        <v>16.5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128</v>
      </c>
      <c r="D21" s="41"/>
      <c r="E21" s="42">
        <v>3</v>
      </c>
      <c r="F21" s="43"/>
      <c r="G21" s="44"/>
      <c r="H21" s="43"/>
      <c r="I21" s="45">
        <f t="shared" ref="I21:I48" si="0">C21-D21-E21+F21-H21</f>
        <v>125</v>
      </c>
    </row>
    <row r="22" spans="1:9" ht="17.25" customHeight="1" x14ac:dyDescent="0.3">
      <c r="A22" s="320"/>
      <c r="B22" s="21" t="s">
        <v>32</v>
      </c>
      <c r="C22" s="46"/>
      <c r="D22" s="23"/>
      <c r="E22" s="47">
        <v>1</v>
      </c>
      <c r="F22" s="48"/>
      <c r="G22" s="25"/>
      <c r="H22" s="48"/>
      <c r="I22" s="49">
        <f t="shared" si="0"/>
        <v>-1</v>
      </c>
    </row>
    <row r="23" spans="1:9" ht="17.25" customHeight="1" x14ac:dyDescent="0.3">
      <c r="A23" s="320"/>
      <c r="B23" s="27" t="s">
        <v>33</v>
      </c>
      <c r="C23" s="33">
        <v>141</v>
      </c>
      <c r="D23" s="29"/>
      <c r="E23" s="50">
        <v>3</v>
      </c>
      <c r="F23" s="51"/>
      <c r="G23" s="25"/>
      <c r="H23" s="51"/>
      <c r="I23" s="52">
        <f>C23-D23-D24-E23-E24+F23+F24-H23-H24-I24</f>
        <v>137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20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20"/>
      <c r="B27" s="21" t="s">
        <v>37</v>
      </c>
      <c r="C27" s="46">
        <v>30</v>
      </c>
      <c r="D27" s="23"/>
      <c r="E27" s="47"/>
      <c r="F27" s="48"/>
      <c r="G27" s="112"/>
      <c r="H27" s="48"/>
      <c r="I27" s="49">
        <f t="shared" si="0"/>
        <v>30</v>
      </c>
    </row>
    <row r="28" spans="1:9" ht="17.25" customHeight="1" x14ac:dyDescent="0.3">
      <c r="A28" s="320"/>
      <c r="B28" s="160" t="s">
        <v>38</v>
      </c>
      <c r="C28" s="55">
        <v>42</v>
      </c>
      <c r="D28" s="41">
        <v>3</v>
      </c>
      <c r="E28" s="42"/>
      <c r="F28" s="43"/>
      <c r="G28" s="113"/>
      <c r="H28" s="43">
        <v>2</v>
      </c>
      <c r="I28" s="45">
        <f t="shared" si="0"/>
        <v>37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95</v>
      </c>
      <c r="D30" s="29"/>
      <c r="E30" s="50">
        <v>2</v>
      </c>
      <c r="F30" s="51"/>
      <c r="G30" s="25"/>
      <c r="H30" s="51"/>
      <c r="I30" s="52">
        <f>C30-D30-D31-E30-E31+F30+F31-H30-H31-I31</f>
        <v>93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2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7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3</v>
      </c>
      <c r="F35" s="48"/>
      <c r="G35" s="116"/>
      <c r="H35" s="48"/>
      <c r="I35" s="282">
        <v>42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14</v>
      </c>
      <c r="D46" s="23"/>
      <c r="E46" s="47"/>
      <c r="F46" s="48"/>
      <c r="G46" s="116"/>
      <c r="H46" s="48"/>
      <c r="I46" s="49">
        <f t="shared" si="0"/>
        <v>14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635</v>
      </c>
      <c r="C48" s="117">
        <v>8</v>
      </c>
      <c r="D48" s="29"/>
      <c r="E48" s="50"/>
      <c r="F48" s="51"/>
      <c r="G48" s="25"/>
      <c r="H48" s="51"/>
      <c r="I48" s="52">
        <f t="shared" si="0"/>
        <v>8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664</v>
      </c>
      <c r="D51" s="66">
        <f>SUM(D13:D46)</f>
        <v>3</v>
      </c>
      <c r="E51" s="67">
        <f>SUM(E13:E46)</f>
        <v>17</v>
      </c>
      <c r="F51" s="67">
        <f>SUM(F13:F46)</f>
        <v>0</v>
      </c>
      <c r="G51" s="68" t="s">
        <v>22</v>
      </c>
      <c r="H51" s="69">
        <f>SUM(H13:H46)</f>
        <v>2</v>
      </c>
      <c r="I51" s="70">
        <f>SUM(I13:I46)</f>
        <v>681.5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4</v>
      </c>
      <c r="F53" s="334">
        <v>1</v>
      </c>
      <c r="G53" s="334">
        <v>10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84400</v>
      </c>
      <c r="F55" s="341">
        <v>20300</v>
      </c>
      <c r="G55" s="341">
        <v>100800</v>
      </c>
      <c r="H55" s="334"/>
      <c r="I55" s="348">
        <v>38600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646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647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648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649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636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6" t="s">
        <v>645</v>
      </c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637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638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639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640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641</v>
      </c>
      <c r="E79" s="94">
        <v>0.8125</v>
      </c>
      <c r="F79" s="93" t="s">
        <v>642</v>
      </c>
      <c r="G79" s="385" t="s">
        <v>643</v>
      </c>
      <c r="H79" s="386"/>
      <c r="I79" s="95" t="s">
        <v>644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F55" sqref="F55:F56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650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652</v>
      </c>
      <c r="D3" s="5" t="s">
        <v>4</v>
      </c>
      <c r="E3" s="302"/>
      <c r="F3" s="309" t="s">
        <v>651</v>
      </c>
      <c r="G3" s="310"/>
      <c r="H3" s="311">
        <f>G11+'22일'!H3:I3</f>
        <v>53153800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653</v>
      </c>
      <c r="F6" s="15" t="s">
        <v>655</v>
      </c>
      <c r="G6" s="16" t="s">
        <v>654</v>
      </c>
      <c r="H6" s="17">
        <v>0.5</v>
      </c>
      <c r="I6" s="18">
        <v>0.34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2474200</v>
      </c>
      <c r="D11" s="102">
        <v>174</v>
      </c>
      <c r="E11" s="109">
        <f>SUM(E55:I56)</f>
        <v>120400</v>
      </c>
      <c r="F11" s="109">
        <f>SUM(E53:I54)</f>
        <v>7</v>
      </c>
      <c r="G11" s="110">
        <f>C11+E11</f>
        <v>2594600</v>
      </c>
      <c r="H11" s="110">
        <f>D11+F11</f>
        <v>181</v>
      </c>
      <c r="I11" s="111">
        <f>G11/H11</f>
        <v>14334.806629834255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25</v>
      </c>
      <c r="D13" s="23"/>
      <c r="E13" s="22">
        <v>1</v>
      </c>
      <c r="F13" s="24"/>
      <c r="G13" s="25"/>
      <c r="H13" s="23">
        <v>1</v>
      </c>
      <c r="I13" s="26">
        <f>C13-D13-D14*1/2-E13-E14*1/2+F13-H13-H14*1/2-I14*1/2</f>
        <v>23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13</v>
      </c>
      <c r="D15" s="29"/>
      <c r="E15" s="30"/>
      <c r="F15" s="34"/>
      <c r="G15" s="25"/>
      <c r="H15" s="29">
        <v>9</v>
      </c>
      <c r="I15" s="35">
        <f>C15-D15-D16*1/2-E15-E16*1/2+F15-H15-H16*1/2-I16*1/2</f>
        <v>3.5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20</v>
      </c>
      <c r="D17" s="29"/>
      <c r="E17" s="30">
        <v>1</v>
      </c>
      <c r="F17" s="34"/>
      <c r="G17" s="118"/>
      <c r="H17" s="29">
        <v>3</v>
      </c>
      <c r="I17" s="37">
        <f>C17-D17-D18*1/2-E17-E18*1/2+F17-H17-H18*1/2-I18*1/2</f>
        <v>15.5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>
        <v>1</v>
      </c>
      <c r="E19" s="30"/>
      <c r="F19" s="34"/>
      <c r="G19" s="25"/>
      <c r="H19" s="29"/>
      <c r="I19" s="35">
        <f>C19-D19-D20*1/2-E19-E20*1/2+F19-H19-H20*1/2-I20*1/2</f>
        <v>10.5</v>
      </c>
    </row>
    <row r="20" spans="1:9" ht="17.25" customHeight="1" x14ac:dyDescent="0.3">
      <c r="A20" s="320"/>
      <c r="B20" s="27" t="s">
        <v>30</v>
      </c>
      <c r="C20" s="28"/>
      <c r="D20" s="29">
        <v>1</v>
      </c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60</v>
      </c>
      <c r="D21" s="41"/>
      <c r="E21" s="42">
        <v>2</v>
      </c>
      <c r="F21" s="43"/>
      <c r="G21" s="44"/>
      <c r="H21" s="43">
        <v>17</v>
      </c>
      <c r="I21" s="45">
        <f t="shared" ref="I21:I48" si="0">C21-D21-E21+F21-H21</f>
        <v>41</v>
      </c>
    </row>
    <row r="22" spans="1:9" ht="17.25" customHeight="1" x14ac:dyDescent="0.3">
      <c r="A22" s="320"/>
      <c r="B22" s="21" t="s">
        <v>32</v>
      </c>
      <c r="C22" s="46">
        <v>31</v>
      </c>
      <c r="D22" s="23"/>
      <c r="E22" s="47">
        <v>1</v>
      </c>
      <c r="F22" s="48"/>
      <c r="G22" s="25"/>
      <c r="H22" s="48">
        <v>2</v>
      </c>
      <c r="I22" s="49">
        <f t="shared" si="0"/>
        <v>28</v>
      </c>
    </row>
    <row r="23" spans="1:9" ht="17.25" customHeight="1" x14ac:dyDescent="0.3">
      <c r="A23" s="320"/>
      <c r="B23" s="27" t="s">
        <v>33</v>
      </c>
      <c r="C23" s="33">
        <v>195</v>
      </c>
      <c r="D23" s="29"/>
      <c r="E23" s="50">
        <v>4</v>
      </c>
      <c r="F23" s="51"/>
      <c r="G23" s="25"/>
      <c r="H23" s="51">
        <v>28</v>
      </c>
      <c r="I23" s="52">
        <f>C23-D23-D24-E23-E24+F23+F24-H23-H24-I24</f>
        <v>127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2</v>
      </c>
      <c r="F24" s="43"/>
      <c r="G24" s="113"/>
      <c r="H24" s="43">
        <v>34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/>
      <c r="I25" s="49">
        <f t="shared" si="0"/>
        <v>24</v>
      </c>
    </row>
    <row r="26" spans="1:9" ht="17.25" customHeight="1" x14ac:dyDescent="0.3">
      <c r="A26" s="320"/>
      <c r="B26" s="160" t="s">
        <v>36</v>
      </c>
      <c r="C26" s="55">
        <v>44</v>
      </c>
      <c r="D26" s="41"/>
      <c r="E26" s="42"/>
      <c r="F26" s="43"/>
      <c r="G26" s="113"/>
      <c r="H26" s="43"/>
      <c r="I26" s="45">
        <f t="shared" si="0"/>
        <v>44</v>
      </c>
    </row>
    <row r="27" spans="1:9" ht="17.25" customHeight="1" x14ac:dyDescent="0.3">
      <c r="A27" s="320"/>
      <c r="B27" s="21" t="s">
        <v>37</v>
      </c>
      <c r="C27" s="46">
        <v>26</v>
      </c>
      <c r="D27" s="23"/>
      <c r="E27" s="47"/>
      <c r="F27" s="48"/>
      <c r="G27" s="112"/>
      <c r="H27" s="48">
        <v>3</v>
      </c>
      <c r="I27" s="49">
        <f t="shared" si="0"/>
        <v>23</v>
      </c>
    </row>
    <row r="28" spans="1:9" ht="17.25" customHeight="1" x14ac:dyDescent="0.3">
      <c r="A28" s="320"/>
      <c r="B28" s="160" t="s">
        <v>38</v>
      </c>
      <c r="C28" s="55">
        <v>37</v>
      </c>
      <c r="D28" s="41"/>
      <c r="E28" s="42"/>
      <c r="F28" s="43"/>
      <c r="G28" s="113"/>
      <c r="H28" s="43">
        <v>9</v>
      </c>
      <c r="I28" s="45">
        <f t="shared" si="0"/>
        <v>28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79</v>
      </c>
      <c r="D30" s="29"/>
      <c r="E30" s="50"/>
      <c r="F30" s="51"/>
      <c r="G30" s="25"/>
      <c r="H30" s="51"/>
      <c r="I30" s="52">
        <f>C30-D30-D31-E30-E31+F30+F31-H30-H31-I31</f>
        <v>79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21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0"/>
      <c r="B47" s="120" t="s">
        <v>88</v>
      </c>
      <c r="C47" s="121">
        <v>9</v>
      </c>
      <c r="D47" s="122"/>
      <c r="E47" s="123"/>
      <c r="F47" s="124"/>
      <c r="G47" s="112"/>
      <c r="H47" s="124"/>
      <c r="I47" s="52">
        <f t="shared" si="0"/>
        <v>9</v>
      </c>
    </row>
    <row r="48" spans="1:9" ht="17.25" customHeight="1" x14ac:dyDescent="0.3">
      <c r="A48" s="320"/>
      <c r="B48" s="56" t="s">
        <v>662</v>
      </c>
      <c r="C48" s="117">
        <v>10</v>
      </c>
      <c r="D48" s="29"/>
      <c r="E48" s="50"/>
      <c r="F48" s="51"/>
      <c r="G48" s="25"/>
      <c r="H48" s="51">
        <v>1</v>
      </c>
      <c r="I48" s="52">
        <f t="shared" si="0"/>
        <v>9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620</v>
      </c>
      <c r="D51" s="66">
        <f>SUM(D13:D46)</f>
        <v>2</v>
      </c>
      <c r="E51" s="67">
        <f>SUM(E13:E46)</f>
        <v>16</v>
      </c>
      <c r="F51" s="67">
        <f>SUM(F13:F46)</f>
        <v>0</v>
      </c>
      <c r="G51" s="68" t="s">
        <v>22</v>
      </c>
      <c r="H51" s="69">
        <f>SUM(H13:H46)</f>
        <v>106</v>
      </c>
      <c r="I51" s="70">
        <f>SUM(I13:I46)</f>
        <v>504.5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/>
      <c r="G53" s="334">
        <v>5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62200</v>
      </c>
      <c r="F55" s="341"/>
      <c r="G55" s="341">
        <v>58200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32.25" customHeight="1" x14ac:dyDescent="0.3">
      <c r="A57" s="324" t="s">
        <v>45</v>
      </c>
      <c r="B57" s="325"/>
      <c r="C57" s="350" t="s">
        <v>667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668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669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670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664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6" t="s">
        <v>665</v>
      </c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356" t="s">
        <v>666</v>
      </c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663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656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657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658</v>
      </c>
      <c r="E79" s="94">
        <v>0.8125</v>
      </c>
      <c r="F79" s="93" t="s">
        <v>659</v>
      </c>
      <c r="G79" s="385" t="s">
        <v>660</v>
      </c>
      <c r="H79" s="386"/>
      <c r="I79" s="95" t="s">
        <v>661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G13" sqref="G13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671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672</v>
      </c>
      <c r="D3" s="5" t="s">
        <v>4</v>
      </c>
      <c r="E3" s="302"/>
      <c r="F3" s="309" t="s">
        <v>673</v>
      </c>
      <c r="G3" s="310"/>
      <c r="H3" s="311">
        <f>G11+'23일'!H3:I3</f>
        <v>54754600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674</v>
      </c>
      <c r="F6" s="15" t="s">
        <v>675</v>
      </c>
      <c r="G6" s="16" t="s">
        <v>676</v>
      </c>
      <c r="H6" s="17">
        <v>0.5</v>
      </c>
      <c r="I6" s="18">
        <v>0.38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1369700</v>
      </c>
      <c r="D11" s="102">
        <v>84</v>
      </c>
      <c r="E11" s="109">
        <f>SUM(E55:I56)</f>
        <v>231100</v>
      </c>
      <c r="F11" s="109">
        <f>SUM(E53:I54)</f>
        <v>10</v>
      </c>
      <c r="G11" s="110">
        <f>C11+E11</f>
        <v>1600800</v>
      </c>
      <c r="H11" s="110">
        <f>D11+F11</f>
        <v>94</v>
      </c>
      <c r="I11" s="111">
        <f>G11/H11</f>
        <v>17029.787234042553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>
        <v>1</v>
      </c>
      <c r="F13" s="24"/>
      <c r="G13" s="25"/>
      <c r="H13" s="23">
        <v>1</v>
      </c>
      <c r="I13" s="26">
        <f>C13-D13-D14*1/2-E13-E14*1/2+F13-H13-H14*1/2-I14*1/2</f>
        <v>18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19</v>
      </c>
      <c r="D15" s="29"/>
      <c r="E15" s="30"/>
      <c r="F15" s="34"/>
      <c r="G15" s="25"/>
      <c r="H15" s="29"/>
      <c r="I15" s="35">
        <f>C15-D15-D16*1/2-E15-E16*1/2+F15-H15-H16*1/2-I16*1/2</f>
        <v>19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25</v>
      </c>
      <c r="D17" s="29"/>
      <c r="E17" s="30">
        <v>1</v>
      </c>
      <c r="F17" s="34"/>
      <c r="G17" s="118"/>
      <c r="H17" s="29">
        <v>5</v>
      </c>
      <c r="I17" s="37">
        <f>C17-D17-D18*1/2-E17-E18*1/2+F17-H17-H18*1/2-I18*1/2</f>
        <v>19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9</v>
      </c>
      <c r="D19" s="29"/>
      <c r="E19" s="30"/>
      <c r="F19" s="34"/>
      <c r="G19" s="25"/>
      <c r="H19" s="29"/>
      <c r="I19" s="35">
        <f>C19-D19-D20*1/2-E19-E20*1/2+F19-H19-H20*1/2-I20*1/2</f>
        <v>9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67</v>
      </c>
      <c r="D21" s="41"/>
      <c r="E21" s="42">
        <v>1</v>
      </c>
      <c r="F21" s="43"/>
      <c r="G21" s="44"/>
      <c r="H21" s="43">
        <v>2</v>
      </c>
      <c r="I21" s="45">
        <f t="shared" ref="I21:I48" si="0">C21-D21-E21+F21-H21</f>
        <v>64</v>
      </c>
    </row>
    <row r="22" spans="1:9" ht="17.25" customHeight="1" x14ac:dyDescent="0.3">
      <c r="A22" s="320"/>
      <c r="B22" s="21" t="s">
        <v>32</v>
      </c>
      <c r="C22" s="46">
        <v>13</v>
      </c>
      <c r="D22" s="23"/>
      <c r="E22" s="47"/>
      <c r="F22" s="48"/>
      <c r="G22" s="25"/>
      <c r="H22" s="48"/>
      <c r="I22" s="49">
        <f t="shared" si="0"/>
        <v>13</v>
      </c>
    </row>
    <row r="23" spans="1:9" ht="17.25" customHeight="1" x14ac:dyDescent="0.3">
      <c r="A23" s="320"/>
      <c r="B23" s="27" t="s">
        <v>33</v>
      </c>
      <c r="C23" s="33">
        <v>113</v>
      </c>
      <c r="D23" s="29"/>
      <c r="E23" s="50">
        <v>2</v>
      </c>
      <c r="F23" s="51"/>
      <c r="G23" s="25"/>
      <c r="H23" s="51">
        <v>9</v>
      </c>
      <c r="I23" s="52">
        <f>C23-D23-D24-E23-E24+F23+F24-H23-H24-I24</f>
        <v>86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>
        <v>15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/>
      <c r="F25" s="48"/>
      <c r="G25" s="112"/>
      <c r="H25" s="48">
        <v>14</v>
      </c>
      <c r="I25" s="49">
        <f t="shared" si="0"/>
        <v>10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/>
      <c r="F26" s="43"/>
      <c r="G26" s="113"/>
      <c r="H26" s="43"/>
      <c r="I26" s="45">
        <f t="shared" si="0"/>
        <v>20</v>
      </c>
    </row>
    <row r="27" spans="1:9" ht="17.25" customHeight="1" x14ac:dyDescent="0.3">
      <c r="A27" s="320"/>
      <c r="B27" s="21" t="s">
        <v>37</v>
      </c>
      <c r="C27" s="46">
        <v>19</v>
      </c>
      <c r="D27" s="23"/>
      <c r="E27" s="47"/>
      <c r="F27" s="48"/>
      <c r="G27" s="112"/>
      <c r="H27" s="48">
        <v>4</v>
      </c>
      <c r="I27" s="49">
        <f t="shared" si="0"/>
        <v>15</v>
      </c>
    </row>
    <row r="28" spans="1:9" ht="17.25" customHeight="1" x14ac:dyDescent="0.3">
      <c r="A28" s="320"/>
      <c r="B28" s="160" t="s">
        <v>38</v>
      </c>
      <c r="C28" s="55">
        <v>26</v>
      </c>
      <c r="D28" s="41"/>
      <c r="E28" s="42"/>
      <c r="F28" s="43"/>
      <c r="G28" s="113"/>
      <c r="H28" s="43">
        <v>15</v>
      </c>
      <c r="I28" s="45">
        <f t="shared" si="0"/>
        <v>11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62</v>
      </c>
      <c r="D30" s="29"/>
      <c r="E30" s="50"/>
      <c r="F30" s="51"/>
      <c r="G30" s="25"/>
      <c r="H30" s="51">
        <v>4</v>
      </c>
      <c r="I30" s="52">
        <f>C30-D30-D31-E30-E31+F30+F31-H30-H31-I31</f>
        <v>58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1</v>
      </c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6</v>
      </c>
      <c r="D46" s="23"/>
      <c r="E46" s="47"/>
      <c r="F46" s="48"/>
      <c r="G46" s="116"/>
      <c r="H46" s="48"/>
      <c r="I46" s="49">
        <f t="shared" si="0"/>
        <v>6</v>
      </c>
    </row>
    <row r="47" spans="1:9" ht="17.25" customHeight="1" x14ac:dyDescent="0.3">
      <c r="A47" s="320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20"/>
      <c r="B48" s="56" t="s">
        <v>677</v>
      </c>
      <c r="C48" s="117">
        <v>4</v>
      </c>
      <c r="D48" s="29"/>
      <c r="E48" s="50"/>
      <c r="F48" s="51"/>
      <c r="G48" s="25"/>
      <c r="H48" s="51"/>
      <c r="I48" s="52">
        <f t="shared" si="0"/>
        <v>4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456</v>
      </c>
      <c r="D51" s="66">
        <f>SUM(D13:D46)</f>
        <v>0</v>
      </c>
      <c r="E51" s="67">
        <f>SUM(E13:E46)</f>
        <v>6</v>
      </c>
      <c r="F51" s="67">
        <f>SUM(F13:F46)</f>
        <v>0</v>
      </c>
      <c r="G51" s="68" t="s">
        <v>22</v>
      </c>
      <c r="H51" s="69">
        <f>SUM(H13:H46)</f>
        <v>70</v>
      </c>
      <c r="I51" s="70">
        <f>SUM(I13:I46)</f>
        <v>372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4</v>
      </c>
      <c r="F53" s="334">
        <v>1</v>
      </c>
      <c r="G53" s="334">
        <v>5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80800</v>
      </c>
      <c r="F55" s="341">
        <v>20900</v>
      </c>
      <c r="G55" s="341">
        <v>129400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/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/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/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/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686</v>
      </c>
      <c r="D61" s="346"/>
      <c r="E61" s="346"/>
      <c r="F61" s="346"/>
      <c r="G61" s="346"/>
      <c r="H61" s="346"/>
      <c r="I61" s="347"/>
    </row>
    <row r="62" spans="1:10" s="76" customFormat="1" ht="32.25" customHeight="1" x14ac:dyDescent="0.3">
      <c r="A62" s="326"/>
      <c r="B62" s="327"/>
      <c r="C62" s="359" t="s">
        <v>687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688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678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679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680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681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682</v>
      </c>
      <c r="E79" s="94">
        <v>0.77083333333333337</v>
      </c>
      <c r="F79" s="93" t="s">
        <v>683</v>
      </c>
      <c r="G79" s="385" t="s">
        <v>684</v>
      </c>
      <c r="H79" s="386"/>
      <c r="I79" s="95" t="s">
        <v>685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4" zoomScale="90" zoomScaleNormal="90" workbookViewId="0">
      <selection activeCell="H21" sqref="H21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689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690</v>
      </c>
      <c r="D3" s="5" t="s">
        <v>4</v>
      </c>
      <c r="E3" s="302"/>
      <c r="F3" s="309" t="s">
        <v>691</v>
      </c>
      <c r="G3" s="310"/>
      <c r="H3" s="311">
        <f>G11+'24일'!H3:I3</f>
        <v>56306600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694</v>
      </c>
      <c r="F6" s="15" t="s">
        <v>693</v>
      </c>
      <c r="G6" s="16" t="s">
        <v>692</v>
      </c>
      <c r="H6" s="17">
        <v>0.49</v>
      </c>
      <c r="I6" s="18">
        <v>0.4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1435900</v>
      </c>
      <c r="D11" s="102">
        <v>87</v>
      </c>
      <c r="E11" s="109">
        <f>SUM(E55:I56)</f>
        <v>116100</v>
      </c>
      <c r="F11" s="109">
        <f>SUM(E53:I54)</f>
        <v>8</v>
      </c>
      <c r="G11" s="110">
        <f>C11+E11</f>
        <v>1552000</v>
      </c>
      <c r="H11" s="110">
        <f>D11+F11</f>
        <v>95</v>
      </c>
      <c r="I11" s="111">
        <f>G11/H11</f>
        <v>16336.842105263158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18</v>
      </c>
      <c r="D13" s="23"/>
      <c r="E13" s="22">
        <v>2</v>
      </c>
      <c r="F13" s="24"/>
      <c r="G13" s="25"/>
      <c r="H13" s="23"/>
      <c r="I13" s="26">
        <f>C13-D13-D14*1/2-E13-E14*1/2+F13-H13-H14*1/2-I14*1/2</f>
        <v>16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20</v>
      </c>
      <c r="D15" s="29">
        <v>4</v>
      </c>
      <c r="E15" s="30"/>
      <c r="F15" s="34"/>
      <c r="G15" s="25"/>
      <c r="H15" s="29">
        <v>10</v>
      </c>
      <c r="I15" s="35">
        <f>C15-D15-D16*1/2-E15-E16*1/2+F15-H15-H16*1/2-I16*1/2</f>
        <v>6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26</v>
      </c>
      <c r="D17" s="29"/>
      <c r="E17" s="30">
        <v>1</v>
      </c>
      <c r="F17" s="34"/>
      <c r="G17" s="118"/>
      <c r="H17" s="29">
        <v>5</v>
      </c>
      <c r="I17" s="37">
        <f>C17-D17-D18*1/2-E17-E18*1/2+F17-H17-H18*1/2-I18*1/2</f>
        <v>20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9</v>
      </c>
      <c r="D19" s="29"/>
      <c r="E19" s="30"/>
      <c r="F19" s="34"/>
      <c r="G19" s="25"/>
      <c r="H19" s="29">
        <v>4</v>
      </c>
      <c r="I19" s="35">
        <f>C19-D19-D20*1/2-E19-E20*1/2+F19-H19-H20*1/2-I20*1/2</f>
        <v>5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66</v>
      </c>
      <c r="D21" s="41">
        <v>8</v>
      </c>
      <c r="E21" s="42">
        <v>2</v>
      </c>
      <c r="F21" s="43"/>
      <c r="G21" s="44"/>
      <c r="H21" s="43"/>
      <c r="I21" s="45">
        <f t="shared" ref="I21:I48" si="0">C21-D21-E21+F21-H21</f>
        <v>56</v>
      </c>
    </row>
    <row r="22" spans="1:9" ht="17.25" customHeight="1" x14ac:dyDescent="0.3">
      <c r="A22" s="320"/>
      <c r="B22" s="21" t="s">
        <v>32</v>
      </c>
      <c r="C22" s="46">
        <v>28</v>
      </c>
      <c r="D22" s="23">
        <v>3</v>
      </c>
      <c r="E22" s="47"/>
      <c r="F22" s="48"/>
      <c r="G22" s="25"/>
      <c r="H22" s="48"/>
      <c r="I22" s="49">
        <f t="shared" si="0"/>
        <v>25</v>
      </c>
    </row>
    <row r="23" spans="1:9" ht="17.25" customHeight="1" x14ac:dyDescent="0.3">
      <c r="A23" s="320"/>
      <c r="B23" s="27" t="s">
        <v>33</v>
      </c>
      <c r="C23" s="33">
        <v>76</v>
      </c>
      <c r="D23" s="29">
        <v>6</v>
      </c>
      <c r="E23" s="50">
        <v>3</v>
      </c>
      <c r="F23" s="51"/>
      <c r="G23" s="25"/>
      <c r="H23" s="51"/>
      <c r="I23" s="52">
        <f>C23-D23-D24-E23-E24+F23+F24-H23-H24-I24</f>
        <v>67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>
        <v>3</v>
      </c>
      <c r="F25" s="48"/>
      <c r="G25" s="112"/>
      <c r="H25" s="48">
        <v>8</v>
      </c>
      <c r="I25" s="49">
        <f t="shared" si="0"/>
        <v>13</v>
      </c>
    </row>
    <row r="26" spans="1:9" ht="17.25" customHeight="1" x14ac:dyDescent="0.3">
      <c r="A26" s="320"/>
      <c r="B26" s="160" t="s">
        <v>36</v>
      </c>
      <c r="C26" s="55">
        <v>22</v>
      </c>
      <c r="D26" s="41"/>
      <c r="E26" s="42">
        <v>1</v>
      </c>
      <c r="F26" s="43"/>
      <c r="G26" s="113"/>
      <c r="H26" s="43">
        <v>6</v>
      </c>
      <c r="I26" s="45">
        <f t="shared" si="0"/>
        <v>15</v>
      </c>
    </row>
    <row r="27" spans="1:9" ht="17.25" customHeight="1" x14ac:dyDescent="0.3">
      <c r="A27" s="320"/>
      <c r="B27" s="21" t="s">
        <v>37</v>
      </c>
      <c r="C27" s="46">
        <v>20</v>
      </c>
      <c r="D27" s="23">
        <v>1</v>
      </c>
      <c r="E27" s="47"/>
      <c r="F27" s="48"/>
      <c r="G27" s="112"/>
      <c r="H27" s="48">
        <v>1</v>
      </c>
      <c r="I27" s="49">
        <f t="shared" si="0"/>
        <v>18</v>
      </c>
    </row>
    <row r="28" spans="1:9" ht="17.25" customHeight="1" x14ac:dyDescent="0.3">
      <c r="A28" s="320"/>
      <c r="B28" s="160" t="s">
        <v>38</v>
      </c>
      <c r="C28" s="55">
        <v>25</v>
      </c>
      <c r="D28" s="41">
        <v>1</v>
      </c>
      <c r="E28" s="42">
        <v>4</v>
      </c>
      <c r="F28" s="43"/>
      <c r="G28" s="113"/>
      <c r="H28" s="43">
        <v>10</v>
      </c>
      <c r="I28" s="45">
        <f t="shared" si="0"/>
        <v>10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2</v>
      </c>
      <c r="I29" s="49">
        <f t="shared" si="0"/>
        <v>3</v>
      </c>
    </row>
    <row r="30" spans="1:9" ht="17.25" customHeight="1" x14ac:dyDescent="0.3">
      <c r="A30" s="320"/>
      <c r="B30" s="56" t="s">
        <v>40</v>
      </c>
      <c r="C30" s="57">
        <v>61</v>
      </c>
      <c r="D30" s="29"/>
      <c r="E30" s="50">
        <v>6</v>
      </c>
      <c r="F30" s="51"/>
      <c r="G30" s="25"/>
      <c r="H30" s="51">
        <v>15</v>
      </c>
      <c r="I30" s="52">
        <f>C30-D30-D31-E30-E31+F30+F31-H30-H31-I31</f>
        <v>40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3</v>
      </c>
      <c r="I36" s="52">
        <f>C36-D36-E36+F36-H36</f>
        <v>17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6</v>
      </c>
      <c r="D46" s="23"/>
      <c r="E46" s="47"/>
      <c r="F46" s="48"/>
      <c r="G46" s="116"/>
      <c r="H46" s="48"/>
      <c r="I46" s="49">
        <f t="shared" si="0"/>
        <v>6</v>
      </c>
    </row>
    <row r="47" spans="1:9" ht="17.25" customHeight="1" x14ac:dyDescent="0.3">
      <c r="A47" s="320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20"/>
      <c r="B48" s="56" t="s">
        <v>702</v>
      </c>
      <c r="C48" s="117">
        <v>6</v>
      </c>
      <c r="D48" s="29"/>
      <c r="E48" s="50"/>
      <c r="F48" s="51"/>
      <c r="G48" s="25"/>
      <c r="H48" s="51">
        <v>2</v>
      </c>
      <c r="I48" s="52">
        <f t="shared" si="0"/>
        <v>4</v>
      </c>
    </row>
    <row r="49" spans="1:10" ht="17.25" customHeight="1" x14ac:dyDescent="0.3">
      <c r="A49" s="320"/>
      <c r="B49" s="179" t="s">
        <v>709</v>
      </c>
      <c r="C49" s="192">
        <v>12</v>
      </c>
      <c r="D49" s="180"/>
      <c r="E49" s="181">
        <v>1</v>
      </c>
      <c r="F49" s="182"/>
      <c r="G49" s="183"/>
      <c r="H49" s="182">
        <v>1</v>
      </c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448</v>
      </c>
      <c r="D51" s="66">
        <f>SUM(D13:D46)</f>
        <v>23</v>
      </c>
      <c r="E51" s="67">
        <f>SUM(E13:E46)</f>
        <v>22</v>
      </c>
      <c r="F51" s="67">
        <f>SUM(F13:F46)</f>
        <v>0</v>
      </c>
      <c r="G51" s="68" t="s">
        <v>22</v>
      </c>
      <c r="H51" s="69">
        <f>SUM(H13:H46)</f>
        <v>64</v>
      </c>
      <c r="I51" s="70">
        <f>SUM(I13:I46)</f>
        <v>317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1</v>
      </c>
      <c r="F53" s="334">
        <v>1</v>
      </c>
      <c r="G53" s="334">
        <v>6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19200</v>
      </c>
      <c r="F55" s="341">
        <v>27600</v>
      </c>
      <c r="G55" s="341">
        <v>69300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705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706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/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/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50" t="s">
        <v>701</v>
      </c>
      <c r="D61" s="351"/>
      <c r="E61" s="351"/>
      <c r="F61" s="351"/>
      <c r="G61" s="351"/>
      <c r="H61" s="351"/>
      <c r="I61" s="352"/>
    </row>
    <row r="62" spans="1:10" s="76" customFormat="1" ht="17.25" customHeight="1" x14ac:dyDescent="0.3">
      <c r="A62" s="326"/>
      <c r="B62" s="327"/>
      <c r="C62" s="355" t="s">
        <v>703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708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 t="s">
        <v>707</v>
      </c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704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695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696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697</v>
      </c>
      <c r="E79" s="94">
        <v>0.77083333333333337</v>
      </c>
      <c r="F79" s="93" t="s">
        <v>698</v>
      </c>
      <c r="G79" s="385" t="s">
        <v>699</v>
      </c>
      <c r="H79" s="386"/>
      <c r="I79" s="95" t="s">
        <v>700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zoomScale="90" zoomScaleNormal="90" workbookViewId="0">
      <selection activeCell="J12" sqref="J12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710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711</v>
      </c>
      <c r="D3" s="5" t="s">
        <v>4</v>
      </c>
      <c r="E3" s="302"/>
      <c r="F3" s="309" t="s">
        <v>712</v>
      </c>
      <c r="G3" s="310"/>
      <c r="H3" s="311">
        <f>G11+'25일'!H3:I3</f>
        <v>58474800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714</v>
      </c>
      <c r="F6" s="15" t="s">
        <v>715</v>
      </c>
      <c r="G6" s="16" t="s">
        <v>713</v>
      </c>
      <c r="H6" s="17">
        <v>0.63</v>
      </c>
      <c r="I6" s="18">
        <v>0.42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1916600</v>
      </c>
      <c r="D11" s="102">
        <v>139</v>
      </c>
      <c r="E11" s="109">
        <f>SUM(E55:I56)</f>
        <v>251600</v>
      </c>
      <c r="F11" s="109">
        <f>SUM(E53:I54)</f>
        <v>6</v>
      </c>
      <c r="G11" s="110">
        <f>C11+E11</f>
        <v>2168200</v>
      </c>
      <c r="H11" s="110">
        <f>D11+F11</f>
        <v>145</v>
      </c>
      <c r="I11" s="111">
        <f>G11/H11</f>
        <v>14953.103448275862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18.5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2</v>
      </c>
      <c r="I14" s="32"/>
    </row>
    <row r="15" spans="1:9" ht="17.25" customHeight="1" x14ac:dyDescent="0.3">
      <c r="A15" s="320"/>
      <c r="B15" s="27" t="s">
        <v>25</v>
      </c>
      <c r="C15" s="33">
        <v>18</v>
      </c>
      <c r="D15" s="29"/>
      <c r="E15" s="30"/>
      <c r="F15" s="34"/>
      <c r="G15" s="25"/>
      <c r="H15" s="29">
        <v>8</v>
      </c>
      <c r="I15" s="35">
        <f>C15-D15-D16*1/2-E15-E16*1/2+F15-H15-H16*1/2-I16*1/2</f>
        <v>9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>
        <v>1</v>
      </c>
      <c r="I16" s="36"/>
    </row>
    <row r="17" spans="1:9" ht="17.25" customHeight="1" x14ac:dyDescent="0.3">
      <c r="A17" s="320"/>
      <c r="B17" s="27" t="s">
        <v>27</v>
      </c>
      <c r="C17" s="33">
        <v>16</v>
      </c>
      <c r="D17" s="29"/>
      <c r="E17" s="30">
        <v>1</v>
      </c>
      <c r="F17" s="34"/>
      <c r="G17" s="118"/>
      <c r="H17" s="29">
        <v>3</v>
      </c>
      <c r="I17" s="37">
        <f>C17-D17-D18*1/2-E17-E18*1/2+F17-H17-H18*1/2-I18*1/2</f>
        <v>11.5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>
        <v>1</v>
      </c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66</v>
      </c>
      <c r="D21" s="41"/>
      <c r="E21" s="42"/>
      <c r="F21" s="43"/>
      <c r="G21" s="44"/>
      <c r="H21" s="43">
        <v>32</v>
      </c>
      <c r="I21" s="45">
        <f t="shared" ref="I21:I48" si="0">C21-D21-E21+F21-H21</f>
        <v>34</v>
      </c>
    </row>
    <row r="22" spans="1:9" ht="17.25" customHeight="1" x14ac:dyDescent="0.3">
      <c r="A22" s="320"/>
      <c r="B22" s="21" t="s">
        <v>32</v>
      </c>
      <c r="C22" s="46">
        <v>33</v>
      </c>
      <c r="D22" s="23"/>
      <c r="E22" s="47"/>
      <c r="F22" s="48"/>
      <c r="G22" s="25"/>
      <c r="H22" s="48">
        <v>9</v>
      </c>
      <c r="I22" s="49">
        <f t="shared" si="0"/>
        <v>24</v>
      </c>
    </row>
    <row r="23" spans="1:9" ht="17.25" customHeight="1" x14ac:dyDescent="0.3">
      <c r="A23" s="320"/>
      <c r="B23" s="27" t="s">
        <v>33</v>
      </c>
      <c r="C23" s="33">
        <v>140</v>
      </c>
      <c r="D23" s="29"/>
      <c r="E23" s="50">
        <v>5</v>
      </c>
      <c r="F23" s="51"/>
      <c r="G23" s="25"/>
      <c r="H23" s="51">
        <v>52</v>
      </c>
      <c r="I23" s="52">
        <f>C23-D23-D24-E23-E24+F23+F24-H23-H24-I24</f>
        <v>64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>
        <v>18</v>
      </c>
      <c r="I24" s="54"/>
    </row>
    <row r="25" spans="1:9" ht="17.25" customHeight="1" x14ac:dyDescent="0.3">
      <c r="A25" s="320"/>
      <c r="B25" s="21" t="s">
        <v>35</v>
      </c>
      <c r="C25" s="46">
        <v>23</v>
      </c>
      <c r="D25" s="23">
        <v>4</v>
      </c>
      <c r="E25" s="47">
        <v>1</v>
      </c>
      <c r="F25" s="48"/>
      <c r="G25" s="112"/>
      <c r="H25" s="48">
        <v>2</v>
      </c>
      <c r="I25" s="49">
        <f t="shared" si="0"/>
        <v>16</v>
      </c>
    </row>
    <row r="26" spans="1:9" ht="17.25" customHeight="1" x14ac:dyDescent="0.3">
      <c r="A26" s="320"/>
      <c r="B26" s="160" t="s">
        <v>36</v>
      </c>
      <c r="C26" s="55">
        <v>40</v>
      </c>
      <c r="D26" s="41"/>
      <c r="E26" s="42"/>
      <c r="F26" s="43"/>
      <c r="G26" s="113"/>
      <c r="H26" s="43"/>
      <c r="I26" s="45">
        <f t="shared" si="0"/>
        <v>40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/>
      <c r="F27" s="48"/>
      <c r="G27" s="112"/>
      <c r="H27" s="48">
        <v>6</v>
      </c>
      <c r="I27" s="49">
        <f t="shared" si="0"/>
        <v>21</v>
      </c>
    </row>
    <row r="28" spans="1:9" ht="17.25" customHeight="1" x14ac:dyDescent="0.3">
      <c r="A28" s="320"/>
      <c r="B28" s="160" t="s">
        <v>38</v>
      </c>
      <c r="C28" s="55">
        <v>35</v>
      </c>
      <c r="D28" s="41">
        <v>1</v>
      </c>
      <c r="E28" s="42"/>
      <c r="F28" s="43"/>
      <c r="G28" s="113"/>
      <c r="H28" s="43">
        <v>10</v>
      </c>
      <c r="I28" s="45">
        <f t="shared" si="0"/>
        <v>24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77</v>
      </c>
      <c r="D30" s="29"/>
      <c r="E30" s="50"/>
      <c r="F30" s="51"/>
      <c r="G30" s="25"/>
      <c r="H30" s="51">
        <v>12</v>
      </c>
      <c r="I30" s="52">
        <f>C30-D30-D31-E30-E31+F30+F31-H30-H31-I31</f>
        <v>65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/>
      <c r="F35" s="48"/>
      <c r="G35" s="116"/>
      <c r="H35" s="48"/>
      <c r="I35" s="282">
        <v>12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>
        <v>3</v>
      </c>
      <c r="I36" s="52">
        <f>C36-D36-E36+F36-H36</f>
        <v>17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21</v>
      </c>
      <c r="D46" s="23"/>
      <c r="E46" s="47"/>
      <c r="F46" s="48"/>
      <c r="G46" s="116"/>
      <c r="H46" s="48"/>
      <c r="I46" s="49">
        <f t="shared" si="0"/>
        <v>21</v>
      </c>
    </row>
    <row r="47" spans="1:9" ht="17.25" customHeight="1" x14ac:dyDescent="0.3">
      <c r="A47" s="320"/>
      <c r="B47" s="120" t="s">
        <v>88</v>
      </c>
      <c r="C47" s="121">
        <v>9</v>
      </c>
      <c r="D47" s="122"/>
      <c r="E47" s="123"/>
      <c r="F47" s="124"/>
      <c r="G47" s="112"/>
      <c r="H47" s="124">
        <v>1</v>
      </c>
      <c r="I47" s="52">
        <f t="shared" si="0"/>
        <v>8</v>
      </c>
    </row>
    <row r="48" spans="1:9" ht="17.25" customHeight="1" x14ac:dyDescent="0.3">
      <c r="A48" s="320"/>
      <c r="B48" s="56" t="s">
        <v>721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572</v>
      </c>
      <c r="D51" s="66">
        <f>SUM(D13:D46)</f>
        <v>5</v>
      </c>
      <c r="E51" s="67">
        <f>SUM(E13:E46)</f>
        <v>10</v>
      </c>
      <c r="F51" s="67">
        <f>SUM(F13:F46)</f>
        <v>0</v>
      </c>
      <c r="G51" s="68" t="s">
        <v>22</v>
      </c>
      <c r="H51" s="69">
        <f>SUM(H13:H46)</f>
        <v>159</v>
      </c>
      <c r="I51" s="70">
        <f>SUM(I13:I46)</f>
        <v>394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>
        <v>2</v>
      </c>
      <c r="G53" s="334">
        <v>1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37300</v>
      </c>
      <c r="F55" s="341">
        <v>53100</v>
      </c>
      <c r="G55" s="341">
        <v>10000</v>
      </c>
      <c r="H55" s="334"/>
      <c r="I55" s="348">
        <v>151200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727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728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729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730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722</v>
      </c>
      <c r="D61" s="346"/>
      <c r="E61" s="346"/>
      <c r="F61" s="346"/>
      <c r="G61" s="346"/>
      <c r="H61" s="346"/>
      <c r="I61" s="347"/>
    </row>
    <row r="62" spans="1:10" s="76" customFormat="1" ht="36.75" customHeight="1" x14ac:dyDescent="0.3">
      <c r="A62" s="326"/>
      <c r="B62" s="327"/>
      <c r="C62" s="359" t="s">
        <v>723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724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725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 t="s">
        <v>726</v>
      </c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717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718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716</v>
      </c>
      <c r="E79" s="94">
        <v>0.79166666666666663</v>
      </c>
      <c r="F79" s="93" t="s">
        <v>719</v>
      </c>
      <c r="G79" s="385" t="s">
        <v>720</v>
      </c>
      <c r="H79" s="386"/>
      <c r="I79" s="95" t="s">
        <v>720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8" zoomScale="90" zoomScaleNormal="90" workbookViewId="0">
      <selection activeCell="C30" sqref="C3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731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732</v>
      </c>
      <c r="D3" s="5" t="s">
        <v>4</v>
      </c>
      <c r="E3" s="302"/>
      <c r="F3" s="309" t="s">
        <v>733</v>
      </c>
      <c r="G3" s="310"/>
      <c r="H3" s="311">
        <f>G11+'26일'!H3:I3</f>
        <v>60819400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734</v>
      </c>
      <c r="F6" s="15" t="s">
        <v>735</v>
      </c>
      <c r="G6" s="16" t="s">
        <v>736</v>
      </c>
      <c r="H6" s="17">
        <v>0.71</v>
      </c>
      <c r="I6" s="18">
        <v>0.42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1751600</v>
      </c>
      <c r="D11" s="102">
        <v>123</v>
      </c>
      <c r="E11" s="109">
        <f>SUM(E55:I56)</f>
        <v>593000</v>
      </c>
      <c r="F11" s="109">
        <f>SUM(E53:I54)</f>
        <v>12</v>
      </c>
      <c r="G11" s="110">
        <f>C11+E11</f>
        <v>2344600</v>
      </c>
      <c r="H11" s="110">
        <f>D11+F11</f>
        <v>135</v>
      </c>
      <c r="I11" s="111">
        <f>G11/H11</f>
        <v>17367.407407407409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/>
      <c r="F13" s="24"/>
      <c r="G13" s="25"/>
      <c r="H13" s="23">
        <v>1</v>
      </c>
      <c r="I13" s="26">
        <f>C13-D13-D14*1/2-E13-E14*1/2+F13-H13-H14*1/2-I14*1/2</f>
        <v>18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20</v>
      </c>
      <c r="D15" s="29"/>
      <c r="E15" s="30">
        <v>1</v>
      </c>
      <c r="F15" s="34"/>
      <c r="G15" s="25"/>
      <c r="H15" s="29">
        <v>1</v>
      </c>
      <c r="I15" s="35">
        <f>C15-D15-D16*1/2-E15-E16*1/2+F15-H15-H16*1/2-I16*1/2</f>
        <v>18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56</v>
      </c>
      <c r="D17" s="29"/>
      <c r="E17" s="30">
        <v>1</v>
      </c>
      <c r="F17" s="34"/>
      <c r="G17" s="118"/>
      <c r="H17" s="29"/>
      <c r="I17" s="37">
        <f>C17-D17-D18*1/2-E17-E18*1/2+F17-H17-H18*1/2-I18*1/2</f>
        <v>54.5</v>
      </c>
    </row>
    <row r="18" spans="1:9" ht="17.25" customHeight="1" x14ac:dyDescent="0.3">
      <c r="A18" s="320"/>
      <c r="B18" s="27" t="s">
        <v>28</v>
      </c>
      <c r="C18" s="28"/>
      <c r="D18" s="29"/>
      <c r="E18" s="30"/>
      <c r="F18" s="31"/>
      <c r="G18" s="25"/>
      <c r="H18" s="29">
        <v>1</v>
      </c>
      <c r="I18" s="36"/>
    </row>
    <row r="19" spans="1:9" ht="17.25" customHeight="1" x14ac:dyDescent="0.3">
      <c r="A19" s="320"/>
      <c r="B19" s="27" t="s">
        <v>29</v>
      </c>
      <c r="C19" s="33">
        <v>12</v>
      </c>
      <c r="D19" s="29"/>
      <c r="E19" s="30"/>
      <c r="F19" s="34"/>
      <c r="G19" s="25"/>
      <c r="H19" s="29"/>
      <c r="I19" s="35">
        <f>C19-D19-D20*1/2-E19-E20*1/2+F19-H19-H20*1/2-I20*1/2</f>
        <v>12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60</v>
      </c>
      <c r="D21" s="41"/>
      <c r="E21" s="42">
        <v>1</v>
      </c>
      <c r="F21" s="43"/>
      <c r="G21" s="44"/>
      <c r="H21" s="43">
        <v>4</v>
      </c>
      <c r="I21" s="45">
        <f t="shared" ref="I21:I48" si="0">C21-D21-E21+F21-H21</f>
        <v>55</v>
      </c>
    </row>
    <row r="22" spans="1:9" ht="17.25" customHeight="1" x14ac:dyDescent="0.3">
      <c r="A22" s="320"/>
      <c r="B22" s="21" t="s">
        <v>32</v>
      </c>
      <c r="C22" s="46">
        <v>30</v>
      </c>
      <c r="D22" s="23"/>
      <c r="E22" s="47"/>
      <c r="F22" s="48"/>
      <c r="G22" s="25"/>
      <c r="H22" s="48">
        <v>4</v>
      </c>
      <c r="I22" s="49">
        <f t="shared" si="0"/>
        <v>26</v>
      </c>
    </row>
    <row r="23" spans="1:9" ht="17.25" customHeight="1" x14ac:dyDescent="0.3">
      <c r="A23" s="320"/>
      <c r="B23" s="27" t="s">
        <v>33</v>
      </c>
      <c r="C23" s="33">
        <v>147</v>
      </c>
      <c r="D23" s="29"/>
      <c r="E23" s="50">
        <v>2</v>
      </c>
      <c r="F23" s="51"/>
      <c r="G23" s="25"/>
      <c r="H23" s="51">
        <v>16</v>
      </c>
      <c r="I23" s="52">
        <f>C23-D23-D24-E23-E24+F23+F24-H23-H24-I24</f>
        <v>128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1</v>
      </c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23</v>
      </c>
      <c r="D25" s="23"/>
      <c r="E25" s="47"/>
      <c r="F25" s="48"/>
      <c r="G25" s="112"/>
      <c r="H25" s="48"/>
      <c r="I25" s="49">
        <f t="shared" si="0"/>
        <v>23</v>
      </c>
    </row>
    <row r="26" spans="1:9" ht="17.25" customHeight="1" x14ac:dyDescent="0.3">
      <c r="A26" s="320"/>
      <c r="B26" s="160" t="s">
        <v>36</v>
      </c>
      <c r="C26" s="55">
        <v>42</v>
      </c>
      <c r="D26" s="41"/>
      <c r="E26" s="42"/>
      <c r="F26" s="43"/>
      <c r="G26" s="113"/>
      <c r="H26" s="43">
        <v>6</v>
      </c>
      <c r="I26" s="45">
        <f t="shared" si="0"/>
        <v>36</v>
      </c>
    </row>
    <row r="27" spans="1:9" ht="17.25" customHeight="1" x14ac:dyDescent="0.3">
      <c r="A27" s="320"/>
      <c r="B27" s="21" t="s">
        <v>37</v>
      </c>
      <c r="C27" s="46">
        <v>25</v>
      </c>
      <c r="D27" s="23"/>
      <c r="E27" s="47"/>
      <c r="F27" s="48"/>
      <c r="G27" s="112"/>
      <c r="H27" s="48">
        <v>14</v>
      </c>
      <c r="I27" s="49">
        <f t="shared" si="0"/>
        <v>11</v>
      </c>
    </row>
    <row r="28" spans="1:9" ht="17.25" customHeight="1" x14ac:dyDescent="0.3">
      <c r="A28" s="320"/>
      <c r="B28" s="160" t="s">
        <v>38</v>
      </c>
      <c r="C28" s="55">
        <v>33</v>
      </c>
      <c r="D28" s="41">
        <v>1</v>
      </c>
      <c r="E28" s="42">
        <v>2</v>
      </c>
      <c r="F28" s="43"/>
      <c r="G28" s="113"/>
      <c r="H28" s="43">
        <v>22</v>
      </c>
      <c r="I28" s="45">
        <f t="shared" si="0"/>
        <v>8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62</v>
      </c>
      <c r="D30" s="29"/>
      <c r="E30" s="50">
        <v>1</v>
      </c>
      <c r="F30" s="51"/>
      <c r="G30" s="25"/>
      <c r="H30" s="51"/>
      <c r="I30" s="52">
        <f>C30-D30-D31-E30-E31+F30+F31-H30-H31-I31</f>
        <v>61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14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3</v>
      </c>
      <c r="F36" s="124"/>
      <c r="G36" s="112"/>
      <c r="H36" s="124"/>
      <c r="I36" s="52">
        <f>C36-D36-E36+F36-H36</f>
        <v>17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0"/>
      <c r="B47" s="120" t="s">
        <v>88</v>
      </c>
      <c r="C47" s="121">
        <v>8</v>
      </c>
      <c r="D47" s="122"/>
      <c r="E47" s="123"/>
      <c r="F47" s="124"/>
      <c r="G47" s="112"/>
      <c r="H47" s="124"/>
      <c r="I47" s="52">
        <f t="shared" si="0"/>
        <v>8</v>
      </c>
    </row>
    <row r="48" spans="1:9" ht="17.25" customHeight="1" x14ac:dyDescent="0.3">
      <c r="A48" s="320"/>
      <c r="B48" s="56" t="s">
        <v>737</v>
      </c>
      <c r="C48" s="117"/>
      <c r="D48" s="29"/>
      <c r="E48" s="50"/>
      <c r="F48" s="51"/>
      <c r="G48" s="25"/>
      <c r="H48" s="51">
        <v>1</v>
      </c>
      <c r="I48" s="52">
        <f t="shared" si="0"/>
        <v>-1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573</v>
      </c>
      <c r="D51" s="66">
        <f>SUM(D13:D46)</f>
        <v>1</v>
      </c>
      <c r="E51" s="67">
        <f>SUM(E13:E46)</f>
        <v>15</v>
      </c>
      <c r="F51" s="67">
        <f>SUM(F13:F46)</f>
        <v>0</v>
      </c>
      <c r="G51" s="68" t="s">
        <v>22</v>
      </c>
      <c r="H51" s="69">
        <f>SUM(H13:H46)</f>
        <v>70</v>
      </c>
      <c r="I51" s="70">
        <f>SUM(I13:I46)</f>
        <v>496.5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5</v>
      </c>
      <c r="F53" s="334">
        <v>2</v>
      </c>
      <c r="G53" s="334">
        <v>3</v>
      </c>
      <c r="H53" s="334"/>
      <c r="I53" s="337">
        <v>2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139300</v>
      </c>
      <c r="F55" s="341">
        <v>45800</v>
      </c>
      <c r="G55" s="341">
        <v>32500</v>
      </c>
      <c r="H55" s="334"/>
      <c r="I55" s="348">
        <v>375400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747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748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749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750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412" t="s">
        <v>738</v>
      </c>
      <c r="D61" s="413"/>
      <c r="E61" s="413"/>
      <c r="F61" s="413"/>
      <c r="G61" s="413"/>
      <c r="H61" s="413"/>
      <c r="I61" s="414"/>
    </row>
    <row r="62" spans="1:10" s="76" customFormat="1" ht="17.25" customHeight="1" x14ac:dyDescent="0.3">
      <c r="A62" s="326"/>
      <c r="B62" s="327"/>
      <c r="C62" s="415"/>
      <c r="D62" s="350"/>
      <c r="E62" s="350"/>
      <c r="F62" s="350"/>
      <c r="G62" s="350"/>
      <c r="H62" s="350"/>
      <c r="I62" s="416"/>
    </row>
    <row r="63" spans="1:10" s="76" customFormat="1" ht="17.25" customHeight="1" x14ac:dyDescent="0.3">
      <c r="A63" s="326"/>
      <c r="B63" s="327"/>
      <c r="C63" s="356" t="s">
        <v>746</v>
      </c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 t="s">
        <v>774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771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739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770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740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741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742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743</v>
      </c>
      <c r="E79" s="94">
        <v>0.8125</v>
      </c>
      <c r="F79" s="93" t="s">
        <v>744</v>
      </c>
      <c r="G79" s="385" t="s">
        <v>745</v>
      </c>
      <c r="H79" s="386"/>
      <c r="I79" s="95" t="s">
        <v>745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22" zoomScale="90" zoomScaleNormal="90" workbookViewId="0">
      <selection activeCell="C30" sqref="C30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751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752</v>
      </c>
      <c r="D3" s="5" t="s">
        <v>4</v>
      </c>
      <c r="E3" s="302"/>
      <c r="F3" s="309" t="s">
        <v>753</v>
      </c>
      <c r="G3" s="310"/>
      <c r="H3" s="311">
        <f>G11+'27일'!H3:I3</f>
        <v>63221800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754</v>
      </c>
      <c r="F6" s="15" t="s">
        <v>755</v>
      </c>
      <c r="G6" s="16" t="s">
        <v>756</v>
      </c>
      <c r="H6" s="17">
        <v>0.62</v>
      </c>
      <c r="I6" s="18">
        <v>0.42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2005200</v>
      </c>
      <c r="D11" s="102">
        <v>135</v>
      </c>
      <c r="E11" s="109">
        <f>SUM(E55:I56)</f>
        <v>397200</v>
      </c>
      <c r="F11" s="109">
        <f>SUM(E53:I54)</f>
        <v>16</v>
      </c>
      <c r="G11" s="110">
        <f>C11+E11</f>
        <v>2402400</v>
      </c>
      <c r="H11" s="110">
        <f>D11+F11</f>
        <v>151</v>
      </c>
      <c r="I11" s="111">
        <f>G11/H11</f>
        <v>15909.933774834437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/>
      <c r="F13" s="24"/>
      <c r="G13" s="25"/>
      <c r="H13" s="23">
        <v>1</v>
      </c>
      <c r="I13" s="26">
        <f>C13-D13-D14*1/2-E13-E14*1/2+F13-H13-H14*1/2-I14*1/2</f>
        <v>18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>
        <v>1</v>
      </c>
      <c r="I14" s="32"/>
    </row>
    <row r="15" spans="1:9" ht="17.25" customHeight="1" x14ac:dyDescent="0.3">
      <c r="A15" s="320"/>
      <c r="B15" s="27" t="s">
        <v>25</v>
      </c>
      <c r="C15" s="33">
        <v>20</v>
      </c>
      <c r="D15" s="29"/>
      <c r="E15" s="30"/>
      <c r="F15" s="34"/>
      <c r="G15" s="25"/>
      <c r="H15" s="29">
        <v>5</v>
      </c>
      <c r="I15" s="35">
        <f>C15-D15-D16*1/2-E15-E16*1/2+F15-H15-H16*1/2-I16*1/2</f>
        <v>14.5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16</v>
      </c>
      <c r="D17" s="29"/>
      <c r="E17" s="30"/>
      <c r="F17" s="34"/>
      <c r="G17" s="118"/>
      <c r="H17" s="29"/>
      <c r="I17" s="37">
        <f>C17-D17-D18*1/2-E17-E18*1/2+F17-H17-H18*1/2-I18*1/2</f>
        <v>15.5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13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65</v>
      </c>
      <c r="D21" s="41"/>
      <c r="E21" s="42"/>
      <c r="F21" s="43"/>
      <c r="G21" s="44"/>
      <c r="H21" s="43"/>
      <c r="I21" s="45">
        <f t="shared" ref="I21:I48" si="0">C21-D21-E21+F21-H21</f>
        <v>65</v>
      </c>
    </row>
    <row r="22" spans="1:9" ht="17.25" customHeight="1" x14ac:dyDescent="0.3">
      <c r="A22" s="320"/>
      <c r="B22" s="21" t="s">
        <v>32</v>
      </c>
      <c r="C22" s="46">
        <v>24</v>
      </c>
      <c r="D22" s="23"/>
      <c r="E22" s="47"/>
      <c r="F22" s="48"/>
      <c r="G22" s="25"/>
      <c r="H22" s="48">
        <v>1</v>
      </c>
      <c r="I22" s="49">
        <f t="shared" si="0"/>
        <v>23</v>
      </c>
    </row>
    <row r="23" spans="1:9" ht="17.25" customHeight="1" x14ac:dyDescent="0.3">
      <c r="A23" s="320"/>
      <c r="B23" s="27" t="s">
        <v>33</v>
      </c>
      <c r="C23" s="33">
        <v>134</v>
      </c>
      <c r="D23" s="29"/>
      <c r="E23" s="50">
        <v>2</v>
      </c>
      <c r="F23" s="51"/>
      <c r="G23" s="25"/>
      <c r="H23" s="51">
        <v>14</v>
      </c>
      <c r="I23" s="52">
        <f>C23-D23-D24-E23-E24+F23+F24-H23-H24-I24</f>
        <v>118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/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>
        <v>2</v>
      </c>
      <c r="E25" s="47"/>
      <c r="F25" s="48"/>
      <c r="G25" s="112"/>
      <c r="H25" s="48"/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42</v>
      </c>
      <c r="D26" s="41"/>
      <c r="E26" s="42">
        <v>1</v>
      </c>
      <c r="F26" s="43"/>
      <c r="G26" s="113"/>
      <c r="H26" s="43">
        <v>4</v>
      </c>
      <c r="I26" s="45">
        <f t="shared" si="0"/>
        <v>37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/>
      <c r="F27" s="48"/>
      <c r="G27" s="112"/>
      <c r="H27" s="48"/>
      <c r="I27" s="49">
        <f t="shared" si="0"/>
        <v>27</v>
      </c>
    </row>
    <row r="28" spans="1:9" ht="17.25" customHeight="1" x14ac:dyDescent="0.3">
      <c r="A28" s="320"/>
      <c r="B28" s="160" t="s">
        <v>38</v>
      </c>
      <c r="C28" s="55">
        <v>37</v>
      </c>
      <c r="D28" s="41"/>
      <c r="E28" s="42"/>
      <c r="F28" s="43"/>
      <c r="G28" s="113"/>
      <c r="H28" s="43"/>
      <c r="I28" s="45">
        <f t="shared" si="0"/>
        <v>37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20"/>
      <c r="B30" s="56" t="s">
        <v>40</v>
      </c>
      <c r="C30" s="57">
        <v>78</v>
      </c>
      <c r="D30" s="29"/>
      <c r="E30" s="50">
        <v>1</v>
      </c>
      <c r="F30" s="51"/>
      <c r="G30" s="25"/>
      <c r="H30" s="51">
        <v>20</v>
      </c>
      <c r="I30" s="52">
        <f>C30-D30-D31-E30-E31+F30+F31-H30-H31-I31</f>
        <v>56</v>
      </c>
    </row>
    <row r="31" spans="1:9" ht="17.25" customHeight="1" x14ac:dyDescent="0.3">
      <c r="A31" s="320"/>
      <c r="B31" s="58" t="s">
        <v>41</v>
      </c>
      <c r="C31" s="59"/>
      <c r="D31" s="60"/>
      <c r="E31" s="61">
        <v>1</v>
      </c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1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1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1</v>
      </c>
      <c r="F35" s="48"/>
      <c r="G35" s="116"/>
      <c r="H35" s="48"/>
      <c r="I35" s="282">
        <v>20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24</v>
      </c>
      <c r="D46" s="23"/>
      <c r="E46" s="47"/>
      <c r="F46" s="48"/>
      <c r="G46" s="116"/>
      <c r="H46" s="48"/>
      <c r="I46" s="49">
        <f t="shared" si="0"/>
        <v>24</v>
      </c>
    </row>
    <row r="47" spans="1:9" ht="17.25" customHeight="1" x14ac:dyDescent="0.3">
      <c r="A47" s="320"/>
      <c r="B47" s="120" t="s">
        <v>88</v>
      </c>
      <c r="C47" s="121">
        <v>10</v>
      </c>
      <c r="D47" s="122"/>
      <c r="E47" s="123"/>
      <c r="F47" s="124"/>
      <c r="G47" s="112"/>
      <c r="H47" s="124">
        <v>4</v>
      </c>
      <c r="I47" s="52">
        <f t="shared" si="0"/>
        <v>6</v>
      </c>
    </row>
    <row r="48" spans="1:9" ht="17.25" customHeight="1" x14ac:dyDescent="0.3">
      <c r="A48" s="320"/>
      <c r="B48" s="56" t="s">
        <v>757</v>
      </c>
      <c r="C48" s="117">
        <v>10</v>
      </c>
      <c r="D48" s="29"/>
      <c r="E48" s="50"/>
      <c r="F48" s="51"/>
      <c r="G48" s="25"/>
      <c r="H48" s="51">
        <v>3</v>
      </c>
      <c r="I48" s="52">
        <f t="shared" si="0"/>
        <v>7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569</v>
      </c>
      <c r="D51" s="66">
        <f>SUM(D13:D46)</f>
        <v>2</v>
      </c>
      <c r="E51" s="67">
        <f>SUM(E13:E46)</f>
        <v>9</v>
      </c>
      <c r="F51" s="67">
        <f>SUM(F13:F46)</f>
        <v>0</v>
      </c>
      <c r="G51" s="68" t="s">
        <v>22</v>
      </c>
      <c r="H51" s="69">
        <f>SUM(H13:H46)</f>
        <v>47</v>
      </c>
      <c r="I51" s="70">
        <f>SUM(I13:I46)</f>
        <v>516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5</v>
      </c>
      <c r="F53" s="334"/>
      <c r="G53" s="334">
        <v>10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105000</v>
      </c>
      <c r="F55" s="341"/>
      <c r="G55" s="341">
        <v>148200</v>
      </c>
      <c r="H55" s="334"/>
      <c r="I55" s="348">
        <v>144000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779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775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776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777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412" t="s">
        <v>767</v>
      </c>
      <c r="D61" s="413"/>
      <c r="E61" s="413"/>
      <c r="F61" s="413"/>
      <c r="G61" s="413"/>
      <c r="H61" s="413"/>
      <c r="I61" s="414"/>
    </row>
    <row r="62" spans="1:10" s="76" customFormat="1" ht="17.25" customHeight="1" x14ac:dyDescent="0.3">
      <c r="A62" s="326"/>
      <c r="B62" s="327"/>
      <c r="C62" s="415"/>
      <c r="D62" s="350"/>
      <c r="E62" s="350"/>
      <c r="F62" s="350"/>
      <c r="G62" s="350"/>
      <c r="H62" s="350"/>
      <c r="I62" s="416"/>
    </row>
    <row r="63" spans="1:10" s="76" customFormat="1" ht="17.25" customHeight="1" x14ac:dyDescent="0.3">
      <c r="A63" s="326"/>
      <c r="B63" s="327"/>
      <c r="C63" s="355" t="s">
        <v>768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 t="s">
        <v>778</v>
      </c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 t="s">
        <v>769</v>
      </c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 t="s">
        <v>772</v>
      </c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758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759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 t="s">
        <v>773</v>
      </c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766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760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761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762</v>
      </c>
      <c r="E79" s="94">
        <v>0.8125</v>
      </c>
      <c r="F79" s="93" t="s">
        <v>763</v>
      </c>
      <c r="G79" s="385" t="s">
        <v>764</v>
      </c>
      <c r="H79" s="386"/>
      <c r="I79" s="95" t="s">
        <v>765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5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C61:I62"/>
    <mergeCell ref="A12:A51"/>
    <mergeCell ref="A52:B56"/>
    <mergeCell ref="C53:C54"/>
    <mergeCell ref="D53:D54"/>
    <mergeCell ref="E53:E54"/>
    <mergeCell ref="A57:B60"/>
    <mergeCell ref="C57:I57"/>
    <mergeCell ref="C58:I58"/>
    <mergeCell ref="A61:B64"/>
    <mergeCell ref="C59:I59"/>
    <mergeCell ref="C60:I60"/>
    <mergeCell ref="C64:I64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65:A69"/>
    <mergeCell ref="B65:B66"/>
    <mergeCell ref="B67:B69"/>
    <mergeCell ref="C67:I67"/>
    <mergeCell ref="C68:I68"/>
    <mergeCell ref="C69:I69"/>
    <mergeCell ref="C65:I65"/>
    <mergeCell ref="C66:I66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37" zoomScale="90" zoomScaleNormal="90" workbookViewId="0">
      <selection activeCell="B48" sqref="B48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780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781</v>
      </c>
      <c r="D3" s="5" t="s">
        <v>4</v>
      </c>
      <c r="E3" s="302"/>
      <c r="F3" s="309" t="s">
        <v>782</v>
      </c>
      <c r="G3" s="310"/>
      <c r="H3" s="311">
        <f>G11+'28일'!H3:I3</f>
        <v>66107900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784</v>
      </c>
      <c r="F6" s="15" t="s">
        <v>783</v>
      </c>
      <c r="G6" s="16" t="s">
        <v>785</v>
      </c>
      <c r="H6" s="17">
        <v>0.36</v>
      </c>
      <c r="I6" s="18">
        <v>0.35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2681500</v>
      </c>
      <c r="D11" s="102">
        <v>200</v>
      </c>
      <c r="E11" s="109">
        <f>SUM(E55:I56)</f>
        <v>204600</v>
      </c>
      <c r="F11" s="109">
        <f>SUM(E53:I54)</f>
        <v>11</v>
      </c>
      <c r="G11" s="110">
        <f>C11+E11</f>
        <v>2886100</v>
      </c>
      <c r="H11" s="110">
        <f>D11+F11</f>
        <v>211</v>
      </c>
      <c r="I11" s="111">
        <f>G11/H11</f>
        <v>13678.199052132701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33</v>
      </c>
      <c r="D13" s="23"/>
      <c r="E13" s="22">
        <v>1</v>
      </c>
      <c r="F13" s="24"/>
      <c r="G13" s="25"/>
      <c r="H13" s="23">
        <v>6</v>
      </c>
      <c r="I13" s="26">
        <f>C13-D13-D14*1/2-E13-E14*1/2+F13-H13-H14*1/2-I14*1/2</f>
        <v>26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24</v>
      </c>
      <c r="D15" s="29"/>
      <c r="E15" s="30"/>
      <c r="F15" s="34"/>
      <c r="G15" s="25"/>
      <c r="H15" s="29">
        <v>8</v>
      </c>
      <c r="I15" s="35">
        <f>C15-D15-D16*1/2-E15-E16*1/2+F15-H15-H16*1/2-I16*1/2</f>
        <v>15.5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35</v>
      </c>
      <c r="D17" s="29"/>
      <c r="E17" s="30">
        <v>1</v>
      </c>
      <c r="F17" s="34"/>
      <c r="G17" s="118"/>
      <c r="H17" s="29"/>
      <c r="I17" s="37">
        <f>C17-D17-D18*1/2-E17-E18*1/2+F17-H17-H18*1/2-I18*1/2</f>
        <v>33.5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13</v>
      </c>
      <c r="D19" s="29"/>
      <c r="E19" s="30"/>
      <c r="F19" s="34"/>
      <c r="G19" s="25"/>
      <c r="H19" s="29"/>
      <c r="I19" s="35">
        <f>C19-D19-D20*1/2-E19-E20*1/2+F19-H19-H20*1/2-I20*1/2</f>
        <v>13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80</v>
      </c>
      <c r="D21" s="41"/>
      <c r="E21" s="42">
        <v>2</v>
      </c>
      <c r="F21" s="43"/>
      <c r="G21" s="44"/>
      <c r="H21" s="43">
        <v>9</v>
      </c>
      <c r="I21" s="45">
        <f t="shared" ref="I21:I48" si="0">C21-D21-E21+F21-H21</f>
        <v>69</v>
      </c>
    </row>
    <row r="22" spans="1:9" ht="17.25" customHeight="1" x14ac:dyDescent="0.3">
      <c r="A22" s="320"/>
      <c r="B22" s="21" t="s">
        <v>32</v>
      </c>
      <c r="C22" s="46">
        <v>28</v>
      </c>
      <c r="D22" s="23"/>
      <c r="E22" s="47"/>
      <c r="F22" s="48"/>
      <c r="G22" s="25"/>
      <c r="H22" s="48">
        <v>6</v>
      </c>
      <c r="I22" s="49">
        <f t="shared" si="0"/>
        <v>22</v>
      </c>
    </row>
    <row r="23" spans="1:9" ht="17.25" customHeight="1" x14ac:dyDescent="0.3">
      <c r="A23" s="320"/>
      <c r="B23" s="27" t="s">
        <v>33</v>
      </c>
      <c r="C23" s="33">
        <v>140</v>
      </c>
      <c r="D23" s="29"/>
      <c r="E23" s="50">
        <v>3</v>
      </c>
      <c r="F23" s="51"/>
      <c r="G23" s="25"/>
      <c r="H23" s="51"/>
      <c r="I23" s="52">
        <f>C23-D23-D24-E23-E24+F23+F24-H23-H24-I24</f>
        <v>119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3</v>
      </c>
      <c r="F24" s="43"/>
      <c r="G24" s="113"/>
      <c r="H24" s="43">
        <v>15</v>
      </c>
      <c r="I24" s="54"/>
    </row>
    <row r="25" spans="1:9" ht="17.25" customHeight="1" x14ac:dyDescent="0.3">
      <c r="A25" s="320"/>
      <c r="B25" s="21" t="s">
        <v>35</v>
      </c>
      <c r="C25" s="46">
        <v>23</v>
      </c>
      <c r="D25" s="23"/>
      <c r="E25" s="47">
        <v>1</v>
      </c>
      <c r="F25" s="48"/>
      <c r="G25" s="112"/>
      <c r="H25" s="48"/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43</v>
      </c>
      <c r="D26" s="41"/>
      <c r="E26" s="42">
        <v>2</v>
      </c>
      <c r="F26" s="43"/>
      <c r="G26" s="113"/>
      <c r="H26" s="43"/>
      <c r="I26" s="45">
        <f t="shared" si="0"/>
        <v>41</v>
      </c>
    </row>
    <row r="27" spans="1:9" ht="17.25" customHeight="1" x14ac:dyDescent="0.3">
      <c r="A27" s="320"/>
      <c r="B27" s="21" t="s">
        <v>37</v>
      </c>
      <c r="C27" s="46">
        <v>27</v>
      </c>
      <c r="D27" s="23"/>
      <c r="E27" s="47"/>
      <c r="F27" s="48"/>
      <c r="G27" s="112"/>
      <c r="H27" s="48">
        <v>3</v>
      </c>
      <c r="I27" s="49">
        <f t="shared" si="0"/>
        <v>24</v>
      </c>
    </row>
    <row r="28" spans="1:9" ht="17.25" customHeight="1" x14ac:dyDescent="0.3">
      <c r="A28" s="320"/>
      <c r="B28" s="160" t="s">
        <v>38</v>
      </c>
      <c r="C28" s="55">
        <v>37</v>
      </c>
      <c r="D28" s="41"/>
      <c r="E28" s="42"/>
      <c r="F28" s="43"/>
      <c r="G28" s="113"/>
      <c r="H28" s="43">
        <v>2</v>
      </c>
      <c r="I28" s="45">
        <f t="shared" si="0"/>
        <v>35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/>
      <c r="I29" s="49">
        <f t="shared" si="0"/>
        <v>5</v>
      </c>
    </row>
    <row r="30" spans="1:9" ht="17.25" customHeight="1" x14ac:dyDescent="0.3">
      <c r="A30" s="320"/>
      <c r="B30" s="56" t="s">
        <v>40</v>
      </c>
      <c r="C30" s="57">
        <v>97</v>
      </c>
      <c r="D30" s="29"/>
      <c r="E30" s="50">
        <v>1</v>
      </c>
      <c r="F30" s="51"/>
      <c r="G30" s="25"/>
      <c r="H30" s="51">
        <v>31</v>
      </c>
      <c r="I30" s="52">
        <f>C30-D30-D31-E30-E31+F30+F31-H30-H31-I31</f>
        <v>65</v>
      </c>
    </row>
    <row r="31" spans="1:9" ht="17.25" customHeight="1" x14ac:dyDescent="0.3">
      <c r="A31" s="320"/>
      <c r="B31" s="58" t="s">
        <v>41</v>
      </c>
      <c r="C31" s="59"/>
      <c r="D31" s="60"/>
      <c r="E31" s="61"/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/>
      <c r="I33" s="188">
        <v>3</v>
      </c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35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/>
      <c r="F36" s="124"/>
      <c r="G36" s="112"/>
      <c r="H36" s="124"/>
      <c r="I36" s="52">
        <f>C36-D36-E36+F36-H36</f>
        <v>20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10</v>
      </c>
      <c r="D46" s="23"/>
      <c r="E46" s="47"/>
      <c r="F46" s="48"/>
      <c r="G46" s="116"/>
      <c r="H46" s="48"/>
      <c r="I46" s="49">
        <f t="shared" si="0"/>
        <v>10</v>
      </c>
    </row>
    <row r="47" spans="1:9" ht="17.25" customHeight="1" x14ac:dyDescent="0.3">
      <c r="A47" s="320"/>
      <c r="B47" s="120" t="s">
        <v>88</v>
      </c>
      <c r="C47" s="121">
        <v>10</v>
      </c>
      <c r="D47" s="122"/>
      <c r="E47" s="123"/>
      <c r="F47" s="124"/>
      <c r="G47" s="112"/>
      <c r="H47" s="124">
        <v>2</v>
      </c>
      <c r="I47" s="52">
        <f t="shared" si="0"/>
        <v>8</v>
      </c>
    </row>
    <row r="48" spans="1:9" ht="17.25" customHeight="1" x14ac:dyDescent="0.3">
      <c r="A48" s="320"/>
      <c r="B48" s="56" t="s">
        <v>662</v>
      </c>
      <c r="C48" s="117">
        <v>10</v>
      </c>
      <c r="D48" s="29"/>
      <c r="E48" s="50"/>
      <c r="F48" s="51"/>
      <c r="G48" s="25"/>
      <c r="H48" s="51"/>
      <c r="I48" s="52">
        <f t="shared" si="0"/>
        <v>10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635</v>
      </c>
      <c r="D51" s="66">
        <f>SUM(D13:D46)</f>
        <v>0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80</v>
      </c>
      <c r="I51" s="70">
        <f>SUM(I13:I46)</f>
        <v>560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2</v>
      </c>
      <c r="F53" s="334">
        <v>1</v>
      </c>
      <c r="G53" s="334">
        <v>7</v>
      </c>
      <c r="H53" s="334"/>
      <c r="I53" s="337">
        <v>1</v>
      </c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38000</v>
      </c>
      <c r="F55" s="341">
        <v>23200</v>
      </c>
      <c r="G55" s="341">
        <v>104800</v>
      </c>
      <c r="H55" s="334"/>
      <c r="I55" s="348">
        <v>38600</v>
      </c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793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794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795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796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786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6"/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/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787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788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789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790</v>
      </c>
      <c r="E79" s="94">
        <v>0.8125</v>
      </c>
      <c r="F79" s="93" t="s">
        <v>791</v>
      </c>
      <c r="G79" s="385" t="s">
        <v>792</v>
      </c>
      <c r="H79" s="386"/>
      <c r="I79" s="95" t="s">
        <v>792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opLeftCell="A52" zoomScale="90" zoomScaleNormal="90" workbookViewId="0">
      <selection activeCell="I35" sqref="I35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797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798</v>
      </c>
      <c r="D3" s="5" t="s">
        <v>4</v>
      </c>
      <c r="E3" s="302"/>
      <c r="F3" s="309" t="s">
        <v>799</v>
      </c>
      <c r="G3" s="310"/>
      <c r="H3" s="311">
        <f>G11+'29일'!H3:I3</f>
        <v>68350300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800</v>
      </c>
      <c r="F6" s="15" t="s">
        <v>801</v>
      </c>
      <c r="G6" s="16" t="s">
        <v>802</v>
      </c>
      <c r="H6" s="17">
        <v>0.41</v>
      </c>
      <c r="I6" s="18">
        <v>0.38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2055100</v>
      </c>
      <c r="D11" s="102">
        <v>141</v>
      </c>
      <c r="E11" s="109">
        <f>SUM(E55:I56)</f>
        <v>187300</v>
      </c>
      <c r="F11" s="109">
        <f>SUM(E53:I54)</f>
        <v>14</v>
      </c>
      <c r="G11" s="110">
        <f>C11+E11</f>
        <v>2242400</v>
      </c>
      <c r="H11" s="110">
        <f>D11+F11</f>
        <v>155</v>
      </c>
      <c r="I11" s="111">
        <f>G11/H11</f>
        <v>14467.096774193549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20</v>
      </c>
      <c r="D13" s="23"/>
      <c r="E13" s="22"/>
      <c r="F13" s="24"/>
      <c r="G13" s="25"/>
      <c r="H13" s="23"/>
      <c r="I13" s="26">
        <f>C13-D13-D14*1/2-E13-E14*1/2+F13-H13-H14*1/2-I14*1/2</f>
        <v>19.5</v>
      </c>
    </row>
    <row r="14" spans="1:9" ht="17.25" customHeight="1" x14ac:dyDescent="0.3">
      <c r="A14" s="320"/>
      <c r="B14" s="27" t="s">
        <v>24</v>
      </c>
      <c r="C14" s="28"/>
      <c r="D14" s="29"/>
      <c r="E14" s="30">
        <v>1</v>
      </c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19</v>
      </c>
      <c r="D15" s="29"/>
      <c r="E15" s="30"/>
      <c r="F15" s="34"/>
      <c r="G15" s="25"/>
      <c r="H15" s="29">
        <v>4</v>
      </c>
      <c r="I15" s="35">
        <f>C15-D15-D16*1/2-E15-E16*1/2+F15-H15-H16*1/2-I16*1/2</f>
        <v>14.5</v>
      </c>
    </row>
    <row r="16" spans="1:9" ht="17.25" customHeight="1" x14ac:dyDescent="0.3">
      <c r="A16" s="320"/>
      <c r="B16" s="27" t="s">
        <v>26</v>
      </c>
      <c r="C16" s="28"/>
      <c r="D16" s="29"/>
      <c r="E16" s="30">
        <v>1</v>
      </c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20</v>
      </c>
      <c r="D17" s="29"/>
      <c r="E17" s="30">
        <v>1</v>
      </c>
      <c r="F17" s="34"/>
      <c r="G17" s="118"/>
      <c r="H17" s="29"/>
      <c r="I17" s="37">
        <f>C17-D17-D18*1/2-E17-E18*1/2+F17-H17-H18*1/2-I18*1/2</f>
        <v>18.5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10</v>
      </c>
      <c r="D19" s="29"/>
      <c r="E19" s="30"/>
      <c r="F19" s="34"/>
      <c r="G19" s="25"/>
      <c r="H19" s="29"/>
      <c r="I19" s="35">
        <f>C19-D19-D20*1/2-E19-E20*1/2+F19-H19-H20*1/2-I20*1/2</f>
        <v>9.5</v>
      </c>
    </row>
    <row r="20" spans="1:9" ht="17.25" customHeight="1" x14ac:dyDescent="0.3">
      <c r="A20" s="320"/>
      <c r="B20" s="27" t="s">
        <v>30</v>
      </c>
      <c r="C20" s="28"/>
      <c r="D20" s="29"/>
      <c r="E20" s="30"/>
      <c r="F20" s="31"/>
      <c r="G20" s="25"/>
      <c r="H20" s="29">
        <v>1</v>
      </c>
      <c r="I20" s="38"/>
    </row>
    <row r="21" spans="1:9" ht="17.25" customHeight="1" x14ac:dyDescent="0.3">
      <c r="A21" s="320"/>
      <c r="B21" s="39" t="s">
        <v>31</v>
      </c>
      <c r="C21" s="40">
        <v>62</v>
      </c>
      <c r="D21" s="41"/>
      <c r="E21" s="42">
        <v>3</v>
      </c>
      <c r="F21" s="43"/>
      <c r="G21" s="44"/>
      <c r="H21" s="43">
        <v>2</v>
      </c>
      <c r="I21" s="45">
        <f t="shared" ref="I21:I48" si="0">C21-D21-E21+F21-H21</f>
        <v>57</v>
      </c>
    </row>
    <row r="22" spans="1:9" ht="17.25" customHeight="1" x14ac:dyDescent="0.3">
      <c r="A22" s="320"/>
      <c r="B22" s="21" t="s">
        <v>32</v>
      </c>
      <c r="C22" s="46">
        <v>29</v>
      </c>
      <c r="D22" s="23"/>
      <c r="E22" s="47">
        <v>2</v>
      </c>
      <c r="F22" s="48"/>
      <c r="G22" s="25"/>
      <c r="H22" s="48">
        <v>2</v>
      </c>
      <c r="I22" s="49">
        <f t="shared" si="0"/>
        <v>25</v>
      </c>
    </row>
    <row r="23" spans="1:9" ht="17.25" customHeight="1" x14ac:dyDescent="0.3">
      <c r="A23" s="320"/>
      <c r="B23" s="27" t="s">
        <v>33</v>
      </c>
      <c r="C23" s="33">
        <v>168</v>
      </c>
      <c r="D23" s="29"/>
      <c r="E23" s="50">
        <v>4</v>
      </c>
      <c r="F23" s="51"/>
      <c r="G23" s="25"/>
      <c r="H23" s="51">
        <v>12</v>
      </c>
      <c r="I23" s="52">
        <f>C23-D23-D24-E23-E24+F23+F24-H23-H24-I24</f>
        <v>115</v>
      </c>
    </row>
    <row r="24" spans="1:9" ht="17.25" customHeight="1" x14ac:dyDescent="0.3">
      <c r="A24" s="320"/>
      <c r="B24" s="160" t="s">
        <v>34</v>
      </c>
      <c r="C24" s="53"/>
      <c r="D24" s="41"/>
      <c r="E24" s="42">
        <v>4</v>
      </c>
      <c r="F24" s="43"/>
      <c r="G24" s="113"/>
      <c r="H24" s="43">
        <v>33</v>
      </c>
      <c r="I24" s="54"/>
    </row>
    <row r="25" spans="1:9" ht="17.25" customHeight="1" x14ac:dyDescent="0.3">
      <c r="A25" s="320"/>
      <c r="B25" s="21" t="s">
        <v>35</v>
      </c>
      <c r="C25" s="46">
        <v>24</v>
      </c>
      <c r="D25" s="23"/>
      <c r="E25" s="47">
        <v>2</v>
      </c>
      <c r="F25" s="48"/>
      <c r="G25" s="112"/>
      <c r="H25" s="48"/>
      <c r="I25" s="49">
        <f t="shared" si="0"/>
        <v>22</v>
      </c>
    </row>
    <row r="26" spans="1:9" ht="17.25" customHeight="1" x14ac:dyDescent="0.3">
      <c r="A26" s="320"/>
      <c r="B26" s="160" t="s">
        <v>36</v>
      </c>
      <c r="C26" s="55">
        <v>44</v>
      </c>
      <c r="D26" s="41"/>
      <c r="E26" s="42"/>
      <c r="F26" s="43"/>
      <c r="G26" s="113"/>
      <c r="H26" s="43">
        <v>10</v>
      </c>
      <c r="I26" s="45">
        <f t="shared" si="0"/>
        <v>34</v>
      </c>
    </row>
    <row r="27" spans="1:9" ht="17.25" customHeight="1" x14ac:dyDescent="0.3">
      <c r="A27" s="320"/>
      <c r="B27" s="21" t="s">
        <v>37</v>
      </c>
      <c r="C27" s="46">
        <v>25</v>
      </c>
      <c r="D27" s="23"/>
      <c r="E27" s="47"/>
      <c r="F27" s="48"/>
      <c r="G27" s="112"/>
      <c r="H27" s="48">
        <v>4</v>
      </c>
      <c r="I27" s="49">
        <f t="shared" si="0"/>
        <v>21</v>
      </c>
    </row>
    <row r="28" spans="1:9" ht="17.25" customHeight="1" x14ac:dyDescent="0.3">
      <c r="A28" s="320"/>
      <c r="B28" s="160" t="s">
        <v>38</v>
      </c>
      <c r="C28" s="55">
        <v>34</v>
      </c>
      <c r="D28" s="41">
        <v>2</v>
      </c>
      <c r="E28" s="42">
        <v>1</v>
      </c>
      <c r="F28" s="43"/>
      <c r="G28" s="113"/>
      <c r="H28" s="43">
        <v>15</v>
      </c>
      <c r="I28" s="45">
        <f t="shared" si="0"/>
        <v>16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1</v>
      </c>
      <c r="I29" s="49">
        <f t="shared" si="0"/>
        <v>4</v>
      </c>
    </row>
    <row r="30" spans="1:9" ht="17.25" customHeight="1" x14ac:dyDescent="0.3">
      <c r="A30" s="320"/>
      <c r="B30" s="56" t="s">
        <v>40</v>
      </c>
      <c r="C30" s="57">
        <v>78</v>
      </c>
      <c r="D30" s="29"/>
      <c r="E30" s="50"/>
      <c r="F30" s="51"/>
      <c r="G30" s="25"/>
      <c r="H30" s="51">
        <v>17</v>
      </c>
      <c r="I30" s="52">
        <f>C30-D30-D31-E30-E31+F30+F31-H30-H31-I31</f>
        <v>59</v>
      </c>
    </row>
    <row r="31" spans="1:9" ht="17.25" customHeight="1" x14ac:dyDescent="0.3">
      <c r="A31" s="320"/>
      <c r="B31" s="58" t="s">
        <v>41</v>
      </c>
      <c r="C31" s="59"/>
      <c r="D31" s="60"/>
      <c r="E31" s="61">
        <v>2</v>
      </c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/>
      <c r="F33" s="51"/>
      <c r="G33" s="25"/>
      <c r="H33" s="51">
        <v>4</v>
      </c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>
        <v>2</v>
      </c>
      <c r="I34" s="189"/>
    </row>
    <row r="35" spans="1:9" ht="17.25" customHeight="1" x14ac:dyDescent="0.3">
      <c r="A35" s="320"/>
      <c r="B35" s="191" t="s">
        <v>79</v>
      </c>
      <c r="C35" s="281"/>
      <c r="D35" s="23"/>
      <c r="E35" s="47">
        <v>2</v>
      </c>
      <c r="F35" s="48"/>
      <c r="G35" s="116"/>
      <c r="H35" s="48"/>
      <c r="I35" s="282">
        <v>20</v>
      </c>
    </row>
    <row r="36" spans="1:9" ht="17.25" customHeight="1" x14ac:dyDescent="0.3">
      <c r="A36" s="320"/>
      <c r="B36" s="153" t="s">
        <v>80</v>
      </c>
      <c r="C36" s="121">
        <v>20</v>
      </c>
      <c r="D36" s="122"/>
      <c r="E36" s="123">
        <v>1</v>
      </c>
      <c r="F36" s="124"/>
      <c r="G36" s="112"/>
      <c r="H36" s="124"/>
      <c r="I36" s="52">
        <f>C36-D36-E36+F36-H36</f>
        <v>19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8</v>
      </c>
      <c r="D46" s="23"/>
      <c r="E46" s="47"/>
      <c r="F46" s="48"/>
      <c r="G46" s="116"/>
      <c r="H46" s="48"/>
      <c r="I46" s="49">
        <f t="shared" si="0"/>
        <v>8</v>
      </c>
    </row>
    <row r="47" spans="1:9" ht="17.25" customHeight="1" x14ac:dyDescent="0.3">
      <c r="A47" s="320"/>
      <c r="B47" s="120" t="s">
        <v>88</v>
      </c>
      <c r="C47" s="121"/>
      <c r="D47" s="122"/>
      <c r="E47" s="123"/>
      <c r="F47" s="124"/>
      <c r="G47" s="112"/>
      <c r="H47" s="124"/>
      <c r="I47" s="52">
        <f t="shared" si="0"/>
        <v>0</v>
      </c>
    </row>
    <row r="48" spans="1:9" ht="17.25" customHeight="1" x14ac:dyDescent="0.3">
      <c r="A48" s="320"/>
      <c r="B48" s="56" t="s">
        <v>315</v>
      </c>
      <c r="C48" s="117">
        <v>10</v>
      </c>
      <c r="D48" s="29"/>
      <c r="E48" s="50"/>
      <c r="F48" s="51"/>
      <c r="G48" s="25"/>
      <c r="H48" s="51">
        <v>1</v>
      </c>
      <c r="I48" s="52">
        <f t="shared" si="0"/>
        <v>9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576</v>
      </c>
      <c r="D51" s="66">
        <f>SUM(D13:D46)</f>
        <v>2</v>
      </c>
      <c r="E51" s="67">
        <f>SUM(E13:E46)</f>
        <v>25</v>
      </c>
      <c r="F51" s="67">
        <f>SUM(F13:F46)</f>
        <v>0</v>
      </c>
      <c r="G51" s="68" t="s">
        <v>22</v>
      </c>
      <c r="H51" s="69">
        <f>SUM(H13:H46)</f>
        <v>107</v>
      </c>
      <c r="I51" s="70">
        <f>SUM(I13:I46)</f>
        <v>462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5</v>
      </c>
      <c r="F53" s="334">
        <v>1</v>
      </c>
      <c r="G53" s="334">
        <v>8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96400</v>
      </c>
      <c r="F55" s="341">
        <v>18600</v>
      </c>
      <c r="G55" s="341">
        <v>72300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811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812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813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 t="s">
        <v>814</v>
      </c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803</v>
      </c>
      <c r="D61" s="346"/>
      <c r="E61" s="346"/>
      <c r="F61" s="346"/>
      <c r="G61" s="346"/>
      <c r="H61" s="346"/>
      <c r="I61" s="347"/>
    </row>
    <row r="62" spans="1:10" s="76" customFormat="1" ht="17.25" customHeight="1" x14ac:dyDescent="0.3">
      <c r="A62" s="326"/>
      <c r="B62" s="327"/>
      <c r="C62" s="356"/>
      <c r="D62" s="357"/>
      <c r="E62" s="357"/>
      <c r="F62" s="357"/>
      <c r="G62" s="357"/>
      <c r="H62" s="357"/>
      <c r="I62" s="358"/>
    </row>
    <row r="63" spans="1:10" s="76" customFormat="1" ht="17.25" customHeight="1" x14ac:dyDescent="0.3">
      <c r="A63" s="326"/>
      <c r="B63" s="327"/>
      <c r="C63" s="356"/>
      <c r="D63" s="357"/>
      <c r="E63" s="357"/>
      <c r="F63" s="357"/>
      <c r="G63" s="357"/>
      <c r="H63" s="357"/>
      <c r="I63" s="358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/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804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/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/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805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806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0.25</v>
      </c>
      <c r="D79" s="93" t="s">
        <v>807</v>
      </c>
      <c r="E79" s="94">
        <v>0.77083333333333337</v>
      </c>
      <c r="F79" s="93" t="s">
        <v>808</v>
      </c>
      <c r="G79" s="385" t="s">
        <v>809</v>
      </c>
      <c r="H79" s="386"/>
      <c r="I79" s="95" t="s">
        <v>810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8"/>
  <sheetViews>
    <sheetView tabSelected="1" zoomScale="90" zoomScaleNormal="90" workbookViewId="0">
      <selection activeCell="F24" sqref="F24"/>
    </sheetView>
  </sheetViews>
  <sheetFormatPr defaultColWidth="9" defaultRowHeight="16.5" x14ac:dyDescent="0.3"/>
  <cols>
    <col min="1" max="1" width="7.875" style="2" customWidth="1"/>
    <col min="2" max="2" width="18.375" style="2" customWidth="1"/>
    <col min="3" max="9" width="13.375" style="2" customWidth="1"/>
    <col min="10" max="16384" width="9" style="2"/>
  </cols>
  <sheetData>
    <row r="1" spans="1:9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</row>
    <row r="2" spans="1:9" x14ac:dyDescent="0.3">
      <c r="A2" s="297" t="s">
        <v>1</v>
      </c>
      <c r="B2" s="298"/>
      <c r="C2" s="299" t="s">
        <v>815</v>
      </c>
      <c r="D2" s="300"/>
      <c r="E2" s="301" t="s">
        <v>77</v>
      </c>
      <c r="F2" s="303" t="s">
        <v>2</v>
      </c>
      <c r="G2" s="304"/>
      <c r="H2" s="305" t="s">
        <v>76</v>
      </c>
      <c r="I2" s="306"/>
    </row>
    <row r="3" spans="1:9" x14ac:dyDescent="0.3">
      <c r="A3" s="307" t="s">
        <v>3</v>
      </c>
      <c r="B3" s="308"/>
      <c r="C3" s="4" t="s">
        <v>816</v>
      </c>
      <c r="D3" s="5" t="s">
        <v>4</v>
      </c>
      <c r="E3" s="302"/>
      <c r="F3" s="309" t="s">
        <v>817</v>
      </c>
      <c r="G3" s="310"/>
      <c r="H3" s="311">
        <f>G11+'30일'!H3:I3</f>
        <v>69634500</v>
      </c>
      <c r="I3" s="312"/>
    </row>
    <row r="4" spans="1:9" ht="7.5" customHeight="1" x14ac:dyDescent="0.3">
      <c r="A4" s="313"/>
      <c r="B4" s="314"/>
      <c r="C4" s="314"/>
      <c r="D4" s="314"/>
      <c r="E4" s="314"/>
      <c r="F4" s="314"/>
      <c r="G4" s="314"/>
      <c r="H4" s="314"/>
      <c r="I4" s="6"/>
    </row>
    <row r="5" spans="1:9" x14ac:dyDescent="0.3">
      <c r="A5" s="7"/>
      <c r="B5" s="8"/>
      <c r="C5" s="8"/>
      <c r="D5" s="9"/>
      <c r="E5" s="10" t="s">
        <v>5</v>
      </c>
      <c r="F5" s="11" t="s">
        <v>6</v>
      </c>
      <c r="G5" s="155" t="s">
        <v>7</v>
      </c>
      <c r="H5" s="10" t="s">
        <v>8</v>
      </c>
      <c r="I5" s="108" t="s">
        <v>9</v>
      </c>
    </row>
    <row r="6" spans="1:9" x14ac:dyDescent="0.3">
      <c r="A6" s="7"/>
      <c r="B6" s="8"/>
      <c r="C6" s="8"/>
      <c r="D6" s="9"/>
      <c r="E6" s="14" t="s">
        <v>818</v>
      </c>
      <c r="F6" s="15" t="s">
        <v>819</v>
      </c>
      <c r="G6" s="16" t="s">
        <v>820</v>
      </c>
      <c r="H6" s="17">
        <v>0.28999999999999998</v>
      </c>
      <c r="I6" s="18">
        <v>0.33</v>
      </c>
    </row>
    <row r="7" spans="1:9" ht="7.5" customHeight="1" x14ac:dyDescent="0.3">
      <c r="A7" s="313"/>
      <c r="B7" s="314"/>
      <c r="C7" s="314"/>
      <c r="D7" s="314"/>
      <c r="E7" s="314"/>
      <c r="F7" s="314"/>
      <c r="G7" s="314"/>
      <c r="H7" s="314"/>
      <c r="I7" s="6"/>
    </row>
    <row r="8" spans="1:9" ht="18" customHeight="1" thickBot="1" x14ac:dyDescent="0.35">
      <c r="A8" s="156"/>
      <c r="B8" s="157"/>
      <c r="C8" s="157"/>
      <c r="D8" s="157"/>
      <c r="E8" s="157"/>
      <c r="F8" s="157"/>
      <c r="G8" s="157"/>
      <c r="H8" s="157"/>
      <c r="I8" s="6"/>
    </row>
    <row r="9" spans="1:9" ht="18" customHeight="1" x14ac:dyDescent="0.3">
      <c r="A9" s="377" t="s">
        <v>10</v>
      </c>
      <c r="B9" s="315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</row>
    <row r="10" spans="1:9" ht="18" customHeight="1" x14ac:dyDescent="0.3">
      <c r="A10" s="378"/>
      <c r="B10" s="316"/>
      <c r="C10" s="103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</row>
    <row r="11" spans="1:9" ht="17.25" thickBot="1" x14ac:dyDescent="0.35">
      <c r="A11" s="379"/>
      <c r="B11" s="317"/>
      <c r="C11" s="101">
        <v>1120900</v>
      </c>
      <c r="D11" s="102">
        <v>72</v>
      </c>
      <c r="E11" s="109">
        <f>SUM(E55:I56)</f>
        <v>163300</v>
      </c>
      <c r="F11" s="109">
        <f>SUM(E53:I54)</f>
        <v>7</v>
      </c>
      <c r="G11" s="110">
        <f>C11+E11</f>
        <v>1284200</v>
      </c>
      <c r="H11" s="110">
        <f>D11+F11</f>
        <v>79</v>
      </c>
      <c r="I11" s="111">
        <f>G11/H11</f>
        <v>16255.696202531646</v>
      </c>
    </row>
    <row r="12" spans="1:9" ht="30" customHeight="1" x14ac:dyDescent="0.3">
      <c r="A12" s="319" t="s">
        <v>14</v>
      </c>
      <c r="B12" s="107" t="s">
        <v>15</v>
      </c>
      <c r="C12" s="158" t="s">
        <v>16</v>
      </c>
      <c r="D12" s="141" t="s">
        <v>17</v>
      </c>
      <c r="E12" s="141" t="s">
        <v>18</v>
      </c>
      <c r="F12" s="322" t="s">
        <v>19</v>
      </c>
      <c r="G12" s="323"/>
      <c r="H12" s="158" t="s">
        <v>20</v>
      </c>
      <c r="I12" s="100" t="s">
        <v>21</v>
      </c>
    </row>
    <row r="13" spans="1:9" ht="17.25" customHeight="1" x14ac:dyDescent="0.3">
      <c r="A13" s="320"/>
      <c r="B13" s="21" t="s">
        <v>23</v>
      </c>
      <c r="C13" s="22">
        <v>16</v>
      </c>
      <c r="D13" s="23"/>
      <c r="E13" s="22">
        <v>1</v>
      </c>
      <c r="F13" s="24"/>
      <c r="G13" s="25"/>
      <c r="H13" s="23"/>
      <c r="I13" s="26">
        <f>C13-D13-D14*1/2-E13-E14*1/2+F13-H13-H14*1/2-I14*1/2</f>
        <v>15</v>
      </c>
    </row>
    <row r="14" spans="1:9" ht="17.25" customHeight="1" x14ac:dyDescent="0.3">
      <c r="A14" s="320"/>
      <c r="B14" s="27" t="s">
        <v>24</v>
      </c>
      <c r="C14" s="28"/>
      <c r="D14" s="29"/>
      <c r="E14" s="30"/>
      <c r="F14" s="31"/>
      <c r="G14" s="25"/>
      <c r="H14" s="29"/>
      <c r="I14" s="32"/>
    </row>
    <row r="15" spans="1:9" ht="17.25" customHeight="1" x14ac:dyDescent="0.3">
      <c r="A15" s="320"/>
      <c r="B15" s="27" t="s">
        <v>25</v>
      </c>
      <c r="C15" s="33">
        <v>14</v>
      </c>
      <c r="D15" s="29"/>
      <c r="E15" s="30">
        <v>1</v>
      </c>
      <c r="F15" s="34"/>
      <c r="G15" s="25"/>
      <c r="H15" s="29">
        <v>3</v>
      </c>
      <c r="I15" s="35">
        <f>C15-D15-D16*1/2-E15-E16*1/2+F15-H15-H16*1/2-I16*1/2</f>
        <v>10</v>
      </c>
    </row>
    <row r="16" spans="1:9" ht="17.25" customHeight="1" x14ac:dyDescent="0.3">
      <c r="A16" s="320"/>
      <c r="B16" s="27" t="s">
        <v>26</v>
      </c>
      <c r="C16" s="28"/>
      <c r="D16" s="29"/>
      <c r="E16" s="30"/>
      <c r="F16" s="31"/>
      <c r="G16" s="25"/>
      <c r="H16" s="29"/>
      <c r="I16" s="36"/>
    </row>
    <row r="17" spans="1:9" ht="17.25" customHeight="1" x14ac:dyDescent="0.3">
      <c r="A17" s="320"/>
      <c r="B17" s="27" t="s">
        <v>27</v>
      </c>
      <c r="C17" s="33">
        <v>15</v>
      </c>
      <c r="D17" s="29"/>
      <c r="E17" s="30"/>
      <c r="F17" s="34"/>
      <c r="G17" s="118"/>
      <c r="H17" s="29"/>
      <c r="I17" s="37">
        <f>C17-D17-D18*1/2-E17-E18*1/2+F17-H17-H18*1/2-I18*1/2</f>
        <v>14.5</v>
      </c>
    </row>
    <row r="18" spans="1:9" ht="17.25" customHeight="1" x14ac:dyDescent="0.3">
      <c r="A18" s="320"/>
      <c r="B18" s="27" t="s">
        <v>28</v>
      </c>
      <c r="C18" s="28"/>
      <c r="D18" s="29"/>
      <c r="E18" s="30">
        <v>1</v>
      </c>
      <c r="F18" s="31"/>
      <c r="G18" s="25"/>
      <c r="H18" s="29"/>
      <c r="I18" s="36"/>
    </row>
    <row r="19" spans="1:9" ht="17.25" customHeight="1" x14ac:dyDescent="0.3">
      <c r="A19" s="320"/>
      <c r="B19" s="27" t="s">
        <v>29</v>
      </c>
      <c r="C19" s="33">
        <v>10</v>
      </c>
      <c r="D19" s="29"/>
      <c r="E19" s="30"/>
      <c r="F19" s="34"/>
      <c r="G19" s="25"/>
      <c r="H19" s="29">
        <v>1</v>
      </c>
      <c r="I19" s="35">
        <f>C19-D19-D20*1/2-E19-E20*1/2+F19-H19-H20*1/2-I20*1/2</f>
        <v>8.5</v>
      </c>
    </row>
    <row r="20" spans="1:9" ht="17.25" customHeight="1" x14ac:dyDescent="0.3">
      <c r="A20" s="320"/>
      <c r="B20" s="27" t="s">
        <v>30</v>
      </c>
      <c r="C20" s="28"/>
      <c r="D20" s="29"/>
      <c r="E20" s="30">
        <v>1</v>
      </c>
      <c r="F20" s="31"/>
      <c r="G20" s="25"/>
      <c r="H20" s="29"/>
      <c r="I20" s="38"/>
    </row>
    <row r="21" spans="1:9" ht="17.25" customHeight="1" x14ac:dyDescent="0.3">
      <c r="A21" s="320"/>
      <c r="B21" s="39" t="s">
        <v>31</v>
      </c>
      <c r="C21" s="40">
        <v>54</v>
      </c>
      <c r="D21" s="41"/>
      <c r="E21" s="42">
        <v>1</v>
      </c>
      <c r="F21" s="43"/>
      <c r="G21" s="44"/>
      <c r="H21" s="43">
        <v>4</v>
      </c>
      <c r="I21" s="45">
        <f t="shared" ref="I21:I48" si="0">C21-D21-E21+F21-H21</f>
        <v>49</v>
      </c>
    </row>
    <row r="22" spans="1:9" ht="17.25" customHeight="1" x14ac:dyDescent="0.3">
      <c r="A22" s="320"/>
      <c r="B22" s="21" t="s">
        <v>32</v>
      </c>
      <c r="C22" s="46">
        <v>20</v>
      </c>
      <c r="D22" s="23"/>
      <c r="E22" s="47">
        <v>1</v>
      </c>
      <c r="F22" s="48"/>
      <c r="G22" s="25"/>
      <c r="H22" s="48">
        <v>6</v>
      </c>
      <c r="I22" s="49">
        <f t="shared" si="0"/>
        <v>13</v>
      </c>
    </row>
    <row r="23" spans="1:9" ht="17.25" customHeight="1" x14ac:dyDescent="0.3">
      <c r="A23" s="320"/>
      <c r="B23" s="27" t="s">
        <v>33</v>
      </c>
      <c r="C23" s="33">
        <v>86</v>
      </c>
      <c r="D23" s="29"/>
      <c r="E23" s="50">
        <v>3</v>
      </c>
      <c r="F23" s="51"/>
      <c r="G23" s="25"/>
      <c r="H23" s="51">
        <v>13</v>
      </c>
      <c r="I23" s="52">
        <f>C23-D23-D24-E23-E24+F23+F24-H23-H24-I24</f>
        <v>66</v>
      </c>
    </row>
    <row r="24" spans="1:9" ht="17.25" customHeight="1" x14ac:dyDescent="0.3">
      <c r="A24" s="320"/>
      <c r="B24" s="160" t="s">
        <v>34</v>
      </c>
      <c r="C24" s="53"/>
      <c r="D24" s="41"/>
      <c r="E24" s="42"/>
      <c r="F24" s="43"/>
      <c r="G24" s="113"/>
      <c r="H24" s="43">
        <v>4</v>
      </c>
      <c r="I24" s="54"/>
    </row>
    <row r="25" spans="1:9" ht="17.25" customHeight="1" x14ac:dyDescent="0.3">
      <c r="A25" s="320"/>
      <c r="B25" s="21" t="s">
        <v>35</v>
      </c>
      <c r="C25" s="46">
        <v>25</v>
      </c>
      <c r="D25" s="23"/>
      <c r="E25" s="47">
        <v>1</v>
      </c>
      <c r="F25" s="48"/>
      <c r="G25" s="112"/>
      <c r="H25" s="48">
        <v>16</v>
      </c>
      <c r="I25" s="49">
        <f t="shared" si="0"/>
        <v>8</v>
      </c>
    </row>
    <row r="26" spans="1:9" ht="17.25" customHeight="1" x14ac:dyDescent="0.3">
      <c r="A26" s="320"/>
      <c r="B26" s="160" t="s">
        <v>36</v>
      </c>
      <c r="C26" s="55">
        <v>20</v>
      </c>
      <c r="D26" s="41"/>
      <c r="E26" s="42"/>
      <c r="F26" s="43"/>
      <c r="G26" s="113"/>
      <c r="H26" s="43">
        <v>4</v>
      </c>
      <c r="I26" s="45">
        <f t="shared" si="0"/>
        <v>16</v>
      </c>
    </row>
    <row r="27" spans="1:9" ht="17.25" customHeight="1" x14ac:dyDescent="0.3">
      <c r="A27" s="320"/>
      <c r="B27" s="21" t="s">
        <v>37</v>
      </c>
      <c r="C27" s="46">
        <v>17</v>
      </c>
      <c r="D27" s="23"/>
      <c r="E27" s="47"/>
      <c r="F27" s="48"/>
      <c r="G27" s="112"/>
      <c r="H27" s="48">
        <v>9</v>
      </c>
      <c r="I27" s="49">
        <f t="shared" si="0"/>
        <v>8</v>
      </c>
    </row>
    <row r="28" spans="1:9" ht="17.25" customHeight="1" x14ac:dyDescent="0.3">
      <c r="A28" s="320"/>
      <c r="B28" s="160" t="s">
        <v>38</v>
      </c>
      <c r="C28" s="55">
        <v>24</v>
      </c>
      <c r="D28" s="41">
        <v>1</v>
      </c>
      <c r="E28" s="42"/>
      <c r="F28" s="43"/>
      <c r="G28" s="113"/>
      <c r="H28" s="43">
        <v>5</v>
      </c>
      <c r="I28" s="45">
        <f t="shared" si="0"/>
        <v>18</v>
      </c>
    </row>
    <row r="29" spans="1:9" ht="17.25" customHeight="1" x14ac:dyDescent="0.3">
      <c r="A29" s="320"/>
      <c r="B29" s="21" t="s">
        <v>39</v>
      </c>
      <c r="C29" s="46">
        <v>5</v>
      </c>
      <c r="D29" s="23"/>
      <c r="E29" s="47"/>
      <c r="F29" s="48"/>
      <c r="G29" s="25"/>
      <c r="H29" s="48">
        <v>4</v>
      </c>
      <c r="I29" s="49">
        <f t="shared" si="0"/>
        <v>1</v>
      </c>
    </row>
    <row r="30" spans="1:9" ht="17.25" customHeight="1" x14ac:dyDescent="0.3">
      <c r="A30" s="320"/>
      <c r="B30" s="56" t="s">
        <v>40</v>
      </c>
      <c r="C30" s="57">
        <v>62</v>
      </c>
      <c r="D30" s="29"/>
      <c r="E30" s="50"/>
      <c r="F30" s="51"/>
      <c r="G30" s="25"/>
      <c r="H30" s="51">
        <v>42</v>
      </c>
      <c r="I30" s="52">
        <f>C30-D30-D31-E30-E31+F30+F31-H30-H31-I31</f>
        <v>18</v>
      </c>
    </row>
    <row r="31" spans="1:9" ht="17.25" customHeight="1" x14ac:dyDescent="0.3">
      <c r="A31" s="320"/>
      <c r="B31" s="58" t="s">
        <v>41</v>
      </c>
      <c r="C31" s="59"/>
      <c r="D31" s="60"/>
      <c r="E31" s="61">
        <v>2</v>
      </c>
      <c r="F31" s="62"/>
      <c r="G31" s="44"/>
      <c r="H31" s="62"/>
      <c r="I31" s="63"/>
    </row>
    <row r="32" spans="1:9" ht="17.25" customHeight="1" x14ac:dyDescent="0.3">
      <c r="A32" s="320"/>
      <c r="B32" s="179" t="s">
        <v>116</v>
      </c>
      <c r="C32" s="184"/>
      <c r="D32" s="23"/>
      <c r="E32" s="47"/>
      <c r="F32" s="48"/>
      <c r="G32" s="116"/>
      <c r="H32" s="48"/>
      <c r="I32" s="187"/>
    </row>
    <row r="33" spans="1:9" ht="17.25" customHeight="1" x14ac:dyDescent="0.3">
      <c r="A33" s="320"/>
      <c r="B33" s="179" t="s">
        <v>118</v>
      </c>
      <c r="C33" s="185"/>
      <c r="D33" s="29"/>
      <c r="E33" s="50">
        <v>1</v>
      </c>
      <c r="F33" s="51"/>
      <c r="G33" s="25"/>
      <c r="H33" s="51"/>
      <c r="I33" s="188"/>
    </row>
    <row r="34" spans="1:9" ht="17.25" customHeight="1" x14ac:dyDescent="0.3">
      <c r="A34" s="320"/>
      <c r="B34" s="179" t="s">
        <v>120</v>
      </c>
      <c r="C34" s="186"/>
      <c r="D34" s="60"/>
      <c r="E34" s="61"/>
      <c r="F34" s="62"/>
      <c r="G34" s="113"/>
      <c r="H34" s="62"/>
      <c r="I34" s="189">
        <v>2</v>
      </c>
    </row>
    <row r="35" spans="1:9" ht="17.25" customHeight="1" x14ac:dyDescent="0.3">
      <c r="A35" s="320"/>
      <c r="B35" s="191" t="s">
        <v>79</v>
      </c>
      <c r="C35" s="281"/>
      <c r="D35" s="23">
        <v>5</v>
      </c>
      <c r="E35" s="47">
        <v>5</v>
      </c>
      <c r="F35" s="48"/>
      <c r="G35" s="116"/>
      <c r="H35" s="48"/>
      <c r="I35" s="282"/>
    </row>
    <row r="36" spans="1:9" ht="17.25" customHeight="1" x14ac:dyDescent="0.3">
      <c r="A36" s="320"/>
      <c r="B36" s="153" t="s">
        <v>80</v>
      </c>
      <c r="C36" s="121">
        <v>10</v>
      </c>
      <c r="D36" s="122"/>
      <c r="E36" s="123"/>
      <c r="F36" s="124"/>
      <c r="G36" s="112"/>
      <c r="H36" s="124"/>
      <c r="I36" s="52">
        <f>C36-D36-E36+F36-H36</f>
        <v>10</v>
      </c>
    </row>
    <row r="37" spans="1:9" ht="17.25" customHeight="1" x14ac:dyDescent="0.3">
      <c r="A37" s="320"/>
      <c r="B37" s="163" t="s">
        <v>106</v>
      </c>
      <c r="C37" s="117"/>
      <c r="D37" s="29"/>
      <c r="E37" s="50"/>
      <c r="F37" s="51"/>
      <c r="G37" s="25"/>
      <c r="H37" s="51"/>
      <c r="I37" s="196">
        <f>C37-D37-D38*1/2-E37-E38*1/2+F37-H37-H38*1/2-I38*1/2</f>
        <v>0</v>
      </c>
    </row>
    <row r="38" spans="1:9" ht="17.25" customHeight="1" x14ac:dyDescent="0.3">
      <c r="A38" s="320"/>
      <c r="B38" s="178" t="s">
        <v>130</v>
      </c>
      <c r="C38" s="185"/>
      <c r="D38" s="29"/>
      <c r="E38" s="50"/>
      <c r="F38" s="51"/>
      <c r="G38" s="25"/>
      <c r="H38" s="51"/>
      <c r="I38" s="195"/>
    </row>
    <row r="39" spans="1:9" ht="17.25" customHeight="1" x14ac:dyDescent="0.3">
      <c r="A39" s="320"/>
      <c r="B39" s="178" t="s">
        <v>108</v>
      </c>
      <c r="C39" s="190"/>
      <c r="D39" s="29"/>
      <c r="E39" s="50"/>
      <c r="F39" s="51"/>
      <c r="G39" s="25"/>
      <c r="H39" s="51"/>
      <c r="I39" s="196">
        <f>C39-D39-D40*1/2-E39-E40*1/2+F39-H39-H40*1/2-I40*1/2</f>
        <v>0</v>
      </c>
    </row>
    <row r="40" spans="1:9" ht="17.25" customHeight="1" x14ac:dyDescent="0.3">
      <c r="A40" s="320"/>
      <c r="B40" s="178" t="s">
        <v>132</v>
      </c>
      <c r="C40" s="185"/>
      <c r="D40" s="29"/>
      <c r="E40" s="50"/>
      <c r="F40" s="51"/>
      <c r="G40" s="25"/>
      <c r="H40" s="51"/>
      <c r="I40" s="195"/>
    </row>
    <row r="41" spans="1:9" ht="17.25" customHeight="1" x14ac:dyDescent="0.3">
      <c r="A41" s="320"/>
      <c r="B41" s="178" t="s">
        <v>110</v>
      </c>
      <c r="C41" s="190"/>
      <c r="D41" s="29"/>
      <c r="E41" s="50"/>
      <c r="F41" s="51"/>
      <c r="G41" s="25"/>
      <c r="H41" s="51"/>
      <c r="I41" s="196">
        <f t="shared" ref="I41" si="1">C41-D41-D42*1/2-E41-E42*1/2+F41-H41-H42*1/2-I42*1/2</f>
        <v>0</v>
      </c>
    </row>
    <row r="42" spans="1:9" ht="17.25" customHeight="1" x14ac:dyDescent="0.3">
      <c r="A42" s="320"/>
      <c r="B42" s="178" t="s">
        <v>134</v>
      </c>
      <c r="C42" s="185"/>
      <c r="D42" s="29"/>
      <c r="E42" s="50"/>
      <c r="F42" s="51"/>
      <c r="G42" s="25"/>
      <c r="H42" s="51"/>
      <c r="I42" s="195"/>
    </row>
    <row r="43" spans="1:9" ht="17.25" customHeight="1" x14ac:dyDescent="0.3">
      <c r="A43" s="320"/>
      <c r="B43" s="178" t="s">
        <v>112</v>
      </c>
      <c r="C43" s="185"/>
      <c r="D43" s="29"/>
      <c r="E43" s="50"/>
      <c r="F43" s="51"/>
      <c r="G43" s="25"/>
      <c r="H43" s="51"/>
      <c r="I43" s="195"/>
    </row>
    <row r="44" spans="1:9" ht="17.25" customHeight="1" x14ac:dyDescent="0.3">
      <c r="A44" s="320"/>
      <c r="B44" s="178" t="s">
        <v>124</v>
      </c>
      <c r="C44" s="185"/>
      <c r="D44" s="29"/>
      <c r="E44" s="50"/>
      <c r="F44" s="51"/>
      <c r="G44" s="25"/>
      <c r="H44" s="51"/>
      <c r="I44" s="195"/>
    </row>
    <row r="45" spans="1:9" ht="17.25" customHeight="1" x14ac:dyDescent="0.3">
      <c r="A45" s="320"/>
      <c r="B45" s="164" t="s">
        <v>114</v>
      </c>
      <c r="C45" s="186"/>
      <c r="D45" s="60"/>
      <c r="E45" s="61"/>
      <c r="F45" s="62"/>
      <c r="G45" s="113"/>
      <c r="H45" s="62"/>
      <c r="I45" s="204"/>
    </row>
    <row r="46" spans="1:9" ht="17.25" customHeight="1" x14ac:dyDescent="0.3">
      <c r="A46" s="320"/>
      <c r="B46" s="120" t="s">
        <v>89</v>
      </c>
      <c r="C46" s="154">
        <v>4</v>
      </c>
      <c r="D46" s="23"/>
      <c r="E46" s="47"/>
      <c r="F46" s="48"/>
      <c r="G46" s="116"/>
      <c r="H46" s="48"/>
      <c r="I46" s="49">
        <f t="shared" si="0"/>
        <v>4</v>
      </c>
    </row>
    <row r="47" spans="1:9" ht="17.25" customHeight="1" x14ac:dyDescent="0.3">
      <c r="A47" s="320"/>
      <c r="B47" s="120" t="s">
        <v>88</v>
      </c>
      <c r="C47" s="121">
        <v>4</v>
      </c>
      <c r="D47" s="122"/>
      <c r="E47" s="123"/>
      <c r="F47" s="124"/>
      <c r="G47" s="112"/>
      <c r="H47" s="124"/>
      <c r="I47" s="52">
        <f t="shared" si="0"/>
        <v>4</v>
      </c>
    </row>
    <row r="48" spans="1:9" ht="17.25" customHeight="1" x14ac:dyDescent="0.3">
      <c r="A48" s="320"/>
      <c r="B48" s="56" t="s">
        <v>191</v>
      </c>
      <c r="C48" s="117">
        <v>6</v>
      </c>
      <c r="D48" s="29"/>
      <c r="E48" s="50"/>
      <c r="F48" s="51"/>
      <c r="G48" s="25"/>
      <c r="H48" s="51"/>
      <c r="I48" s="52">
        <f t="shared" si="0"/>
        <v>6</v>
      </c>
    </row>
    <row r="49" spans="1:10" ht="17.25" customHeight="1" x14ac:dyDescent="0.3">
      <c r="A49" s="320"/>
      <c r="B49" s="179" t="s">
        <v>126</v>
      </c>
      <c r="C49" s="192"/>
      <c r="D49" s="180"/>
      <c r="E49" s="181"/>
      <c r="F49" s="182"/>
      <c r="G49" s="183"/>
      <c r="H49" s="182"/>
      <c r="I49" s="195"/>
    </row>
    <row r="50" spans="1:10" ht="17.25" customHeight="1" x14ac:dyDescent="0.3">
      <c r="A50" s="320"/>
      <c r="B50" s="58" t="s">
        <v>128</v>
      </c>
      <c r="C50" s="59"/>
      <c r="D50" s="60"/>
      <c r="E50" s="61"/>
      <c r="F50" s="62"/>
      <c r="G50" s="113"/>
      <c r="H50" s="62"/>
      <c r="I50" s="63"/>
    </row>
    <row r="51" spans="1:10" ht="17.25" customHeight="1" thickBot="1" x14ac:dyDescent="0.35">
      <c r="A51" s="321"/>
      <c r="B51" s="64" t="s">
        <v>42</v>
      </c>
      <c r="C51" s="65">
        <f>SUM(C13:C50)</f>
        <v>392</v>
      </c>
      <c r="D51" s="66">
        <f>SUM(D13:D46)</f>
        <v>6</v>
      </c>
      <c r="E51" s="67">
        <f>SUM(E13:E46)</f>
        <v>18</v>
      </c>
      <c r="F51" s="67">
        <f>SUM(F13:F46)</f>
        <v>0</v>
      </c>
      <c r="G51" s="68" t="s">
        <v>22</v>
      </c>
      <c r="H51" s="69">
        <f>SUM(H13:H46)</f>
        <v>111</v>
      </c>
      <c r="I51" s="70">
        <f>SUM(I13:I46)</f>
        <v>261</v>
      </c>
    </row>
    <row r="52" spans="1:10" ht="17.25" customHeight="1" x14ac:dyDescent="0.3">
      <c r="A52" s="324" t="s">
        <v>72</v>
      </c>
      <c r="B52" s="325"/>
      <c r="C52" s="71"/>
      <c r="D52" s="72" t="s">
        <v>162</v>
      </c>
      <c r="E52" s="73" t="s">
        <v>90</v>
      </c>
      <c r="F52" s="74" t="s">
        <v>43</v>
      </c>
      <c r="G52" s="74" t="s">
        <v>44</v>
      </c>
      <c r="H52" s="74" t="s">
        <v>103</v>
      </c>
      <c r="I52" s="75" t="s">
        <v>104</v>
      </c>
    </row>
    <row r="53" spans="1:10" ht="17.25" customHeight="1" x14ac:dyDescent="0.3">
      <c r="A53" s="326"/>
      <c r="B53" s="327"/>
      <c r="C53" s="330" t="s">
        <v>74</v>
      </c>
      <c r="D53" s="332"/>
      <c r="E53" s="334">
        <v>4</v>
      </c>
      <c r="F53" s="334">
        <v>1</v>
      </c>
      <c r="G53" s="334">
        <v>2</v>
      </c>
      <c r="H53" s="334"/>
      <c r="I53" s="337"/>
      <c r="J53" s="174"/>
    </row>
    <row r="54" spans="1:10" s="76" customFormat="1" ht="17.25" customHeight="1" x14ac:dyDescent="0.3">
      <c r="A54" s="326"/>
      <c r="B54" s="327"/>
      <c r="C54" s="331"/>
      <c r="D54" s="333"/>
      <c r="E54" s="335"/>
      <c r="F54" s="335"/>
      <c r="G54" s="335"/>
      <c r="H54" s="336"/>
      <c r="I54" s="338"/>
    </row>
    <row r="55" spans="1:10" s="76" customFormat="1" ht="17.25" customHeight="1" x14ac:dyDescent="0.3">
      <c r="A55" s="326"/>
      <c r="B55" s="327"/>
      <c r="C55" s="330" t="s">
        <v>75</v>
      </c>
      <c r="D55" s="332"/>
      <c r="E55" s="341">
        <v>107600</v>
      </c>
      <c r="F55" s="341">
        <v>20100</v>
      </c>
      <c r="G55" s="341">
        <v>35600</v>
      </c>
      <c r="H55" s="334"/>
      <c r="I55" s="348"/>
    </row>
    <row r="56" spans="1:10" s="76" customFormat="1" ht="17.25" customHeight="1" thickBot="1" x14ac:dyDescent="0.35">
      <c r="A56" s="328"/>
      <c r="B56" s="329"/>
      <c r="C56" s="339"/>
      <c r="D56" s="340"/>
      <c r="E56" s="342"/>
      <c r="F56" s="342"/>
      <c r="G56" s="342"/>
      <c r="H56" s="342"/>
      <c r="I56" s="349"/>
    </row>
    <row r="57" spans="1:10" s="76" customFormat="1" ht="17.25" customHeight="1" x14ac:dyDescent="0.3">
      <c r="A57" s="324" t="s">
        <v>45</v>
      </c>
      <c r="B57" s="325"/>
      <c r="C57" s="350" t="s">
        <v>834</v>
      </c>
      <c r="D57" s="351"/>
      <c r="E57" s="351"/>
      <c r="F57" s="351"/>
      <c r="G57" s="351"/>
      <c r="H57" s="351"/>
      <c r="I57" s="352"/>
    </row>
    <row r="58" spans="1:10" s="76" customFormat="1" ht="17.25" customHeight="1" x14ac:dyDescent="0.3">
      <c r="A58" s="326"/>
      <c r="B58" s="327"/>
      <c r="C58" s="353" t="s">
        <v>835</v>
      </c>
      <c r="D58" s="353"/>
      <c r="E58" s="353"/>
      <c r="F58" s="353"/>
      <c r="G58" s="353"/>
      <c r="H58" s="353"/>
      <c r="I58" s="354"/>
    </row>
    <row r="59" spans="1:10" s="76" customFormat="1" ht="17.25" customHeight="1" x14ac:dyDescent="0.3">
      <c r="A59" s="326"/>
      <c r="B59" s="327"/>
      <c r="C59" s="355" t="s">
        <v>836</v>
      </c>
      <c r="D59" s="353"/>
      <c r="E59" s="353"/>
      <c r="F59" s="353"/>
      <c r="G59" s="353"/>
      <c r="H59" s="353"/>
      <c r="I59" s="354"/>
    </row>
    <row r="60" spans="1:10" s="76" customFormat="1" ht="17.25" customHeight="1" thickBot="1" x14ac:dyDescent="0.35">
      <c r="A60" s="328"/>
      <c r="B60" s="329"/>
      <c r="C60" s="343"/>
      <c r="D60" s="343"/>
      <c r="E60" s="343"/>
      <c r="F60" s="343"/>
      <c r="G60" s="343"/>
      <c r="H60" s="343"/>
      <c r="I60" s="344"/>
    </row>
    <row r="61" spans="1:10" s="76" customFormat="1" ht="17.25" customHeight="1" x14ac:dyDescent="0.3">
      <c r="A61" s="324" t="s">
        <v>73</v>
      </c>
      <c r="B61" s="325"/>
      <c r="C61" s="387" t="s">
        <v>827</v>
      </c>
      <c r="D61" s="346"/>
      <c r="E61" s="346"/>
      <c r="F61" s="346"/>
      <c r="G61" s="346"/>
      <c r="H61" s="346"/>
      <c r="I61" s="347"/>
    </row>
    <row r="62" spans="1:10" s="76" customFormat="1" ht="33" customHeight="1" x14ac:dyDescent="0.3">
      <c r="A62" s="326"/>
      <c r="B62" s="327"/>
      <c r="C62" s="359" t="s">
        <v>828</v>
      </c>
      <c r="D62" s="353"/>
      <c r="E62" s="353"/>
      <c r="F62" s="353"/>
      <c r="G62" s="353"/>
      <c r="H62" s="353"/>
      <c r="I62" s="354"/>
    </row>
    <row r="63" spans="1:10" s="76" customFormat="1" ht="17.25" customHeight="1" x14ac:dyDescent="0.3">
      <c r="A63" s="326"/>
      <c r="B63" s="327"/>
      <c r="C63" s="355" t="s">
        <v>832</v>
      </c>
      <c r="D63" s="353"/>
      <c r="E63" s="353"/>
      <c r="F63" s="353"/>
      <c r="G63" s="353"/>
      <c r="H63" s="353"/>
      <c r="I63" s="354"/>
    </row>
    <row r="64" spans="1:10" s="76" customFormat="1" ht="17.25" customHeight="1" thickBot="1" x14ac:dyDescent="0.35">
      <c r="A64" s="328"/>
      <c r="B64" s="329"/>
      <c r="C64" s="343"/>
      <c r="D64" s="343"/>
      <c r="E64" s="343"/>
      <c r="F64" s="343"/>
      <c r="G64" s="343"/>
      <c r="H64" s="343"/>
      <c r="I64" s="344"/>
    </row>
    <row r="65" spans="1:9" s="76" customFormat="1" ht="17.25" customHeight="1" x14ac:dyDescent="0.3">
      <c r="A65" s="363" t="s">
        <v>46</v>
      </c>
      <c r="B65" s="366" t="s">
        <v>47</v>
      </c>
      <c r="C65" s="346"/>
      <c r="D65" s="346"/>
      <c r="E65" s="346"/>
      <c r="F65" s="346"/>
      <c r="G65" s="346"/>
      <c r="H65" s="346"/>
      <c r="I65" s="347"/>
    </row>
    <row r="66" spans="1:9" s="76" customFormat="1" ht="17.25" customHeight="1" x14ac:dyDescent="0.3">
      <c r="A66" s="364"/>
      <c r="B66" s="367"/>
      <c r="C66" s="351"/>
      <c r="D66" s="351"/>
      <c r="E66" s="351"/>
      <c r="F66" s="351"/>
      <c r="G66" s="351"/>
      <c r="H66" s="351"/>
      <c r="I66" s="352"/>
    </row>
    <row r="67" spans="1:9" s="76" customFormat="1" ht="17.25" customHeight="1" x14ac:dyDescent="0.3">
      <c r="A67" s="364"/>
      <c r="B67" s="368" t="s">
        <v>48</v>
      </c>
      <c r="C67" s="353" t="s">
        <v>829</v>
      </c>
      <c r="D67" s="353"/>
      <c r="E67" s="353"/>
      <c r="F67" s="353"/>
      <c r="G67" s="353"/>
      <c r="H67" s="353"/>
      <c r="I67" s="354"/>
    </row>
    <row r="68" spans="1:9" s="76" customFormat="1" ht="17.25" customHeight="1" x14ac:dyDescent="0.3">
      <c r="A68" s="364"/>
      <c r="B68" s="367"/>
      <c r="C68" s="351"/>
      <c r="D68" s="351"/>
      <c r="E68" s="351"/>
      <c r="F68" s="351"/>
      <c r="G68" s="351"/>
      <c r="H68" s="351"/>
      <c r="I68" s="352"/>
    </row>
    <row r="69" spans="1:9" s="76" customFormat="1" ht="17.25" customHeight="1" thickBot="1" x14ac:dyDescent="0.35">
      <c r="A69" s="365"/>
      <c r="B69" s="369"/>
      <c r="C69" s="362"/>
      <c r="D69" s="343"/>
      <c r="E69" s="343"/>
      <c r="F69" s="343"/>
      <c r="G69" s="343"/>
      <c r="H69" s="343"/>
      <c r="I69" s="344"/>
    </row>
    <row r="70" spans="1:9" s="76" customFormat="1" ht="17.25" customHeight="1" x14ac:dyDescent="0.3">
      <c r="A70" s="324" t="s">
        <v>49</v>
      </c>
      <c r="B70" s="325"/>
      <c r="C70" s="351" t="s">
        <v>831</v>
      </c>
      <c r="D70" s="351"/>
      <c r="E70" s="351"/>
      <c r="F70" s="351"/>
      <c r="G70" s="351"/>
      <c r="H70" s="351"/>
      <c r="I70" s="352"/>
    </row>
    <row r="71" spans="1:9" s="76" customFormat="1" ht="17.25" customHeight="1" x14ac:dyDescent="0.3">
      <c r="A71" s="326"/>
      <c r="B71" s="327"/>
      <c r="C71" s="351" t="s">
        <v>833</v>
      </c>
      <c r="D71" s="351"/>
      <c r="E71" s="351"/>
      <c r="F71" s="351"/>
      <c r="G71" s="351"/>
      <c r="H71" s="351"/>
      <c r="I71" s="352"/>
    </row>
    <row r="72" spans="1:9" s="76" customFormat="1" ht="17.25" customHeight="1" thickBot="1" x14ac:dyDescent="0.35">
      <c r="A72" s="328"/>
      <c r="B72" s="329"/>
      <c r="C72" s="362"/>
      <c r="D72" s="343"/>
      <c r="E72" s="343"/>
      <c r="F72" s="343"/>
      <c r="G72" s="343"/>
      <c r="H72" s="343"/>
      <c r="I72" s="344"/>
    </row>
    <row r="73" spans="1:9" s="76" customFormat="1" ht="17.25" customHeight="1" x14ac:dyDescent="0.3">
      <c r="A73" s="324" t="s">
        <v>50</v>
      </c>
      <c r="B73" s="325"/>
      <c r="C73" s="387" t="s">
        <v>830</v>
      </c>
      <c r="D73" s="346"/>
      <c r="E73" s="346"/>
      <c r="F73" s="346"/>
      <c r="G73" s="346"/>
      <c r="H73" s="346"/>
      <c r="I73" s="347"/>
    </row>
    <row r="74" spans="1:9" s="76" customFormat="1" ht="17.25" customHeight="1" thickBot="1" x14ac:dyDescent="0.35">
      <c r="A74" s="328"/>
      <c r="B74" s="329"/>
      <c r="C74" s="355"/>
      <c r="D74" s="353"/>
      <c r="E74" s="353"/>
      <c r="F74" s="353"/>
      <c r="G74" s="353"/>
      <c r="H74" s="353"/>
      <c r="I74" s="354"/>
    </row>
    <row r="75" spans="1:9" s="76" customFormat="1" ht="17.25" customHeight="1" x14ac:dyDescent="0.3">
      <c r="A75" s="324" t="s">
        <v>51</v>
      </c>
      <c r="B75" s="325"/>
      <c r="C75" s="78" t="s">
        <v>52</v>
      </c>
      <c r="D75" s="79" t="s">
        <v>53</v>
      </c>
      <c r="E75" s="79" t="s">
        <v>54</v>
      </c>
      <c r="F75" s="79" t="s">
        <v>55</v>
      </c>
      <c r="G75" s="79" t="s">
        <v>56</v>
      </c>
      <c r="H75" s="79" t="s">
        <v>57</v>
      </c>
      <c r="I75" s="80" t="s">
        <v>58</v>
      </c>
    </row>
    <row r="76" spans="1:9" s="76" customFormat="1" ht="17.25" customHeight="1" x14ac:dyDescent="0.3">
      <c r="A76" s="81"/>
      <c r="B76" s="82" t="s">
        <v>59</v>
      </c>
      <c r="C76" s="83" t="s">
        <v>821</v>
      </c>
      <c r="D76" s="159"/>
      <c r="E76" s="159"/>
      <c r="F76" s="159"/>
      <c r="G76" s="159"/>
      <c r="H76" s="159"/>
      <c r="I76" s="162"/>
    </row>
    <row r="77" spans="1:9" s="76" customFormat="1" ht="17.25" customHeight="1" thickBot="1" x14ac:dyDescent="0.35">
      <c r="A77" s="85"/>
      <c r="B77" s="86" t="s">
        <v>60</v>
      </c>
      <c r="C77" s="87" t="s">
        <v>822</v>
      </c>
      <c r="D77" s="88"/>
      <c r="E77" s="88"/>
      <c r="F77" s="88"/>
      <c r="G77" s="88"/>
      <c r="H77" s="88"/>
      <c r="I77" s="89"/>
    </row>
    <row r="78" spans="1:9" s="76" customFormat="1" ht="17.25" customHeight="1" x14ac:dyDescent="0.3">
      <c r="A78" s="373" t="s">
        <v>61</v>
      </c>
      <c r="B78" s="374"/>
      <c r="C78" s="380" t="s">
        <v>62</v>
      </c>
      <c r="D78" s="381"/>
      <c r="E78" s="382" t="s">
        <v>63</v>
      </c>
      <c r="F78" s="381"/>
      <c r="G78" s="383" t="s">
        <v>64</v>
      </c>
      <c r="H78" s="384"/>
      <c r="I78" s="90" t="s">
        <v>65</v>
      </c>
    </row>
    <row r="79" spans="1:9" s="76" customFormat="1" ht="17.25" customHeight="1" thickBot="1" x14ac:dyDescent="0.35">
      <c r="A79" s="375"/>
      <c r="B79" s="376"/>
      <c r="C79" s="92">
        <v>0.29166666666666669</v>
      </c>
      <c r="D79" s="93" t="s">
        <v>823</v>
      </c>
      <c r="E79" s="94">
        <v>0.77083333333333337</v>
      </c>
      <c r="F79" s="93" t="s">
        <v>824</v>
      </c>
      <c r="G79" s="385" t="s">
        <v>825</v>
      </c>
      <c r="H79" s="386"/>
      <c r="I79" s="95" t="s">
        <v>826</v>
      </c>
    </row>
    <row r="80" spans="1:9" s="76" customFormat="1" ht="17.25" customHeight="1" x14ac:dyDescent="0.3">
      <c r="A80" s="2"/>
      <c r="B80" s="2"/>
      <c r="C80" s="2"/>
      <c r="D80" s="2"/>
      <c r="E80" s="2"/>
      <c r="F80" s="2"/>
      <c r="G80" s="97"/>
      <c r="H80" s="370" t="s">
        <v>66</v>
      </c>
      <c r="I80" s="370"/>
    </row>
    <row r="81" s="76" customFormat="1" ht="17.25" customHeight="1" x14ac:dyDescent="0.3"/>
    <row r="82" s="76" customFormat="1" ht="17.25" customHeight="1" x14ac:dyDescent="0.3"/>
    <row r="83" ht="17.25" customHeight="1" x14ac:dyDescent="0.3"/>
    <row r="84" ht="17.25" customHeight="1" x14ac:dyDescent="0.3"/>
    <row r="85" ht="17.25" customHeight="1" x14ac:dyDescent="0.3"/>
    <row r="86" ht="17.25" customHeight="1" x14ac:dyDescent="0.3"/>
    <row r="87" ht="17.25" customHeight="1" x14ac:dyDescent="0.3"/>
    <row r="88" ht="17.25" customHeight="1" x14ac:dyDescent="0.3"/>
  </sheetData>
  <mergeCells count="66"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A4:H4"/>
    <mergeCell ref="A7:H7"/>
    <mergeCell ref="A9:A11"/>
    <mergeCell ref="B9:B11"/>
    <mergeCell ref="C9:D9"/>
    <mergeCell ref="E9:F9"/>
    <mergeCell ref="G9:H9"/>
    <mergeCell ref="A12:A51"/>
    <mergeCell ref="A52:B56"/>
    <mergeCell ref="C53:C54"/>
    <mergeCell ref="D53:D54"/>
    <mergeCell ref="E53:E54"/>
    <mergeCell ref="C62:I62"/>
    <mergeCell ref="C63:I63"/>
    <mergeCell ref="I9:I10"/>
    <mergeCell ref="F12:G12"/>
    <mergeCell ref="C55:C56"/>
    <mergeCell ref="D55:D56"/>
    <mergeCell ref="E55:E56"/>
    <mergeCell ref="F55:F56"/>
    <mergeCell ref="G55:G56"/>
    <mergeCell ref="H55:H56"/>
    <mergeCell ref="F53:F54"/>
    <mergeCell ref="G53:G54"/>
    <mergeCell ref="H53:H54"/>
    <mergeCell ref="I53:I54"/>
    <mergeCell ref="I55:I56"/>
    <mergeCell ref="H80:I80"/>
    <mergeCell ref="C72:I72"/>
    <mergeCell ref="C73:I73"/>
    <mergeCell ref="C74:I74"/>
    <mergeCell ref="A73:B74"/>
    <mergeCell ref="A75:B75"/>
    <mergeCell ref="A78:B79"/>
    <mergeCell ref="C78:D78"/>
    <mergeCell ref="E78:F78"/>
    <mergeCell ref="G78:H78"/>
    <mergeCell ref="G79:H79"/>
    <mergeCell ref="A70:B72"/>
    <mergeCell ref="C70:I70"/>
    <mergeCell ref="C71:I71"/>
    <mergeCell ref="A57:B60"/>
    <mergeCell ref="C57:I57"/>
    <mergeCell ref="C58:I58"/>
    <mergeCell ref="A61:B64"/>
    <mergeCell ref="A65:A69"/>
    <mergeCell ref="B65:B66"/>
    <mergeCell ref="B67:B69"/>
    <mergeCell ref="C67:I67"/>
    <mergeCell ref="C68:I68"/>
    <mergeCell ref="C69:I69"/>
    <mergeCell ref="C65:I65"/>
    <mergeCell ref="C66:I66"/>
    <mergeCell ref="C59:I59"/>
    <mergeCell ref="C60:I60"/>
    <mergeCell ref="C61:I61"/>
    <mergeCell ref="C64:I64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3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52"/>
  <sheetViews>
    <sheetView zoomScale="90" zoomScaleNormal="90" workbookViewId="0">
      <selection activeCell="I12" sqref="I12"/>
    </sheetView>
  </sheetViews>
  <sheetFormatPr defaultColWidth="9" defaultRowHeight="16.5" x14ac:dyDescent="0.3"/>
  <cols>
    <col min="1" max="1" width="7.875" style="2" customWidth="1"/>
    <col min="2" max="2" width="15.625" style="2" customWidth="1"/>
    <col min="3" max="9" width="13.375" style="2" customWidth="1"/>
    <col min="10" max="10" width="1.375" style="134" customWidth="1"/>
    <col min="11" max="11" width="18.125" style="134" customWidth="1"/>
    <col min="12" max="12" width="9.5" style="2" bestFit="1" customWidth="1"/>
    <col min="13" max="16384" width="9" style="2"/>
  </cols>
  <sheetData>
    <row r="1" spans="1:14" ht="39" thickBot="1" x14ac:dyDescent="0.35">
      <c r="A1" s="294" t="s">
        <v>0</v>
      </c>
      <c r="B1" s="295"/>
      <c r="C1" s="295"/>
      <c r="D1" s="295"/>
      <c r="E1" s="295"/>
      <c r="F1" s="295"/>
      <c r="G1" s="295"/>
      <c r="H1" s="295"/>
      <c r="I1" s="296"/>
      <c r="J1" s="132"/>
      <c r="K1" s="132"/>
    </row>
    <row r="2" spans="1:14" x14ac:dyDescent="0.3">
      <c r="A2" s="297" t="s">
        <v>1</v>
      </c>
      <c r="B2" s="298"/>
      <c r="C2" s="299" t="s">
        <v>81</v>
      </c>
      <c r="D2" s="300"/>
      <c r="E2" s="301" t="s">
        <v>77</v>
      </c>
      <c r="F2" s="303" t="s">
        <v>2</v>
      </c>
      <c r="G2" s="304"/>
      <c r="H2" s="305" t="s">
        <v>76</v>
      </c>
      <c r="I2" s="306"/>
      <c r="J2" s="133"/>
      <c r="K2" s="133"/>
    </row>
    <row r="3" spans="1:14" x14ac:dyDescent="0.3">
      <c r="A3" s="307" t="s">
        <v>3</v>
      </c>
      <c r="B3" s="308"/>
      <c r="C3" s="4"/>
      <c r="D3" s="5" t="s">
        <v>4</v>
      </c>
      <c r="E3" s="302"/>
      <c r="F3" s="309"/>
      <c r="G3" s="310"/>
      <c r="H3" s="311">
        <f>G11</f>
        <v>69634500</v>
      </c>
      <c r="I3" s="312"/>
      <c r="J3" s="133"/>
      <c r="K3" s="133"/>
    </row>
    <row r="4" spans="1:14" hidden="1" x14ac:dyDescent="0.3">
      <c r="A4" s="166"/>
      <c r="B4" s="167"/>
      <c r="C4" s="168"/>
      <c r="D4" s="119"/>
      <c r="E4" s="169"/>
      <c r="F4" s="161"/>
      <c r="G4" s="84"/>
      <c r="H4" s="170"/>
      <c r="I4" s="171"/>
      <c r="J4" s="133"/>
      <c r="K4" s="133"/>
    </row>
    <row r="5" spans="1:14" hidden="1" x14ac:dyDescent="0.3">
      <c r="A5" s="166"/>
      <c r="B5" s="167"/>
      <c r="C5" s="168"/>
      <c r="D5" s="119"/>
      <c r="E5" s="169"/>
      <c r="F5" s="161"/>
      <c r="G5" s="84"/>
      <c r="H5" s="170"/>
      <c r="I5" s="171"/>
      <c r="J5" s="133"/>
      <c r="K5" s="133"/>
    </row>
    <row r="6" spans="1:14" hidden="1" x14ac:dyDescent="0.3">
      <c r="A6" s="166"/>
      <c r="B6" s="167"/>
      <c r="C6" s="168"/>
      <c r="D6" s="119"/>
      <c r="E6" s="169"/>
      <c r="F6" s="161"/>
      <c r="G6" s="84"/>
      <c r="H6" s="170"/>
      <c r="I6" s="171"/>
      <c r="J6" s="133"/>
      <c r="K6" s="133"/>
    </row>
    <row r="7" spans="1:14" hidden="1" x14ac:dyDescent="0.3">
      <c r="A7" s="166"/>
      <c r="B7" s="167"/>
      <c r="C7" s="168"/>
      <c r="D7" s="119"/>
      <c r="E7" s="169"/>
      <c r="F7" s="161"/>
      <c r="G7" s="84"/>
      <c r="H7" s="170"/>
      <c r="I7" s="171"/>
      <c r="J7" s="133"/>
      <c r="K7" s="133"/>
    </row>
    <row r="8" spans="1:14" ht="18" customHeight="1" thickBot="1" x14ac:dyDescent="0.35">
      <c r="A8" s="114"/>
      <c r="B8" s="115"/>
      <c r="C8" s="115"/>
      <c r="D8" s="115"/>
      <c r="E8" s="115"/>
      <c r="F8" s="115"/>
      <c r="G8" s="115"/>
      <c r="H8" s="115"/>
      <c r="I8" s="6"/>
      <c r="J8" s="133"/>
      <c r="K8" s="133"/>
    </row>
    <row r="9" spans="1:14" ht="18" customHeight="1" x14ac:dyDescent="0.3">
      <c r="A9" s="377" t="s">
        <v>10</v>
      </c>
      <c r="B9" s="423" t="s">
        <v>11</v>
      </c>
      <c r="C9" s="318" t="s">
        <v>68</v>
      </c>
      <c r="D9" s="301"/>
      <c r="E9" s="301" t="s">
        <v>67</v>
      </c>
      <c r="F9" s="301"/>
      <c r="G9" s="301" t="s">
        <v>69</v>
      </c>
      <c r="H9" s="301"/>
      <c r="I9" s="371" t="s">
        <v>78</v>
      </c>
      <c r="J9" s="133"/>
      <c r="K9" s="133"/>
    </row>
    <row r="10" spans="1:14" ht="18" customHeight="1" x14ac:dyDescent="0.3">
      <c r="A10" s="378"/>
      <c r="B10" s="424"/>
      <c r="C10" s="138" t="s">
        <v>12</v>
      </c>
      <c r="D10" s="104" t="s">
        <v>13</v>
      </c>
      <c r="E10" s="104" t="s">
        <v>12</v>
      </c>
      <c r="F10" s="104" t="s">
        <v>13</v>
      </c>
      <c r="G10" s="104" t="s">
        <v>70</v>
      </c>
      <c r="H10" s="104" t="s">
        <v>71</v>
      </c>
      <c r="I10" s="372"/>
      <c r="J10" s="133"/>
      <c r="K10" s="133"/>
    </row>
    <row r="11" spans="1:14" ht="17.25" thickBot="1" x14ac:dyDescent="0.35">
      <c r="A11" s="379"/>
      <c r="B11" s="425"/>
      <c r="C11" s="125">
        <f>SUM('1일:31일'!C11)</f>
        <v>61658600</v>
      </c>
      <c r="D11" s="125">
        <f>SUM('1일:31일'!D11)</f>
        <v>4350</v>
      </c>
      <c r="E11" s="125">
        <f>SUM('1일:31일'!E11)</f>
        <v>7975900</v>
      </c>
      <c r="F11" s="125">
        <f>SUM('1일:31일'!F11)</f>
        <v>329</v>
      </c>
      <c r="G11" s="125">
        <f>SUM('1일:31일'!G11)</f>
        <v>69634500</v>
      </c>
      <c r="H11" s="125">
        <f>SUM('1일:31일'!H11)</f>
        <v>4679</v>
      </c>
      <c r="I11" s="125">
        <f>G11/H11</f>
        <v>14882.34665526822</v>
      </c>
      <c r="J11" s="133"/>
      <c r="K11" s="133"/>
    </row>
    <row r="12" spans="1:14" ht="30" customHeight="1" thickBot="1" x14ac:dyDescent="0.35">
      <c r="A12" s="428" t="s">
        <v>14</v>
      </c>
      <c r="B12" s="107" t="s">
        <v>15</v>
      </c>
      <c r="C12" s="142" t="s">
        <v>82</v>
      </c>
      <c r="D12" s="143" t="s">
        <v>83</v>
      </c>
      <c r="E12" s="144" t="s">
        <v>84</v>
      </c>
      <c r="F12" s="426" t="s">
        <v>85</v>
      </c>
      <c r="G12" s="427"/>
      <c r="H12" s="143" t="s">
        <v>86</v>
      </c>
      <c r="I12" s="145" t="s">
        <v>87</v>
      </c>
      <c r="J12" s="131"/>
      <c r="K12" s="140" t="s">
        <v>15</v>
      </c>
      <c r="L12" s="229" t="s">
        <v>92</v>
      </c>
      <c r="M12" s="230" t="s">
        <v>93</v>
      </c>
      <c r="N12" s="177" t="s">
        <v>102</v>
      </c>
    </row>
    <row r="13" spans="1:14" ht="16.5" customHeight="1" x14ac:dyDescent="0.3">
      <c r="A13" s="429"/>
      <c r="B13" s="126" t="s">
        <v>23</v>
      </c>
      <c r="C13" s="146">
        <f>SUM('1일:31일'!C13)</f>
        <v>626</v>
      </c>
      <c r="D13" s="146">
        <f>SUM('1일:31일'!D13)</f>
        <v>2</v>
      </c>
      <c r="E13" s="146">
        <f>SUM('1일:31일'!E13)</f>
        <v>9</v>
      </c>
      <c r="F13" s="146">
        <f>SUM('1일:31일'!F13)</f>
        <v>0</v>
      </c>
      <c r="G13" s="146"/>
      <c r="H13" s="146">
        <f>SUM('1일:31일'!H13)</f>
        <v>40</v>
      </c>
      <c r="I13" s="146">
        <f>SUM('1일:31일'!I13)</f>
        <v>560</v>
      </c>
      <c r="J13" s="135"/>
      <c r="K13" s="228" t="s">
        <v>23</v>
      </c>
      <c r="L13" s="232">
        <f>(I13+I14*0.5)/(C13+F13)</f>
        <v>0.89456869009584661</v>
      </c>
      <c r="M13" s="225">
        <f>1-L13</f>
        <v>0.10543130990415339</v>
      </c>
      <c r="N13" s="233">
        <f>(H13+H14*0.5)/(C13+F13)</f>
        <v>7.268370607028754E-2</v>
      </c>
    </row>
    <row r="14" spans="1:14" ht="16.5" customHeight="1" x14ac:dyDescent="0.3">
      <c r="A14" s="429"/>
      <c r="B14" s="27" t="s">
        <v>24</v>
      </c>
      <c r="C14" s="146">
        <f>SUM('1일:31일'!C14)</f>
        <v>0</v>
      </c>
      <c r="D14" s="146">
        <f>SUM('1일:31일'!D14)</f>
        <v>1</v>
      </c>
      <c r="E14" s="146">
        <f>SUM('1일:31일'!E14)</f>
        <v>18</v>
      </c>
      <c r="F14" s="146">
        <f>SUM('1일:31일'!F14)</f>
        <v>0</v>
      </c>
      <c r="G14" s="146"/>
      <c r="H14" s="146">
        <f>SUM('1일:31일'!H14)</f>
        <v>11</v>
      </c>
      <c r="I14" s="146">
        <f>SUM('1일:31일'!I14)</f>
        <v>0</v>
      </c>
      <c r="J14" s="135"/>
      <c r="K14" s="228" t="s">
        <v>24</v>
      </c>
      <c r="L14" s="234"/>
      <c r="M14" s="151"/>
      <c r="N14" s="149"/>
    </row>
    <row r="15" spans="1:14" ht="16.5" customHeight="1" x14ac:dyDescent="0.3">
      <c r="A15" s="429"/>
      <c r="B15" s="27" t="s">
        <v>25</v>
      </c>
      <c r="C15" s="146">
        <f>SUM('1일:31일'!C15)</f>
        <v>563</v>
      </c>
      <c r="D15" s="146">
        <f>SUM('1일:31일'!D15)</f>
        <v>4</v>
      </c>
      <c r="E15" s="146">
        <f>SUM('1일:31일'!E15)</f>
        <v>4</v>
      </c>
      <c r="F15" s="146">
        <f>SUM('1일:31일'!F15)</f>
        <v>0</v>
      </c>
      <c r="G15" s="146"/>
      <c r="H15" s="146">
        <f>SUM('1일:31일'!H15)</f>
        <v>79</v>
      </c>
      <c r="I15" s="146">
        <f>SUM('1일:31일'!I15)</f>
        <v>467</v>
      </c>
      <c r="J15" s="135"/>
      <c r="K15" s="228" t="s">
        <v>25</v>
      </c>
      <c r="L15" s="235">
        <f>(I15+I16*0.5)/(C15+F15)</f>
        <v>0.82948490230905858</v>
      </c>
      <c r="M15" s="150">
        <f t="shared" ref="M15:M39" si="0">1-L15</f>
        <v>0.17051509769094142</v>
      </c>
      <c r="N15" s="139">
        <f>(H15+H16*0.5)/(C15+F15)</f>
        <v>0.14120781527531084</v>
      </c>
    </row>
    <row r="16" spans="1:14" ht="16.5" customHeight="1" x14ac:dyDescent="0.3">
      <c r="A16" s="429"/>
      <c r="B16" s="27" t="s">
        <v>26</v>
      </c>
      <c r="C16" s="146">
        <f>SUM('1일:31일'!C16)</f>
        <v>0</v>
      </c>
      <c r="D16" s="146">
        <f>SUM('1일:31일'!D16)</f>
        <v>0</v>
      </c>
      <c r="E16" s="146">
        <f>SUM('1일:31일'!E16)</f>
        <v>17</v>
      </c>
      <c r="F16" s="146">
        <f>SUM('1일:31일'!F16)</f>
        <v>0</v>
      </c>
      <c r="G16" s="146"/>
      <c r="H16" s="146">
        <f>SUM('1일:31일'!H16)</f>
        <v>1</v>
      </c>
      <c r="I16" s="146">
        <f>SUM('1일:31일'!I16)</f>
        <v>0</v>
      </c>
      <c r="J16" s="135"/>
      <c r="K16" s="228" t="s">
        <v>26</v>
      </c>
      <c r="L16" s="234"/>
      <c r="M16" s="151"/>
      <c r="N16" s="149"/>
    </row>
    <row r="17" spans="1:14" ht="16.5" customHeight="1" x14ac:dyDescent="0.3">
      <c r="A17" s="429"/>
      <c r="B17" s="27" t="s">
        <v>27</v>
      </c>
      <c r="C17" s="146">
        <f>SUM('1일:31일'!C17)</f>
        <v>694</v>
      </c>
      <c r="D17" s="146">
        <f>SUM('1일:31일'!D17)</f>
        <v>10</v>
      </c>
      <c r="E17" s="146">
        <f>SUM('1일:31일'!E17)</f>
        <v>17</v>
      </c>
      <c r="F17" s="146">
        <f>SUM('1일:31일'!F17)</f>
        <v>0</v>
      </c>
      <c r="G17" s="146"/>
      <c r="H17" s="146">
        <f>SUM('1일:31일'!H17)</f>
        <v>46</v>
      </c>
      <c r="I17" s="146">
        <f>SUM('1일:31일'!I17)</f>
        <v>612</v>
      </c>
      <c r="J17" s="135"/>
      <c r="K17" s="228" t="s">
        <v>27</v>
      </c>
      <c r="L17" s="235">
        <f t="shared" ref="L17:L19" si="1">(I17+I18*0.5)/(C17+F17)</f>
        <v>0.88184438040345825</v>
      </c>
      <c r="M17" s="150">
        <f t="shared" si="0"/>
        <v>0.11815561959654175</v>
      </c>
      <c r="N17" s="139">
        <f>(H17+H18*0.5)/(C17+F17)</f>
        <v>6.8443804034582126E-2</v>
      </c>
    </row>
    <row r="18" spans="1:14" ht="16.5" customHeight="1" x14ac:dyDescent="0.3">
      <c r="A18" s="429"/>
      <c r="B18" s="27" t="s">
        <v>28</v>
      </c>
      <c r="C18" s="146">
        <f>SUM('1일:31일'!C18)</f>
        <v>0</v>
      </c>
      <c r="D18" s="146">
        <f>SUM('1일:31일'!D18)</f>
        <v>1</v>
      </c>
      <c r="E18" s="146">
        <f>SUM('1일:31일'!E18)</f>
        <v>14</v>
      </c>
      <c r="F18" s="146">
        <f>SUM('1일:31일'!F18)</f>
        <v>0</v>
      </c>
      <c r="G18" s="146"/>
      <c r="H18" s="146">
        <f>SUM('1일:31일'!H18)</f>
        <v>3</v>
      </c>
      <c r="I18" s="146">
        <f>SUM('1일:31일'!I18)</f>
        <v>0</v>
      </c>
      <c r="J18" s="135"/>
      <c r="K18" s="228" t="s">
        <v>28</v>
      </c>
      <c r="L18" s="234"/>
      <c r="M18" s="151"/>
      <c r="N18" s="149"/>
    </row>
    <row r="19" spans="1:14" ht="16.5" customHeight="1" x14ac:dyDescent="0.3">
      <c r="A19" s="429"/>
      <c r="B19" s="27" t="s">
        <v>29</v>
      </c>
      <c r="C19" s="146">
        <f>SUM('1일:31일'!C19)</f>
        <v>324</v>
      </c>
      <c r="D19" s="146">
        <f>SUM('1일:31일'!D19)</f>
        <v>12</v>
      </c>
      <c r="E19" s="146">
        <f>SUM('1일:31일'!E19)</f>
        <v>1</v>
      </c>
      <c r="F19" s="146">
        <f>SUM('1일:31일'!F19)</f>
        <v>0</v>
      </c>
      <c r="G19" s="146"/>
      <c r="H19" s="146">
        <f>SUM('1일:31일'!H19)</f>
        <v>22</v>
      </c>
      <c r="I19" s="146">
        <f>SUM('1일:31일'!I19)</f>
        <v>282</v>
      </c>
      <c r="J19" s="135"/>
      <c r="K19" s="228" t="s">
        <v>29</v>
      </c>
      <c r="L19" s="235">
        <f t="shared" si="1"/>
        <v>0.87037037037037035</v>
      </c>
      <c r="M19" s="150">
        <f t="shared" si="0"/>
        <v>0.12962962962962965</v>
      </c>
      <c r="N19" s="139">
        <f>(H19+H20*0.5)/(C19+F19)</f>
        <v>7.5617283950617287E-2</v>
      </c>
    </row>
    <row r="20" spans="1:14" ht="16.5" customHeight="1" thickBot="1" x14ac:dyDescent="0.35">
      <c r="A20" s="429"/>
      <c r="B20" s="27" t="s">
        <v>30</v>
      </c>
      <c r="C20" s="146">
        <f>SUM('1일:31일'!C20)</f>
        <v>0</v>
      </c>
      <c r="D20" s="146">
        <f>SUM('1일:31일'!D20)</f>
        <v>2</v>
      </c>
      <c r="E20" s="146">
        <f>SUM('1일:31일'!E20)</f>
        <v>7</v>
      </c>
      <c r="F20" s="146">
        <f>SUM('1일:31일'!F20)</f>
        <v>0</v>
      </c>
      <c r="G20" s="146"/>
      <c r="H20" s="146">
        <f>SUM('1일:31일'!H20)</f>
        <v>5</v>
      </c>
      <c r="I20" s="146">
        <f>SUM('1일:31일'!I20)</f>
        <v>0</v>
      </c>
      <c r="J20" s="135"/>
      <c r="K20" s="228" t="s">
        <v>30</v>
      </c>
      <c r="L20" s="236"/>
      <c r="M20" s="193"/>
      <c r="N20" s="237"/>
    </row>
    <row r="21" spans="1:14" ht="16.5" customHeight="1" x14ac:dyDescent="0.3">
      <c r="A21" s="429"/>
      <c r="B21" s="58" t="s">
        <v>31</v>
      </c>
      <c r="C21" s="146">
        <f>SUM('1일:31일'!C21)</f>
        <v>2154</v>
      </c>
      <c r="D21" s="146">
        <f>SUM('1일:31일'!D21)</f>
        <v>10</v>
      </c>
      <c r="E21" s="146">
        <f>SUM('1일:31일'!E21)</f>
        <v>49</v>
      </c>
      <c r="F21" s="146">
        <f>SUM('1일:31일'!F21)</f>
        <v>0</v>
      </c>
      <c r="G21" s="146"/>
      <c r="H21" s="146">
        <f>SUM('1일:31일'!H21)</f>
        <v>228</v>
      </c>
      <c r="I21" s="146">
        <f>SUM('1일:31일'!I21)</f>
        <v>1867</v>
      </c>
      <c r="J21" s="135"/>
      <c r="K21" s="238" t="s">
        <v>31</v>
      </c>
      <c r="L21" s="241">
        <f>I21/(C21+F21)</f>
        <v>0.86675951717734445</v>
      </c>
      <c r="M21" s="225">
        <f>1-L21</f>
        <v>0.13324048282265555</v>
      </c>
      <c r="N21" s="233">
        <f>H21/(C21+F21)</f>
        <v>0.10584958217270195</v>
      </c>
    </row>
    <row r="22" spans="1:14" ht="16.5" customHeight="1" x14ac:dyDescent="0.3">
      <c r="A22" s="429"/>
      <c r="B22" s="126" t="s">
        <v>32</v>
      </c>
      <c r="C22" s="146">
        <f>SUM('1일:31일'!C22)</f>
        <v>943</v>
      </c>
      <c r="D22" s="146">
        <f>SUM('1일:31일'!D22)</f>
        <v>5</v>
      </c>
      <c r="E22" s="146">
        <f>SUM('1일:31일'!E22)</f>
        <v>45</v>
      </c>
      <c r="F22" s="146">
        <f>SUM('1일:31일'!F22)</f>
        <v>0</v>
      </c>
      <c r="G22" s="146"/>
      <c r="H22" s="146">
        <f>SUM('1일:31일'!H22)</f>
        <v>150</v>
      </c>
      <c r="I22" s="146">
        <f>SUM('1일:31일'!I22)</f>
        <v>743</v>
      </c>
      <c r="J22" s="135"/>
      <c r="K22" s="228" t="s">
        <v>32</v>
      </c>
      <c r="L22" s="235">
        <f>I22/(C22+F22)</f>
        <v>0.78791092258748674</v>
      </c>
      <c r="M22" s="150">
        <f>1-L22</f>
        <v>0.21208907741251326</v>
      </c>
      <c r="N22" s="139">
        <f>H22/(C22+F22)</f>
        <v>0.15906680805938495</v>
      </c>
    </row>
    <row r="23" spans="1:14" ht="16.5" customHeight="1" x14ac:dyDescent="0.3">
      <c r="A23" s="429"/>
      <c r="B23" s="27" t="s">
        <v>33</v>
      </c>
      <c r="C23" s="146">
        <f>SUM('1일:31일'!C23)</f>
        <v>4076</v>
      </c>
      <c r="D23" s="146">
        <f>SUM('1일:31일'!D23)</f>
        <v>12</v>
      </c>
      <c r="E23" s="146">
        <f>SUM('1일:31일'!E23)</f>
        <v>78</v>
      </c>
      <c r="F23" s="146">
        <f>SUM('1일:31일'!F23)</f>
        <v>0</v>
      </c>
      <c r="G23" s="146"/>
      <c r="H23" s="146">
        <f>SUM('1일:31일'!H23)</f>
        <v>372</v>
      </c>
      <c r="I23" s="146">
        <f>SUM('1일:31일'!I23)</f>
        <v>3376</v>
      </c>
      <c r="J23" s="135"/>
      <c r="K23" s="228" t="s">
        <v>33</v>
      </c>
      <c r="L23" s="419">
        <f>(I23+I24)/(C23+F23+F24)</f>
        <v>0.82826300294406285</v>
      </c>
      <c r="M23" s="420">
        <f t="shared" ref="M23" si="2">1-L23</f>
        <v>0.17173699705593715</v>
      </c>
      <c r="N23" s="417">
        <f>(H23+H24)/(C23+F23+F24)</f>
        <v>0.14082433758586849</v>
      </c>
    </row>
    <row r="24" spans="1:14" ht="16.5" customHeight="1" x14ac:dyDescent="0.3">
      <c r="A24" s="429"/>
      <c r="B24" s="127" t="s">
        <v>34</v>
      </c>
      <c r="C24" s="146">
        <f>SUM('1일:31일'!C24)</f>
        <v>0</v>
      </c>
      <c r="D24" s="146">
        <f>SUM('1일:31일'!D24)</f>
        <v>3</v>
      </c>
      <c r="E24" s="146">
        <f>SUM('1일:31일'!E24)</f>
        <v>33</v>
      </c>
      <c r="F24" s="146">
        <f>SUM('1일:31일'!F24)</f>
        <v>0</v>
      </c>
      <c r="G24" s="146"/>
      <c r="H24" s="146">
        <f>SUM('1일:31일'!H24)</f>
        <v>202</v>
      </c>
      <c r="I24" s="146">
        <f>SUM('1일:31일'!I24)</f>
        <v>0</v>
      </c>
      <c r="J24" s="135"/>
      <c r="K24" s="228" t="s">
        <v>34</v>
      </c>
      <c r="L24" s="419"/>
      <c r="M24" s="420"/>
      <c r="N24" s="417"/>
    </row>
    <row r="25" spans="1:14" ht="16.5" customHeight="1" x14ac:dyDescent="0.3">
      <c r="A25" s="429"/>
      <c r="B25" s="21" t="s">
        <v>35</v>
      </c>
      <c r="C25" s="146">
        <f>SUM('1일:31일'!C25)</f>
        <v>735</v>
      </c>
      <c r="D25" s="146">
        <f>SUM('1일:31일'!D25)</f>
        <v>11</v>
      </c>
      <c r="E25" s="146">
        <f>SUM('1일:31일'!E25)</f>
        <v>14</v>
      </c>
      <c r="F25" s="146">
        <f>SUM('1일:31일'!F25)</f>
        <v>0</v>
      </c>
      <c r="G25" s="146"/>
      <c r="H25" s="146">
        <f>SUM('1일:31일'!H25)</f>
        <v>116</v>
      </c>
      <c r="I25" s="146">
        <f>SUM('1일:31일'!I25)</f>
        <v>594</v>
      </c>
      <c r="J25" s="135"/>
      <c r="K25" s="228" t="s">
        <v>35</v>
      </c>
      <c r="L25" s="235">
        <f>I25/(C25+F25)</f>
        <v>0.80816326530612248</v>
      </c>
      <c r="M25" s="150">
        <f t="shared" si="0"/>
        <v>0.19183673469387752</v>
      </c>
      <c r="N25" s="139">
        <f>H25/(C25+F25)</f>
        <v>0.15782312925170067</v>
      </c>
    </row>
    <row r="26" spans="1:14" ht="16.5" customHeight="1" x14ac:dyDescent="0.3">
      <c r="A26" s="429"/>
      <c r="B26" s="127" t="s">
        <v>36</v>
      </c>
      <c r="C26" s="146">
        <f>SUM('1일:31일'!C26)</f>
        <v>949</v>
      </c>
      <c r="D26" s="146">
        <f>SUM('1일:31일'!D26)</f>
        <v>6</v>
      </c>
      <c r="E26" s="146">
        <f>SUM('1일:31일'!E26)</f>
        <v>9</v>
      </c>
      <c r="F26" s="146">
        <f>SUM('1일:31일'!F26)</f>
        <v>0</v>
      </c>
      <c r="G26" s="146"/>
      <c r="H26" s="146">
        <f>SUM('1일:31일'!H26)</f>
        <v>70</v>
      </c>
      <c r="I26" s="146">
        <f>SUM('1일:31일'!I26)</f>
        <v>864</v>
      </c>
      <c r="J26" s="135"/>
      <c r="K26" s="228" t="s">
        <v>36</v>
      </c>
      <c r="L26" s="235">
        <f>I26/(C26+F26)</f>
        <v>0.91043203371970494</v>
      </c>
      <c r="M26" s="150">
        <f t="shared" si="0"/>
        <v>8.9567966280295064E-2</v>
      </c>
      <c r="N26" s="139">
        <f t="shared" ref="N26:N27" si="3">H26/(C26+F26)</f>
        <v>7.3761854583772393E-2</v>
      </c>
    </row>
    <row r="27" spans="1:14" ht="16.5" customHeight="1" x14ac:dyDescent="0.3">
      <c r="A27" s="429"/>
      <c r="B27" s="21" t="s">
        <v>37</v>
      </c>
      <c r="C27" s="146">
        <f>SUM('1일:31일'!C27)</f>
        <v>753</v>
      </c>
      <c r="D27" s="146">
        <f>SUM('1일:31일'!D27)</f>
        <v>41</v>
      </c>
      <c r="E27" s="146">
        <f>SUM('1일:31일'!E27)</f>
        <v>5</v>
      </c>
      <c r="F27" s="146">
        <f>SUM('1일:31일'!F27)</f>
        <v>0</v>
      </c>
      <c r="G27" s="146"/>
      <c r="H27" s="146">
        <f>SUM('1일:31일'!H27)</f>
        <v>102</v>
      </c>
      <c r="I27" s="146">
        <f>SUM('1일:31일'!I27)</f>
        <v>605</v>
      </c>
      <c r="J27" s="135"/>
      <c r="K27" s="228" t="s">
        <v>37</v>
      </c>
      <c r="L27" s="235">
        <f>I27/(C27+F27)</f>
        <v>0.80345285524568388</v>
      </c>
      <c r="M27" s="150">
        <f t="shared" si="0"/>
        <v>0.19654714475431612</v>
      </c>
      <c r="N27" s="139">
        <f t="shared" si="3"/>
        <v>0.13545816733067728</v>
      </c>
    </row>
    <row r="28" spans="1:14" ht="16.5" customHeight="1" x14ac:dyDescent="0.3">
      <c r="A28" s="429"/>
      <c r="B28" s="127" t="s">
        <v>38</v>
      </c>
      <c r="C28" s="146">
        <f>SUM('1일:31일'!C28)</f>
        <v>1049</v>
      </c>
      <c r="D28" s="146">
        <f>SUM('1일:31일'!D28)</f>
        <v>67</v>
      </c>
      <c r="E28" s="146">
        <f>SUM('1일:31일'!E28)</f>
        <v>14</v>
      </c>
      <c r="F28" s="146">
        <f>SUM('1일:31일'!F28)</f>
        <v>0</v>
      </c>
      <c r="G28" s="146"/>
      <c r="H28" s="146">
        <f>SUM('1일:31일'!H28)</f>
        <v>270</v>
      </c>
      <c r="I28" s="146">
        <f>SUM('1일:31일'!I28)</f>
        <v>698</v>
      </c>
      <c r="J28" s="135"/>
      <c r="K28" s="228" t="s">
        <v>38</v>
      </c>
      <c r="L28" s="235">
        <f>I28/(C28+F28)</f>
        <v>0.66539561487130605</v>
      </c>
      <c r="M28" s="150">
        <f t="shared" si="0"/>
        <v>0.33460438512869395</v>
      </c>
      <c r="N28" s="139">
        <f>H28/(C28+F28)</f>
        <v>0.25738798856053385</v>
      </c>
    </row>
    <row r="29" spans="1:14" ht="16.5" customHeight="1" x14ac:dyDescent="0.3">
      <c r="A29" s="429"/>
      <c r="B29" s="21" t="s">
        <v>39</v>
      </c>
      <c r="C29" s="146">
        <f>SUM('1일:31일'!C29)</f>
        <v>155</v>
      </c>
      <c r="D29" s="146">
        <f>SUM('1일:31일'!D29)</f>
        <v>2</v>
      </c>
      <c r="E29" s="146">
        <f>SUM('1일:31일'!E29)</f>
        <v>0</v>
      </c>
      <c r="F29" s="146">
        <f>SUM('1일:31일'!F29)</f>
        <v>0</v>
      </c>
      <c r="G29" s="146"/>
      <c r="H29" s="146">
        <f>SUM('1일:31일'!H29)</f>
        <v>22</v>
      </c>
      <c r="I29" s="146">
        <f>SUM('1일:31일'!I29)</f>
        <v>131</v>
      </c>
      <c r="J29" s="135"/>
      <c r="K29" s="228" t="s">
        <v>39</v>
      </c>
      <c r="L29" s="235">
        <f>I29/(C29+F29)</f>
        <v>0.84516129032258069</v>
      </c>
      <c r="M29" s="150">
        <f t="shared" si="0"/>
        <v>0.15483870967741931</v>
      </c>
      <c r="N29" s="139">
        <f>H29/(C29+F29)</f>
        <v>0.14193548387096774</v>
      </c>
    </row>
    <row r="30" spans="1:14" ht="16.5" customHeight="1" x14ac:dyDescent="0.3">
      <c r="A30" s="429"/>
      <c r="B30" s="56" t="s">
        <v>40</v>
      </c>
      <c r="C30" s="146">
        <f>SUM('1일:31일'!C30)</f>
        <v>2357</v>
      </c>
      <c r="D30" s="146">
        <f>SUM('1일:31일'!D30)</f>
        <v>26</v>
      </c>
      <c r="E30" s="146">
        <f>SUM('1일:31일'!E30)</f>
        <v>24</v>
      </c>
      <c r="F30" s="146">
        <f>SUM('1일:31일'!F30)</f>
        <v>0</v>
      </c>
      <c r="G30" s="146"/>
      <c r="H30" s="146">
        <f>SUM('1일:31일'!H30)</f>
        <v>467</v>
      </c>
      <c r="I30" s="146">
        <f>SUM('1일:31일'!I30)</f>
        <v>1832</v>
      </c>
      <c r="J30" s="135"/>
      <c r="K30" s="238" t="s">
        <v>40</v>
      </c>
      <c r="L30" s="419">
        <f>(I30+I31)/(C30+F30+F31)</f>
        <v>0.77725922783198986</v>
      </c>
      <c r="M30" s="420">
        <f t="shared" si="0"/>
        <v>0.22274077216801014</v>
      </c>
      <c r="N30" s="417">
        <f>(H30+H31)/(C30+F30+F31)</f>
        <v>0.19813322019516336</v>
      </c>
    </row>
    <row r="31" spans="1:14" ht="16.5" customHeight="1" thickBot="1" x14ac:dyDescent="0.35">
      <c r="A31" s="429"/>
      <c r="B31" s="58" t="s">
        <v>41</v>
      </c>
      <c r="C31" s="146">
        <f>SUM('1일:31일'!C31)</f>
        <v>0</v>
      </c>
      <c r="D31" s="146">
        <f>SUM('1일:31일'!D31)</f>
        <v>0</v>
      </c>
      <c r="E31" s="146">
        <f>SUM('1일:31일'!E31)</f>
        <v>8</v>
      </c>
      <c r="F31" s="146">
        <f>SUM('1일:31일'!F31)</f>
        <v>0</v>
      </c>
      <c r="G31" s="146"/>
      <c r="H31" s="146">
        <f>SUM('1일:31일'!H31)</f>
        <v>0</v>
      </c>
      <c r="I31" s="146">
        <f>SUM('1일:31일'!I31)</f>
        <v>0</v>
      </c>
      <c r="J31" s="135"/>
      <c r="K31" s="242" t="s">
        <v>41</v>
      </c>
      <c r="L31" s="421"/>
      <c r="M31" s="422"/>
      <c r="N31" s="418"/>
    </row>
    <row r="32" spans="1:14" ht="16.5" customHeight="1" x14ac:dyDescent="0.3">
      <c r="A32" s="429"/>
      <c r="B32" s="179" t="s">
        <v>116</v>
      </c>
      <c r="C32" s="146">
        <f>SUM('1일:31일'!C32)</f>
        <v>0</v>
      </c>
      <c r="D32" s="146">
        <f>SUM('1일:31일'!D32)</f>
        <v>0</v>
      </c>
      <c r="E32" s="146">
        <f>SUM('1일:31일'!E32)</f>
        <v>0</v>
      </c>
      <c r="F32" s="146">
        <f>SUM('1일:31일'!F32)</f>
        <v>0</v>
      </c>
      <c r="G32" s="146"/>
      <c r="H32" s="146">
        <f>SUM('1일:31일'!H32)</f>
        <v>0</v>
      </c>
      <c r="I32" s="146">
        <f>SUM('1일:31일'!I32)</f>
        <v>0</v>
      </c>
      <c r="J32" s="135"/>
      <c r="K32" s="243" t="s">
        <v>116</v>
      </c>
      <c r="L32" s="239"/>
      <c r="M32" s="231" t="e">
        <f t="shared" ref="M32:M33" si="4">D32/I32</f>
        <v>#DIV/0!</v>
      </c>
      <c r="N32" s="240"/>
    </row>
    <row r="33" spans="1:14" ht="16.5" customHeight="1" x14ac:dyDescent="0.3">
      <c r="A33" s="429"/>
      <c r="B33" s="179" t="s">
        <v>118</v>
      </c>
      <c r="C33" s="146">
        <f>SUM('1일:31일'!C33)</f>
        <v>0</v>
      </c>
      <c r="D33" s="146">
        <f>SUM('1일:31일'!D33)</f>
        <v>0</v>
      </c>
      <c r="E33" s="146">
        <f>SUM('1일:31일'!E33)</f>
        <v>1</v>
      </c>
      <c r="F33" s="146">
        <f>SUM('1일:31일'!F33)</f>
        <v>0</v>
      </c>
      <c r="G33" s="146"/>
      <c r="H33" s="146">
        <f>SUM('1일:31일'!H33)</f>
        <v>5</v>
      </c>
      <c r="I33" s="146">
        <f>SUM('1일:31일'!I33)</f>
        <v>33</v>
      </c>
      <c r="J33" s="135"/>
      <c r="K33" s="244" t="s">
        <v>118</v>
      </c>
      <c r="L33" s="165"/>
      <c r="M33" s="150">
        <f t="shared" si="4"/>
        <v>0</v>
      </c>
      <c r="N33" s="194"/>
    </row>
    <row r="34" spans="1:14" ht="16.5" customHeight="1" thickBot="1" x14ac:dyDescent="0.35">
      <c r="A34" s="429"/>
      <c r="B34" s="179" t="s">
        <v>120</v>
      </c>
      <c r="C34" s="146">
        <f>SUM('1일:31일'!C34)</f>
        <v>0</v>
      </c>
      <c r="D34" s="146">
        <f>SUM('1일:31일'!D34)</f>
        <v>0</v>
      </c>
      <c r="E34" s="146">
        <f>SUM('1일:31일'!E34)</f>
        <v>0</v>
      </c>
      <c r="F34" s="146">
        <f>SUM('1일:31일'!F34)</f>
        <v>0</v>
      </c>
      <c r="G34" s="146"/>
      <c r="H34" s="146">
        <f>SUM('1일:31일'!H34)</f>
        <v>3</v>
      </c>
      <c r="I34" s="146">
        <f>SUM('1일:31일'!I34)</f>
        <v>50</v>
      </c>
      <c r="J34" s="135"/>
      <c r="K34" s="245" t="s">
        <v>120</v>
      </c>
      <c r="L34" s="218"/>
      <c r="M34" s="219">
        <f>D34/I34</f>
        <v>0</v>
      </c>
      <c r="N34" s="220"/>
    </row>
    <row r="35" spans="1:14" ht="16.5" customHeight="1" x14ac:dyDescent="0.3">
      <c r="A35" s="429"/>
      <c r="B35" s="191" t="s">
        <v>79</v>
      </c>
      <c r="C35" s="146">
        <f>SUM('1일:31일'!C35)</f>
        <v>0</v>
      </c>
      <c r="D35" s="146">
        <f>SUM('1일:31일'!D35)</f>
        <v>5</v>
      </c>
      <c r="E35" s="146">
        <f>SUM('1일:31일'!E35)</f>
        <v>47</v>
      </c>
      <c r="F35" s="146">
        <f>SUM('1일:31일'!F35)</f>
        <v>0</v>
      </c>
      <c r="G35" s="146"/>
      <c r="H35" s="146">
        <f>SUM('1일:31일'!H35)</f>
        <v>0</v>
      </c>
      <c r="I35" s="146">
        <f>SUM('1일:31일'!I35)</f>
        <v>524</v>
      </c>
      <c r="J35" s="135"/>
      <c r="K35" s="246" t="s">
        <v>79</v>
      </c>
      <c r="L35" s="224"/>
      <c r="M35" s="209">
        <f>D35/I35</f>
        <v>9.5419847328244278E-3</v>
      </c>
      <c r="N35" s="226"/>
    </row>
    <row r="36" spans="1:14" ht="17.25" customHeight="1" x14ac:dyDescent="0.3">
      <c r="A36" s="429"/>
      <c r="B36" s="153" t="s">
        <v>80</v>
      </c>
      <c r="C36" s="146">
        <f>SUM('1일:31일'!C36)</f>
        <v>592</v>
      </c>
      <c r="D36" s="146">
        <f>SUM('1일:31일'!D36)</f>
        <v>0</v>
      </c>
      <c r="E36" s="146">
        <f>SUM('1일:31일'!E36)</f>
        <v>11</v>
      </c>
      <c r="F36" s="146">
        <f>SUM('1일:31일'!F36)</f>
        <v>0</v>
      </c>
      <c r="G36" s="146"/>
      <c r="H36" s="146">
        <f>SUM('1일:31일'!H36)</f>
        <v>32</v>
      </c>
      <c r="I36" s="146">
        <f>SUM('1일:31일'!I36)</f>
        <v>549</v>
      </c>
      <c r="J36" s="2"/>
      <c r="K36" s="247" t="s">
        <v>80</v>
      </c>
      <c r="L36" s="283">
        <f>I36/(C36+F36)</f>
        <v>0.92736486486486491</v>
      </c>
      <c r="M36" s="150">
        <f t="shared" si="0"/>
        <v>7.2635135135135087E-2</v>
      </c>
      <c r="N36" s="197">
        <f t="shared" ref="N36:N37" si="5">H36/(C36+F36)</f>
        <v>5.4054054054054057E-2</v>
      </c>
    </row>
    <row r="37" spans="1:14" ht="17.25" customHeight="1" thickBot="1" x14ac:dyDescent="0.35">
      <c r="A37" s="429"/>
      <c r="B37" s="163" t="s">
        <v>106</v>
      </c>
      <c r="C37" s="146">
        <f>SUM('1일:31일'!C37)</f>
        <v>0</v>
      </c>
      <c r="D37" s="146">
        <f>SUM('1일:31일'!D37)</f>
        <v>0</v>
      </c>
      <c r="E37" s="146">
        <f>SUM('1일:31일'!E37)</f>
        <v>0</v>
      </c>
      <c r="F37" s="146">
        <f>SUM('1일:31일'!F37)</f>
        <v>0</v>
      </c>
      <c r="G37" s="146"/>
      <c r="H37" s="146">
        <f>SUM('1일:31일'!H37)</f>
        <v>0</v>
      </c>
      <c r="I37" s="146">
        <f>SUM('1일:31일'!I37)</f>
        <v>0</v>
      </c>
      <c r="J37" s="2"/>
      <c r="K37" s="248" t="s">
        <v>106</v>
      </c>
      <c r="L37" s="227" t="e">
        <f>(I37+I38*0.5)/(C37+F37)</f>
        <v>#DIV/0!</v>
      </c>
      <c r="M37" s="152" t="e">
        <f t="shared" si="0"/>
        <v>#DIV/0!</v>
      </c>
      <c r="N37" s="201" t="e">
        <f t="shared" si="5"/>
        <v>#DIV/0!</v>
      </c>
    </row>
    <row r="38" spans="1:14" ht="17.25" customHeight="1" x14ac:dyDescent="0.3">
      <c r="A38" s="429"/>
      <c r="B38" s="178" t="s">
        <v>130</v>
      </c>
      <c r="C38" s="146">
        <f>SUM('1일:31일'!C38)</f>
        <v>0</v>
      </c>
      <c r="D38" s="146">
        <f>SUM('1일:31일'!D38)</f>
        <v>0</v>
      </c>
      <c r="E38" s="146">
        <f>SUM('1일:31일'!E38)</f>
        <v>0</v>
      </c>
      <c r="F38" s="146">
        <f>SUM('1일:31일'!F38)</f>
        <v>0</v>
      </c>
      <c r="G38" s="146"/>
      <c r="H38" s="146">
        <f>SUM('1일:31일'!H38)</f>
        <v>0</v>
      </c>
      <c r="I38" s="146">
        <f>SUM('1일:31일'!I38)</f>
        <v>0</v>
      </c>
      <c r="J38" s="2"/>
      <c r="K38" s="249" t="s">
        <v>130</v>
      </c>
      <c r="L38" s="221"/>
      <c r="M38" s="222"/>
      <c r="N38" s="223"/>
    </row>
    <row r="39" spans="1:14" ht="17.25" customHeight="1" thickBot="1" x14ac:dyDescent="0.35">
      <c r="A39" s="429"/>
      <c r="B39" s="178" t="s">
        <v>108</v>
      </c>
      <c r="C39" s="146">
        <f>SUM('1일:31일'!C39)</f>
        <v>0</v>
      </c>
      <c r="D39" s="146">
        <f>SUM('1일:31일'!D39)</f>
        <v>0</v>
      </c>
      <c r="E39" s="146">
        <f>SUM('1일:31일'!E39)</f>
        <v>0</v>
      </c>
      <c r="F39" s="146">
        <f>SUM('1일:31일'!F39)</f>
        <v>0</v>
      </c>
      <c r="G39" s="146"/>
      <c r="H39" s="146">
        <f>SUM('1일:31일'!H39)</f>
        <v>0</v>
      </c>
      <c r="I39" s="146">
        <f>SUM('1일:31일'!I39)</f>
        <v>0</v>
      </c>
      <c r="J39" s="2"/>
      <c r="K39" s="249" t="s">
        <v>108</v>
      </c>
      <c r="L39" s="198" t="e">
        <f>(I39+I40*0.5)/(C39+F39)</f>
        <v>#DIV/0!</v>
      </c>
      <c r="M39" s="200" t="e">
        <f t="shared" si="0"/>
        <v>#DIV/0!</v>
      </c>
      <c r="N39" s="201" t="e">
        <f>H39/(C39+F39)</f>
        <v>#DIV/0!</v>
      </c>
    </row>
    <row r="40" spans="1:14" ht="16.5" customHeight="1" thickBot="1" x14ac:dyDescent="0.35">
      <c r="A40" s="429"/>
      <c r="B40" s="178" t="s">
        <v>132</v>
      </c>
      <c r="C40" s="146">
        <f>SUM('1일:31일'!C40)</f>
        <v>0</v>
      </c>
      <c r="D40" s="146">
        <f>SUM('1일:31일'!D40)</f>
        <v>0</v>
      </c>
      <c r="E40" s="146">
        <f>SUM('1일:31일'!E40)</f>
        <v>0</v>
      </c>
      <c r="F40" s="146">
        <f>SUM('1일:31일'!F40)</f>
        <v>0</v>
      </c>
      <c r="G40" s="146"/>
      <c r="H40" s="146">
        <f>SUM('1일:31일'!H40)</f>
        <v>0</v>
      </c>
      <c r="I40" s="146">
        <f>SUM('1일:31일'!I40)</f>
        <v>0</v>
      </c>
      <c r="J40" s="133"/>
      <c r="K40" s="249" t="s">
        <v>132</v>
      </c>
      <c r="L40" s="199"/>
      <c r="M40" s="202"/>
      <c r="N40" s="203"/>
    </row>
    <row r="41" spans="1:14" s="76" customFormat="1" ht="17.25" thickBot="1" x14ac:dyDescent="0.35">
      <c r="A41" s="429"/>
      <c r="B41" s="178" t="s">
        <v>110</v>
      </c>
      <c r="C41" s="146">
        <f>SUM('1일:31일'!C41)</f>
        <v>0</v>
      </c>
      <c r="D41" s="146">
        <f>SUM('1일:31일'!D41)</f>
        <v>0</v>
      </c>
      <c r="E41" s="146">
        <f>SUM('1일:31일'!E41)</f>
        <v>0</v>
      </c>
      <c r="F41" s="146">
        <f>SUM('1일:31일'!F41)</f>
        <v>0</v>
      </c>
      <c r="G41" s="146"/>
      <c r="H41" s="146">
        <f>SUM('1일:31일'!H41)</f>
        <v>0</v>
      </c>
      <c r="I41" s="146">
        <f>SUM('1일:31일'!I41)</f>
        <v>0</v>
      </c>
      <c r="J41" s="134"/>
      <c r="K41" s="249" t="s">
        <v>110</v>
      </c>
      <c r="L41" s="198" t="e">
        <f>(I41+I42*0.5)/(C41+F41)</f>
        <v>#DIV/0!</v>
      </c>
      <c r="M41" s="200" t="e">
        <f t="shared" ref="M41" si="6">1-L41</f>
        <v>#DIV/0!</v>
      </c>
      <c r="N41" s="201" t="e">
        <f>H41/(C41+F41)</f>
        <v>#DIV/0!</v>
      </c>
    </row>
    <row r="42" spans="1:14" ht="17.25" thickBot="1" x14ac:dyDescent="0.35">
      <c r="A42" s="429"/>
      <c r="B42" s="178" t="s">
        <v>134</v>
      </c>
      <c r="C42" s="146">
        <f>SUM('1일:31일'!C42)</f>
        <v>0</v>
      </c>
      <c r="D42" s="146">
        <f>SUM('1일:31일'!D42)</f>
        <v>0</v>
      </c>
      <c r="E42" s="146">
        <f>SUM('1일:31일'!E42)</f>
        <v>0</v>
      </c>
      <c r="F42" s="146">
        <f>SUM('1일:31일'!F42)</f>
        <v>0</v>
      </c>
      <c r="G42" s="146"/>
      <c r="H42" s="146">
        <f>SUM('1일:31일'!H42)</f>
        <v>0</v>
      </c>
      <c r="I42" s="146">
        <f>SUM('1일:31일'!I42)</f>
        <v>0</v>
      </c>
      <c r="K42" s="249" t="s">
        <v>134</v>
      </c>
      <c r="L42" s="199"/>
      <c r="M42" s="202"/>
      <c r="N42" s="203"/>
    </row>
    <row r="43" spans="1:14" x14ac:dyDescent="0.3">
      <c r="A43" s="429"/>
      <c r="B43" s="178" t="s">
        <v>112</v>
      </c>
      <c r="C43" s="146">
        <f>SUM('1일:31일'!C43)</f>
        <v>0</v>
      </c>
      <c r="D43" s="146">
        <f>SUM('1일:31일'!D35)</f>
        <v>5</v>
      </c>
      <c r="E43" s="146">
        <f>SUM('1일:31일'!E35)</f>
        <v>47</v>
      </c>
      <c r="F43" s="146">
        <f>SUM('1일:31일'!F35)</f>
        <v>0</v>
      </c>
      <c r="G43" s="146"/>
      <c r="H43" s="146">
        <f>SUM('1일:31일'!H35)</f>
        <v>0</v>
      </c>
      <c r="I43" s="146">
        <f>SUM('1일:31일'!I43)</f>
        <v>0</v>
      </c>
      <c r="K43" s="249" t="s">
        <v>112</v>
      </c>
      <c r="L43" s="212"/>
      <c r="M43" s="209" t="e">
        <f>D43/I43</f>
        <v>#DIV/0!</v>
      </c>
      <c r="N43" s="215"/>
    </row>
    <row r="44" spans="1:14" x14ac:dyDescent="0.3">
      <c r="A44" s="429"/>
      <c r="B44" s="178" t="s">
        <v>124</v>
      </c>
      <c r="C44" s="146">
        <f>SUM('1일:31일'!C44)</f>
        <v>0</v>
      </c>
      <c r="D44" s="146">
        <f>SUM('1일:31일'!D36)</f>
        <v>0</v>
      </c>
      <c r="E44" s="146">
        <f>SUM('1일:31일'!E36)</f>
        <v>11</v>
      </c>
      <c r="F44" s="146">
        <f>SUM('1일:31일'!F36)</f>
        <v>0</v>
      </c>
      <c r="G44" s="146"/>
      <c r="H44" s="146">
        <f>SUM('1일:31일'!H36)</f>
        <v>32</v>
      </c>
      <c r="I44" s="146">
        <f>SUM('1일:31일'!I44)</f>
        <v>0</v>
      </c>
      <c r="K44" s="249" t="s">
        <v>124</v>
      </c>
      <c r="L44" s="213"/>
      <c r="M44" s="210" t="e">
        <f t="shared" ref="M44:M50" si="7">D44/I44</f>
        <v>#DIV/0!</v>
      </c>
      <c r="N44" s="216"/>
    </row>
    <row r="45" spans="1:14" ht="17.25" thickBot="1" x14ac:dyDescent="0.35">
      <c r="A45" s="429"/>
      <c r="B45" s="164" t="s">
        <v>114</v>
      </c>
      <c r="C45" s="146">
        <f>SUM('1일:31일'!C45)</f>
        <v>0</v>
      </c>
      <c r="D45" s="146">
        <f>SUM('1일:31일'!D37)</f>
        <v>0</v>
      </c>
      <c r="E45" s="146">
        <f>SUM('1일:31일'!E37)</f>
        <v>0</v>
      </c>
      <c r="F45" s="146">
        <f>SUM('1일:31일'!F37)</f>
        <v>0</v>
      </c>
      <c r="G45" s="146"/>
      <c r="H45" s="146">
        <f>SUM('1일:31일'!H37)</f>
        <v>0</v>
      </c>
      <c r="I45" s="146">
        <f>SUM('1일:31일'!I45)</f>
        <v>0</v>
      </c>
      <c r="K45" s="250" t="s">
        <v>114</v>
      </c>
      <c r="L45" s="214"/>
      <c r="M45" s="211" t="e">
        <f t="shared" si="7"/>
        <v>#DIV/0!</v>
      </c>
      <c r="N45" s="217"/>
    </row>
    <row r="46" spans="1:14" ht="17.25" thickBot="1" x14ac:dyDescent="0.35">
      <c r="A46" s="429"/>
      <c r="B46" s="120" t="s">
        <v>89</v>
      </c>
      <c r="C46" s="146">
        <f>SUM('1일:31일'!C46)</f>
        <v>356</v>
      </c>
      <c r="D46" s="146">
        <f>SUM('1일:31일'!D45)</f>
        <v>0</v>
      </c>
      <c r="E46" s="146">
        <f>SUM('1일:31일'!E45)</f>
        <v>0</v>
      </c>
      <c r="F46" s="146">
        <f>SUM('1일:31일'!F45)</f>
        <v>0</v>
      </c>
      <c r="G46" s="146"/>
      <c r="H46" s="146">
        <f>SUM('1일:31일'!H45)</f>
        <v>0</v>
      </c>
      <c r="I46" s="146">
        <f>SUM('1일:31일'!I46)</f>
        <v>341</v>
      </c>
      <c r="K46" s="246" t="s">
        <v>89</v>
      </c>
      <c r="L46" s="224">
        <f>I46/(C46+F46)</f>
        <v>0.9578651685393258</v>
      </c>
      <c r="M46" s="209">
        <f t="shared" si="7"/>
        <v>0</v>
      </c>
      <c r="N46" s="215">
        <f t="shared" ref="N46:N48" si="8">H46/(C46+F46)</f>
        <v>0</v>
      </c>
    </row>
    <row r="47" spans="1:14" ht="17.25" thickBot="1" x14ac:dyDescent="0.35">
      <c r="A47" s="429"/>
      <c r="B47" s="120" t="s">
        <v>88</v>
      </c>
      <c r="C47" s="146">
        <f>SUM('1일:31일'!C47)</f>
        <v>232</v>
      </c>
      <c r="D47" s="146">
        <f>SUM('1일:31일'!D46)</f>
        <v>0</v>
      </c>
      <c r="E47" s="146">
        <f>SUM('1일:31일'!E46)</f>
        <v>0</v>
      </c>
      <c r="F47" s="146">
        <f>SUM('1일:31일'!F46)</f>
        <v>0</v>
      </c>
      <c r="G47" s="146"/>
      <c r="H47" s="146">
        <f>SUM('1일:31일'!H46)</f>
        <v>15</v>
      </c>
      <c r="I47" s="146">
        <f>SUM('1일:31일'!I47)</f>
        <v>204</v>
      </c>
      <c r="K47" s="251" t="s">
        <v>88</v>
      </c>
      <c r="L47" s="224">
        <f t="shared" ref="L47:L48" si="9">I47/(C47+F47)</f>
        <v>0.87931034482758619</v>
      </c>
      <c r="M47" s="210">
        <f t="shared" si="7"/>
        <v>0</v>
      </c>
      <c r="N47" s="216">
        <f t="shared" si="8"/>
        <v>6.4655172413793108E-2</v>
      </c>
    </row>
    <row r="48" spans="1:14" x14ac:dyDescent="0.3">
      <c r="A48" s="429"/>
      <c r="B48" s="56" t="s">
        <v>122</v>
      </c>
      <c r="C48" s="146">
        <f>SUM('1일:31일'!C48)</f>
        <v>213</v>
      </c>
      <c r="D48" s="146">
        <f>SUM('1일:31일'!D47)</f>
        <v>0</v>
      </c>
      <c r="E48" s="146">
        <f>SUM('1일:31일'!E47)</f>
        <v>0</v>
      </c>
      <c r="F48" s="146">
        <f>SUM('1일:31일'!F47)</f>
        <v>0</v>
      </c>
      <c r="G48" s="146"/>
      <c r="H48" s="146">
        <f>SUM('1일:31일'!H47)</f>
        <v>28</v>
      </c>
      <c r="I48" s="146" t="e">
        <f>SUM('1일:31일'!I48)</f>
        <v>#VALUE!</v>
      </c>
      <c r="K48" s="252" t="s">
        <v>122</v>
      </c>
      <c r="L48" s="224" t="e">
        <f t="shared" si="9"/>
        <v>#VALUE!</v>
      </c>
      <c r="M48" s="210" t="e">
        <f t="shared" si="7"/>
        <v>#VALUE!</v>
      </c>
      <c r="N48" s="216">
        <f t="shared" si="8"/>
        <v>0.13145539906103287</v>
      </c>
    </row>
    <row r="49" spans="1:14" x14ac:dyDescent="0.3">
      <c r="A49" s="429"/>
      <c r="B49" s="179" t="s">
        <v>126</v>
      </c>
      <c r="C49" s="146">
        <f>SUM('1일:31일'!C49)</f>
        <v>12</v>
      </c>
      <c r="D49" s="146">
        <f>SUM('1일:31일'!D48)</f>
        <v>0</v>
      </c>
      <c r="E49" s="146">
        <f>SUM('1일:31일'!E48)</f>
        <v>0</v>
      </c>
      <c r="F49" s="146">
        <f>SUM('1일:31일'!F48)</f>
        <v>0</v>
      </c>
      <c r="G49" s="146"/>
      <c r="H49" s="146">
        <f>SUM('1일:31일'!H48)</f>
        <v>20</v>
      </c>
      <c r="I49" s="146">
        <f>SUM('1일:31일'!I49)</f>
        <v>0</v>
      </c>
      <c r="K49" s="244" t="s">
        <v>126</v>
      </c>
      <c r="L49" s="213"/>
      <c r="M49" s="210" t="e">
        <f t="shared" si="7"/>
        <v>#DIV/0!</v>
      </c>
      <c r="N49" s="216"/>
    </row>
    <row r="50" spans="1:14" ht="17.25" thickBot="1" x14ac:dyDescent="0.35">
      <c r="A50" s="429"/>
      <c r="B50" s="58" t="s">
        <v>128</v>
      </c>
      <c r="C50" s="146">
        <f>SUM('1일:31일'!C50)</f>
        <v>0</v>
      </c>
      <c r="D50" s="146">
        <f>SUM('1일:31일'!D50)</f>
        <v>0</v>
      </c>
      <c r="E50" s="146">
        <f>SUM('1일:31일'!E50)</f>
        <v>0</v>
      </c>
      <c r="F50" s="146">
        <f>SUM('1일:31일'!F50)</f>
        <v>0</v>
      </c>
      <c r="G50" s="146"/>
      <c r="H50" s="146">
        <f>SUM('1일:31일'!H50)</f>
        <v>0</v>
      </c>
      <c r="I50" s="146">
        <f>SUM('1일:31일'!I50)</f>
        <v>0</v>
      </c>
      <c r="K50" s="245" t="s">
        <v>128</v>
      </c>
      <c r="L50" s="214"/>
      <c r="M50" s="211" t="e">
        <f t="shared" si="7"/>
        <v>#DIV/0!</v>
      </c>
      <c r="N50" s="217"/>
    </row>
    <row r="51" spans="1:14" ht="17.25" thickBot="1" x14ac:dyDescent="0.35">
      <c r="A51" s="429"/>
      <c r="B51" s="128" t="s">
        <v>42</v>
      </c>
      <c r="C51" s="147">
        <f>SUM(C13:C50)</f>
        <v>16783</v>
      </c>
      <c r="D51" s="66">
        <f>SUM(D13:D50)</f>
        <v>225</v>
      </c>
      <c r="E51" s="69">
        <f>SUM(E13:E50)</f>
        <v>483</v>
      </c>
      <c r="F51" s="67">
        <f>SUM(F13:F50)</f>
        <v>0</v>
      </c>
      <c r="G51" s="148" t="s">
        <v>22</v>
      </c>
      <c r="H51" s="67">
        <f>SUM(H13:H50)</f>
        <v>2341</v>
      </c>
      <c r="I51" s="67" t="e">
        <f>SUM(I13:I50)</f>
        <v>#VALUE!</v>
      </c>
      <c r="K51" s="131" t="s">
        <v>105</v>
      </c>
      <c r="L51" s="172" t="e">
        <f>SUM(L13:L50)/31</f>
        <v>#DIV/0!</v>
      </c>
      <c r="M51" s="172" t="e">
        <f>SUM(M13:M50)/31</f>
        <v>#DIV/0!</v>
      </c>
      <c r="N51" s="172" t="e">
        <f>SUM(N13:N50)/31</f>
        <v>#DIV/0!</v>
      </c>
    </row>
    <row r="52" spans="1:14" ht="17.25" x14ac:dyDescent="0.3">
      <c r="G52" s="97"/>
      <c r="H52" s="176" t="s">
        <v>66</v>
      </c>
    </row>
  </sheetData>
  <mergeCells count="23">
    <mergeCell ref="A9:A11"/>
    <mergeCell ref="B9:B11"/>
    <mergeCell ref="F12:G12"/>
    <mergeCell ref="A12:A51"/>
    <mergeCell ref="A1:I1"/>
    <mergeCell ref="A2:B2"/>
    <mergeCell ref="C2:D2"/>
    <mergeCell ref="E2:E3"/>
    <mergeCell ref="F2:G2"/>
    <mergeCell ref="H2:I2"/>
    <mergeCell ref="A3:B3"/>
    <mergeCell ref="F3:G3"/>
    <mergeCell ref="H3:I3"/>
    <mergeCell ref="N23:N24"/>
    <mergeCell ref="N30:N31"/>
    <mergeCell ref="C9:D9"/>
    <mergeCell ref="E9:F9"/>
    <mergeCell ref="G9:H9"/>
    <mergeCell ref="I9:I10"/>
    <mergeCell ref="L23:L24"/>
    <mergeCell ref="M23:M24"/>
    <mergeCell ref="L30:L31"/>
    <mergeCell ref="M30:M31"/>
  </mergeCells>
  <phoneticPr fontId="3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8" orientation="portrait" r:id="rId1"/>
  <colBreaks count="1" manualBreakCount="1">
    <brk id="8" max="58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33</vt:i4>
      </vt:variant>
      <vt:variant>
        <vt:lpstr>이름이 지정된 범위</vt:lpstr>
      </vt:variant>
      <vt:variant>
        <vt:i4>2</vt:i4>
      </vt:variant>
    </vt:vector>
  </HeadingPairs>
  <TitlesOfParts>
    <vt:vector size="35" baseType="lpstr">
      <vt:lpstr>사용법</vt:lpstr>
      <vt:lpstr>1일</vt:lpstr>
      <vt:lpstr>2일</vt:lpstr>
      <vt:lpstr>3일</vt:lpstr>
      <vt:lpstr>4일</vt:lpstr>
      <vt:lpstr>5일</vt:lpstr>
      <vt:lpstr>6일</vt:lpstr>
      <vt:lpstr>7일</vt:lpstr>
      <vt:lpstr>8일</vt:lpstr>
      <vt:lpstr>9일</vt:lpstr>
      <vt:lpstr>10일</vt:lpstr>
      <vt:lpstr>11일</vt:lpstr>
      <vt:lpstr>12일</vt:lpstr>
      <vt:lpstr>13일</vt:lpstr>
      <vt:lpstr>14일</vt:lpstr>
      <vt:lpstr>15일</vt:lpstr>
      <vt:lpstr>16일</vt:lpstr>
      <vt:lpstr>17일</vt:lpstr>
      <vt:lpstr>18일</vt:lpstr>
      <vt:lpstr>19일</vt:lpstr>
      <vt:lpstr>20일</vt:lpstr>
      <vt:lpstr>21일</vt:lpstr>
      <vt:lpstr>22일</vt:lpstr>
      <vt:lpstr>23일</vt:lpstr>
      <vt:lpstr>24일</vt:lpstr>
      <vt:lpstr>25일</vt:lpstr>
      <vt:lpstr>26일</vt:lpstr>
      <vt:lpstr>27일</vt:lpstr>
      <vt:lpstr>28일</vt:lpstr>
      <vt:lpstr>29일</vt:lpstr>
      <vt:lpstr>30일</vt:lpstr>
      <vt:lpstr>31일</vt:lpstr>
      <vt:lpstr>결산</vt:lpstr>
      <vt:lpstr>'1일'!Print_Area</vt:lpstr>
      <vt:lpstr>결산!Print_Area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</dc:creator>
  <cp:lastModifiedBy>yoonis</cp:lastModifiedBy>
  <cp:lastPrinted>2022-01-08T02:12:48Z</cp:lastPrinted>
  <dcterms:created xsi:type="dcterms:W3CDTF">2021-11-17T07:36:39Z</dcterms:created>
  <dcterms:modified xsi:type="dcterms:W3CDTF">2026-05-31T09:52:50Z</dcterms:modified>
</cp:coreProperties>
</file>