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onis\Desktop\"/>
    </mc:Choice>
  </mc:AlternateContent>
  <bookViews>
    <workbookView xWindow="0" yWindow="0" windowWidth="15600" windowHeight="9150" tabRatio="922" firstSheet="11" activeTab="30"/>
  </bookViews>
  <sheets>
    <sheet name="사용법" sheetId="96" r:id="rId1"/>
    <sheet name="1일" sheetId="1" r:id="rId2"/>
    <sheet name="2일" sheetId="62" r:id="rId3"/>
    <sheet name="3일" sheetId="68" r:id="rId4"/>
    <sheet name="4일" sheetId="69" r:id="rId5"/>
    <sheet name="5일" sheetId="70" r:id="rId6"/>
    <sheet name="6일" sheetId="71" r:id="rId7"/>
    <sheet name="7일" sheetId="72" r:id="rId8"/>
    <sheet name="8일" sheetId="73" r:id="rId9"/>
    <sheet name="9일" sheetId="74" r:id="rId10"/>
    <sheet name="10일" sheetId="75" r:id="rId11"/>
    <sheet name="11일" sheetId="76" r:id="rId12"/>
    <sheet name="12일" sheetId="77" r:id="rId13"/>
    <sheet name="13일" sheetId="78" r:id="rId14"/>
    <sheet name="14일" sheetId="79" r:id="rId15"/>
    <sheet name="15일" sheetId="80" r:id="rId16"/>
    <sheet name="16일" sheetId="81" r:id="rId17"/>
    <sheet name="17일" sheetId="82" r:id="rId18"/>
    <sheet name="18일" sheetId="83" r:id="rId19"/>
    <sheet name="19일" sheetId="84" r:id="rId20"/>
    <sheet name="20일" sheetId="85" r:id="rId21"/>
    <sheet name="21일" sheetId="86" r:id="rId22"/>
    <sheet name="22일" sheetId="87" r:id="rId23"/>
    <sheet name="23일" sheetId="88" r:id="rId24"/>
    <sheet name="24일" sheetId="89" r:id="rId25"/>
    <sheet name="25일" sheetId="90" r:id="rId26"/>
    <sheet name="26일" sheetId="91" r:id="rId27"/>
    <sheet name="27일" sheetId="92" r:id="rId28"/>
    <sheet name="28일" sheetId="93" r:id="rId29"/>
    <sheet name="29일" sheetId="94" r:id="rId30"/>
    <sheet name="30일" sheetId="95" r:id="rId31"/>
    <sheet name="31일" sheetId="67" r:id="rId32"/>
    <sheet name="결산" sheetId="36" r:id="rId33"/>
  </sheets>
  <definedNames>
    <definedName name="_xlnm.Print_Area" localSheetId="10">'10일'!#REF!</definedName>
    <definedName name="_xlnm.Print_Area" localSheetId="11">'11일'!#REF!</definedName>
    <definedName name="_xlnm.Print_Area" localSheetId="12">'12일'!#REF!</definedName>
    <definedName name="_xlnm.Print_Area" localSheetId="13">'13일'!#REF!</definedName>
    <definedName name="_xlnm.Print_Area" localSheetId="14">'14일'!#REF!</definedName>
    <definedName name="_xlnm.Print_Area" localSheetId="15">'15일'!#REF!</definedName>
    <definedName name="_xlnm.Print_Area" localSheetId="16">'16일'!#REF!</definedName>
    <definedName name="_xlnm.Print_Area" localSheetId="17">'17일'!#REF!</definedName>
    <definedName name="_xlnm.Print_Area" localSheetId="18">'18일'!#REF!</definedName>
    <definedName name="_xlnm.Print_Area" localSheetId="19">'19일'!#REF!</definedName>
    <definedName name="_xlnm.Print_Area" localSheetId="1">'1일'!$A$1:$I$80</definedName>
    <definedName name="_xlnm.Print_Area" localSheetId="20">'20일'!#REF!</definedName>
    <definedName name="_xlnm.Print_Area" localSheetId="21">'21일'!#REF!</definedName>
    <definedName name="_xlnm.Print_Area" localSheetId="22">'22일'!#REF!</definedName>
    <definedName name="_xlnm.Print_Area" localSheetId="23">'23일'!#REF!</definedName>
    <definedName name="_xlnm.Print_Area" localSheetId="24">'24일'!#REF!</definedName>
    <definedName name="_xlnm.Print_Area" localSheetId="25">'25일'!#REF!</definedName>
    <definedName name="_xlnm.Print_Area" localSheetId="26">'26일'!#REF!</definedName>
    <definedName name="_xlnm.Print_Area" localSheetId="27">'27일'!#REF!</definedName>
    <definedName name="_xlnm.Print_Area" localSheetId="28">'28일'!#REF!</definedName>
    <definedName name="_xlnm.Print_Area" localSheetId="29">'29일'!#REF!</definedName>
    <definedName name="_xlnm.Print_Area" localSheetId="2">'2일'!#REF!</definedName>
    <definedName name="_xlnm.Print_Area" localSheetId="30">'30일'!#REF!</definedName>
    <definedName name="_xlnm.Print_Area" localSheetId="31">'31일'!#REF!</definedName>
    <definedName name="_xlnm.Print_Area" localSheetId="3">'3일'!#REF!</definedName>
    <definedName name="_xlnm.Print_Area" localSheetId="4">'4일'!#REF!</definedName>
    <definedName name="_xlnm.Print_Area" localSheetId="5">'5일'!#REF!</definedName>
    <definedName name="_xlnm.Print_Area" localSheetId="6">'6일'!#REF!</definedName>
    <definedName name="_xlnm.Print_Area" localSheetId="7">'7일'!#REF!</definedName>
    <definedName name="_xlnm.Print_Area" localSheetId="8">'8일'!#REF!</definedName>
    <definedName name="_xlnm.Print_Area" localSheetId="9">'9일'!#REF!</definedName>
    <definedName name="_xlnm.Print_Area" localSheetId="32">결산!$A$1:$I$41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84" l="1"/>
  <c r="D11" i="36" l="1"/>
  <c r="E51" i="1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I32" i="36"/>
  <c r="I33" i="36"/>
  <c r="I34" i="36"/>
  <c r="I38" i="36"/>
  <c r="I40" i="36"/>
  <c r="I42" i="36"/>
  <c r="I43" i="36"/>
  <c r="I44" i="36"/>
  <c r="I45" i="36"/>
  <c r="I49" i="36"/>
  <c r="I50" i="36"/>
  <c r="I39" i="1"/>
  <c r="H32" i="36"/>
  <c r="H33" i="36"/>
  <c r="H34" i="36"/>
  <c r="H35" i="36"/>
  <c r="H36" i="36"/>
  <c r="H37" i="36"/>
  <c r="H38" i="36"/>
  <c r="H39" i="36"/>
  <c r="H40" i="36"/>
  <c r="H41" i="36"/>
  <c r="H42" i="36"/>
  <c r="F32" i="36"/>
  <c r="F33" i="36"/>
  <c r="F34" i="36"/>
  <c r="F35" i="36"/>
  <c r="F36" i="36"/>
  <c r="F37" i="36"/>
  <c r="F38" i="36"/>
  <c r="F39" i="36"/>
  <c r="F40" i="36"/>
  <c r="F41" i="36"/>
  <c r="F42" i="36"/>
  <c r="E32" i="36"/>
  <c r="E33" i="36"/>
  <c r="E34" i="36"/>
  <c r="E35" i="36"/>
  <c r="E36" i="36"/>
  <c r="E37" i="36"/>
  <c r="E38" i="36"/>
  <c r="E39" i="36"/>
  <c r="E40" i="36"/>
  <c r="E41" i="36"/>
  <c r="E42" i="36"/>
  <c r="D32" i="36"/>
  <c r="D33" i="36"/>
  <c r="D34" i="36"/>
  <c r="D35" i="36"/>
  <c r="D36" i="36"/>
  <c r="D37" i="36"/>
  <c r="D38" i="36"/>
  <c r="D39" i="36"/>
  <c r="D40" i="36"/>
  <c r="D41" i="36"/>
  <c r="D42" i="36"/>
  <c r="C32" i="36"/>
  <c r="C33" i="36"/>
  <c r="C34" i="36"/>
  <c r="I39" i="62"/>
  <c r="I41" i="62"/>
  <c r="I41" i="68"/>
  <c r="I39" i="68" s="1"/>
  <c r="I41" i="69"/>
  <c r="I39" i="69" s="1"/>
  <c r="I41" i="70"/>
  <c r="I41" i="71"/>
  <c r="I39" i="71" s="1"/>
  <c r="I41" i="72"/>
  <c r="I39" i="72" s="1"/>
  <c r="I41" i="73"/>
  <c r="I39" i="73" s="1"/>
  <c r="I41" i="74"/>
  <c r="I39" i="74" s="1"/>
  <c r="I39" i="75"/>
  <c r="I41" i="75"/>
  <c r="I41" i="76"/>
  <c r="I39" i="76" s="1"/>
  <c r="I41" i="77"/>
  <c r="I39" i="77" s="1"/>
  <c r="I41" i="78"/>
  <c r="I41" i="79"/>
  <c r="I39" i="79" s="1"/>
  <c r="I41" i="80"/>
  <c r="I39" i="80" s="1"/>
  <c r="I41" i="81"/>
  <c r="I39" i="81" s="1"/>
  <c r="I41" i="82"/>
  <c r="I39" i="82" s="1"/>
  <c r="I39" i="83"/>
  <c r="I41" i="83"/>
  <c r="I41" i="84"/>
  <c r="I39" i="84" s="1"/>
  <c r="I41" i="85"/>
  <c r="I39" i="85" s="1"/>
  <c r="I41" i="86"/>
  <c r="I39" i="86" s="1"/>
  <c r="I41" i="87"/>
  <c r="I39" i="87" s="1"/>
  <c r="I41" i="88"/>
  <c r="I39" i="88" s="1"/>
  <c r="I41" i="89"/>
  <c r="I39" i="89" s="1"/>
  <c r="I41" i="90"/>
  <c r="I39" i="90" s="1"/>
  <c r="I39" i="91"/>
  <c r="I41" i="91"/>
  <c r="I41" i="92"/>
  <c r="I39" i="92" s="1"/>
  <c r="I41" i="93"/>
  <c r="I39" i="93" s="1"/>
  <c r="I41" i="94"/>
  <c r="I39" i="94" s="1"/>
  <c r="I41" i="95"/>
  <c r="I39" i="95" s="1"/>
  <c r="I41" i="67"/>
  <c r="I39" i="67" s="1"/>
  <c r="I41" i="1"/>
  <c r="I41" i="36" s="1"/>
  <c r="I39" i="70"/>
  <c r="I39" i="78"/>
  <c r="I37" i="62"/>
  <c r="I37" i="68"/>
  <c r="I37" i="71"/>
  <c r="I37" i="72"/>
  <c r="I37" i="75"/>
  <c r="I37" i="76"/>
  <c r="I37" i="79"/>
  <c r="I37" i="80"/>
  <c r="I37" i="83"/>
  <c r="I37" i="84"/>
  <c r="I37" i="86"/>
  <c r="I37" i="87"/>
  <c r="I37" i="88"/>
  <c r="I37" i="91"/>
  <c r="I37" i="92"/>
  <c r="I37" i="94"/>
  <c r="I37" i="95"/>
  <c r="I37" i="67"/>
  <c r="I37" i="69"/>
  <c r="I37" i="70"/>
  <c r="I37" i="73"/>
  <c r="I37" i="74"/>
  <c r="I37" i="77"/>
  <c r="I37" i="78"/>
  <c r="I37" i="81"/>
  <c r="I37" i="82"/>
  <c r="I37" i="85"/>
  <c r="I37" i="89"/>
  <c r="I37" i="90"/>
  <c r="I37" i="93"/>
  <c r="I37" i="1"/>
  <c r="I13" i="62"/>
  <c r="I13" i="68"/>
  <c r="I13" i="69"/>
  <c r="I13" i="70"/>
  <c r="I13" i="71"/>
  <c r="I13" i="72"/>
  <c r="I13" i="73"/>
  <c r="I13" i="74"/>
  <c r="I13" i="75"/>
  <c r="I13" i="76"/>
  <c r="I13" i="77"/>
  <c r="I13" i="78"/>
  <c r="I13" i="79"/>
  <c r="I13" i="80"/>
  <c r="I13" i="81"/>
  <c r="I13" i="82"/>
  <c r="I13" i="83"/>
  <c r="I13" i="84"/>
  <c r="I13" i="85"/>
  <c r="I13" i="86"/>
  <c r="I13" i="87"/>
  <c r="I13" i="88"/>
  <c r="I13" i="89"/>
  <c r="I13" i="90"/>
  <c r="I13" i="91"/>
  <c r="I13" i="92"/>
  <c r="I13" i="93"/>
  <c r="I13" i="94"/>
  <c r="I13" i="95"/>
  <c r="I13" i="67"/>
  <c r="I13" i="1"/>
  <c r="I36" i="62"/>
  <c r="I36" i="68"/>
  <c r="I36" i="69"/>
  <c r="I36" i="70"/>
  <c r="I36" i="71"/>
  <c r="I36" i="72"/>
  <c r="I36" i="73"/>
  <c r="I36" i="74"/>
  <c r="I36" i="75"/>
  <c r="I36" i="76"/>
  <c r="I36" i="77"/>
  <c r="I36" i="78"/>
  <c r="I36" i="79"/>
  <c r="I36" i="80"/>
  <c r="I36" i="81"/>
  <c r="I36" i="82"/>
  <c r="I36" i="83"/>
  <c r="I36" i="84"/>
  <c r="I36" i="85"/>
  <c r="I36" i="86"/>
  <c r="I36" i="87"/>
  <c r="I36" i="88"/>
  <c r="I36" i="89"/>
  <c r="I36" i="90"/>
  <c r="I36" i="91"/>
  <c r="I36" i="92"/>
  <c r="I36" i="93"/>
  <c r="I36" i="94"/>
  <c r="I36" i="95"/>
  <c r="I36" i="67"/>
  <c r="I36" i="1"/>
  <c r="I14" i="36"/>
  <c r="D13" i="36"/>
  <c r="E13" i="36"/>
  <c r="F13" i="36"/>
  <c r="H13" i="36"/>
  <c r="D14" i="36"/>
  <c r="E14" i="36"/>
  <c r="F14" i="36"/>
  <c r="H14" i="36"/>
  <c r="D15" i="36"/>
  <c r="E15" i="36"/>
  <c r="F15" i="36"/>
  <c r="H15" i="36"/>
  <c r="D16" i="36"/>
  <c r="E16" i="36"/>
  <c r="F16" i="36"/>
  <c r="H16" i="36"/>
  <c r="I16" i="36"/>
  <c r="D17" i="36"/>
  <c r="E17" i="36"/>
  <c r="F17" i="36"/>
  <c r="H17" i="36"/>
  <c r="D18" i="36"/>
  <c r="E18" i="36"/>
  <c r="F18" i="36"/>
  <c r="H18" i="36"/>
  <c r="I18" i="36"/>
  <c r="D19" i="36"/>
  <c r="E19" i="36"/>
  <c r="F19" i="36"/>
  <c r="H19" i="36"/>
  <c r="D20" i="36"/>
  <c r="E20" i="36"/>
  <c r="F20" i="36"/>
  <c r="H20" i="36"/>
  <c r="I20" i="36"/>
  <c r="D21" i="36"/>
  <c r="E21" i="36"/>
  <c r="F21" i="36"/>
  <c r="H21" i="36"/>
  <c r="D22" i="36"/>
  <c r="E22" i="36"/>
  <c r="F22" i="36"/>
  <c r="H22" i="36"/>
  <c r="D23" i="36"/>
  <c r="E23" i="36"/>
  <c r="F23" i="36"/>
  <c r="H23" i="36"/>
  <c r="D24" i="36"/>
  <c r="E24" i="36"/>
  <c r="F24" i="36"/>
  <c r="H24" i="36"/>
  <c r="I24" i="36"/>
  <c r="D25" i="36"/>
  <c r="E25" i="36"/>
  <c r="F25" i="36"/>
  <c r="H25" i="36"/>
  <c r="D26" i="36"/>
  <c r="E26" i="36"/>
  <c r="F26" i="36"/>
  <c r="H26" i="36"/>
  <c r="D27" i="36"/>
  <c r="E27" i="36"/>
  <c r="F27" i="36"/>
  <c r="H27" i="36"/>
  <c r="D28" i="36"/>
  <c r="E28" i="36"/>
  <c r="F28" i="36"/>
  <c r="H28" i="36"/>
  <c r="D29" i="36"/>
  <c r="E29" i="36"/>
  <c r="F29" i="36"/>
  <c r="H29" i="36"/>
  <c r="D30" i="36"/>
  <c r="E30" i="36"/>
  <c r="F30" i="36"/>
  <c r="H30" i="36"/>
  <c r="D31" i="36"/>
  <c r="E31" i="36"/>
  <c r="F31" i="36"/>
  <c r="H31" i="36"/>
  <c r="I31" i="36"/>
  <c r="D43" i="36"/>
  <c r="M43" i="36" s="1"/>
  <c r="E43" i="36"/>
  <c r="F43" i="36"/>
  <c r="H43" i="36"/>
  <c r="D44" i="36"/>
  <c r="E44" i="36"/>
  <c r="F44" i="36"/>
  <c r="H44" i="36"/>
  <c r="D45" i="36"/>
  <c r="M45" i="36" s="1"/>
  <c r="E45" i="36"/>
  <c r="F45" i="36"/>
  <c r="H45" i="36"/>
  <c r="D46" i="36"/>
  <c r="E46" i="36"/>
  <c r="F46" i="36"/>
  <c r="H46" i="36"/>
  <c r="D47" i="36"/>
  <c r="E47" i="36"/>
  <c r="F47" i="36"/>
  <c r="H47" i="36"/>
  <c r="D48" i="36"/>
  <c r="E48" i="36"/>
  <c r="F48" i="36"/>
  <c r="H48" i="36"/>
  <c r="D49" i="36"/>
  <c r="M49" i="36" s="1"/>
  <c r="E49" i="36"/>
  <c r="F49" i="36"/>
  <c r="H49" i="36"/>
  <c r="D50" i="36"/>
  <c r="M50" i="36" s="1"/>
  <c r="E50" i="36"/>
  <c r="F50" i="36"/>
  <c r="H50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13" i="36"/>
  <c r="C11" i="36"/>
  <c r="H51" i="67"/>
  <c r="F51" i="67"/>
  <c r="E51" i="67"/>
  <c r="D51" i="67"/>
  <c r="C51" i="67"/>
  <c r="I48" i="67"/>
  <c r="I47" i="67"/>
  <c r="I46" i="67"/>
  <c r="I30" i="67"/>
  <c r="I29" i="67"/>
  <c r="I28" i="67"/>
  <c r="I27" i="67"/>
  <c r="I26" i="67"/>
  <c r="I25" i="67"/>
  <c r="I23" i="67"/>
  <c r="I22" i="67"/>
  <c r="I21" i="67"/>
  <c r="I19" i="67"/>
  <c r="I17" i="67"/>
  <c r="I15" i="67"/>
  <c r="F11" i="67"/>
  <c r="H11" i="67" s="1"/>
  <c r="E11" i="67"/>
  <c r="G11" i="67" s="1"/>
  <c r="I11" i="67" s="1"/>
  <c r="H51" i="95"/>
  <c r="F51" i="95"/>
  <c r="E51" i="95"/>
  <c r="D51" i="95"/>
  <c r="C51" i="95"/>
  <c r="I48" i="95"/>
  <c r="I47" i="95"/>
  <c r="I46" i="95"/>
  <c r="I30" i="95"/>
  <c r="I29" i="95"/>
  <c r="I28" i="95"/>
  <c r="I27" i="95"/>
  <c r="I26" i="95"/>
  <c r="I25" i="95"/>
  <c r="I23" i="95"/>
  <c r="I22" i="95"/>
  <c r="I21" i="95"/>
  <c r="I19" i="95"/>
  <c r="I17" i="95"/>
  <c r="I15" i="95"/>
  <c r="F11" i="95"/>
  <c r="H11" i="95" s="1"/>
  <c r="E11" i="95"/>
  <c r="G11" i="95" s="1"/>
  <c r="H51" i="94"/>
  <c r="F51" i="94"/>
  <c r="E51" i="94"/>
  <c r="D51" i="94"/>
  <c r="C51" i="94"/>
  <c r="I48" i="94"/>
  <c r="I47" i="94"/>
  <c r="I46" i="94"/>
  <c r="I30" i="94"/>
  <c r="I29" i="94"/>
  <c r="I28" i="94"/>
  <c r="I27" i="94"/>
  <c r="I26" i="94"/>
  <c r="I25" i="94"/>
  <c r="I23" i="94"/>
  <c r="I22" i="94"/>
  <c r="I21" i="94"/>
  <c r="I19" i="94"/>
  <c r="I17" i="94"/>
  <c r="I15" i="94"/>
  <c r="F11" i="94"/>
  <c r="H11" i="94" s="1"/>
  <c r="E11" i="94"/>
  <c r="G11" i="94" s="1"/>
  <c r="H51" i="93"/>
  <c r="F51" i="93"/>
  <c r="E51" i="93"/>
  <c r="D51" i="93"/>
  <c r="C51" i="93"/>
  <c r="I48" i="93"/>
  <c r="I47" i="93"/>
  <c r="I46" i="93"/>
  <c r="I30" i="93"/>
  <c r="I29" i="93"/>
  <c r="I28" i="93"/>
  <c r="I27" i="93"/>
  <c r="I26" i="93"/>
  <c r="I25" i="93"/>
  <c r="I23" i="93"/>
  <c r="I22" i="93"/>
  <c r="I21" i="93"/>
  <c r="I19" i="93"/>
  <c r="I17" i="93"/>
  <c r="I15" i="93"/>
  <c r="F11" i="93"/>
  <c r="H11" i="93" s="1"/>
  <c r="E11" i="93"/>
  <c r="G11" i="93" s="1"/>
  <c r="H51" i="92"/>
  <c r="F51" i="92"/>
  <c r="E51" i="92"/>
  <c r="D51" i="92"/>
  <c r="C51" i="92"/>
  <c r="I48" i="92"/>
  <c r="I47" i="92"/>
  <c r="I46" i="92"/>
  <c r="I30" i="92"/>
  <c r="I29" i="92"/>
  <c r="I28" i="92"/>
  <c r="I27" i="92"/>
  <c r="I26" i="92"/>
  <c r="I25" i="92"/>
  <c r="I23" i="92"/>
  <c r="I22" i="92"/>
  <c r="I21" i="92"/>
  <c r="I19" i="92"/>
  <c r="I17" i="92"/>
  <c r="I15" i="92"/>
  <c r="F11" i="92"/>
  <c r="H11" i="92" s="1"/>
  <c r="E11" i="92"/>
  <c r="G11" i="92" s="1"/>
  <c r="H51" i="91"/>
  <c r="F51" i="91"/>
  <c r="E51" i="91"/>
  <c r="D51" i="91"/>
  <c r="C51" i="91"/>
  <c r="I48" i="91"/>
  <c r="I47" i="91"/>
  <c r="I46" i="91"/>
  <c r="I30" i="91"/>
  <c r="I29" i="91"/>
  <c r="I28" i="91"/>
  <c r="I27" i="91"/>
  <c r="I26" i="91"/>
  <c r="I25" i="91"/>
  <c r="I23" i="91"/>
  <c r="I22" i="91"/>
  <c r="I21" i="91"/>
  <c r="I19" i="91"/>
  <c r="I17" i="91"/>
  <c r="I15" i="91"/>
  <c r="F11" i="91"/>
  <c r="H11" i="91" s="1"/>
  <c r="E11" i="91"/>
  <c r="G11" i="91" s="1"/>
  <c r="H51" i="90"/>
  <c r="F51" i="90"/>
  <c r="E51" i="90"/>
  <c r="D51" i="90"/>
  <c r="C51" i="90"/>
  <c r="I48" i="90"/>
  <c r="I47" i="90"/>
  <c r="I46" i="90"/>
  <c r="I30" i="90"/>
  <c r="I29" i="90"/>
  <c r="I28" i="90"/>
  <c r="I27" i="90"/>
  <c r="I26" i="90"/>
  <c r="I25" i="90"/>
  <c r="I23" i="90"/>
  <c r="I22" i="90"/>
  <c r="I21" i="90"/>
  <c r="I19" i="90"/>
  <c r="I17" i="90"/>
  <c r="I15" i="90"/>
  <c r="F11" i="90"/>
  <c r="H11" i="90" s="1"/>
  <c r="E11" i="90"/>
  <c r="G11" i="90" s="1"/>
  <c r="H51" i="89"/>
  <c r="F51" i="89"/>
  <c r="E51" i="89"/>
  <c r="D51" i="89"/>
  <c r="C51" i="89"/>
  <c r="I48" i="89"/>
  <c r="I47" i="89"/>
  <c r="I46" i="89"/>
  <c r="I30" i="89"/>
  <c r="I29" i="89"/>
  <c r="I28" i="89"/>
  <c r="I27" i="89"/>
  <c r="I26" i="89"/>
  <c r="I25" i="89"/>
  <c r="I23" i="89"/>
  <c r="I22" i="89"/>
  <c r="I21" i="89"/>
  <c r="I19" i="89"/>
  <c r="I17" i="89"/>
  <c r="I15" i="89"/>
  <c r="F11" i="89"/>
  <c r="H11" i="89" s="1"/>
  <c r="E11" i="89"/>
  <c r="G11" i="89" s="1"/>
  <c r="H51" i="88"/>
  <c r="F51" i="88"/>
  <c r="E51" i="88"/>
  <c r="D51" i="88"/>
  <c r="C51" i="88"/>
  <c r="I48" i="88"/>
  <c r="I47" i="88"/>
  <c r="I46" i="88"/>
  <c r="I30" i="88"/>
  <c r="I29" i="88"/>
  <c r="I28" i="88"/>
  <c r="I27" i="88"/>
  <c r="I26" i="88"/>
  <c r="I25" i="88"/>
  <c r="I23" i="88"/>
  <c r="I22" i="88"/>
  <c r="I21" i="88"/>
  <c r="I19" i="88"/>
  <c r="I17" i="88"/>
  <c r="I15" i="88"/>
  <c r="F11" i="88"/>
  <c r="H11" i="88" s="1"/>
  <c r="E11" i="88"/>
  <c r="G11" i="88" s="1"/>
  <c r="H51" i="87"/>
  <c r="F51" i="87"/>
  <c r="E51" i="87"/>
  <c r="D51" i="87"/>
  <c r="C51" i="87"/>
  <c r="I48" i="87"/>
  <c r="I47" i="87"/>
  <c r="I46" i="87"/>
  <c r="I30" i="87"/>
  <c r="I29" i="87"/>
  <c r="I28" i="87"/>
  <c r="I27" i="87"/>
  <c r="I26" i="87"/>
  <c r="I25" i="87"/>
  <c r="I23" i="87"/>
  <c r="I22" i="87"/>
  <c r="I21" i="87"/>
  <c r="I19" i="87"/>
  <c r="I17" i="87"/>
  <c r="I15" i="87"/>
  <c r="F11" i="87"/>
  <c r="H11" i="87" s="1"/>
  <c r="E11" i="87"/>
  <c r="G11" i="87" s="1"/>
  <c r="H51" i="86"/>
  <c r="F51" i="86"/>
  <c r="E51" i="86"/>
  <c r="D51" i="86"/>
  <c r="C51" i="86"/>
  <c r="I48" i="86"/>
  <c r="I47" i="86"/>
  <c r="I46" i="86"/>
  <c r="I30" i="86"/>
  <c r="I29" i="86"/>
  <c r="I28" i="86"/>
  <c r="I27" i="86"/>
  <c r="I26" i="86"/>
  <c r="I25" i="86"/>
  <c r="I23" i="86"/>
  <c r="I22" i="86"/>
  <c r="I21" i="86"/>
  <c r="I19" i="86"/>
  <c r="I17" i="86"/>
  <c r="I15" i="86"/>
  <c r="F11" i="86"/>
  <c r="H11" i="86" s="1"/>
  <c r="E11" i="86"/>
  <c r="G11" i="86" s="1"/>
  <c r="I11" i="86" s="1"/>
  <c r="H51" i="85"/>
  <c r="F51" i="85"/>
  <c r="E51" i="85"/>
  <c r="D51" i="85"/>
  <c r="C51" i="85"/>
  <c r="I48" i="85"/>
  <c r="I47" i="85"/>
  <c r="I46" i="85"/>
  <c r="I30" i="85"/>
  <c r="I29" i="85"/>
  <c r="I28" i="85"/>
  <c r="I27" i="85"/>
  <c r="I26" i="85"/>
  <c r="I25" i="85"/>
  <c r="I23" i="85"/>
  <c r="I22" i="85"/>
  <c r="I21" i="85"/>
  <c r="I19" i="85"/>
  <c r="I17" i="85"/>
  <c r="I15" i="85"/>
  <c r="F11" i="85"/>
  <c r="H11" i="85" s="1"/>
  <c r="E11" i="85"/>
  <c r="G11" i="85" s="1"/>
  <c r="I11" i="85" s="1"/>
  <c r="H51" i="84"/>
  <c r="F51" i="84"/>
  <c r="D51" i="84"/>
  <c r="C51" i="84"/>
  <c r="I48" i="84"/>
  <c r="I47" i="84"/>
  <c r="I46" i="84"/>
  <c r="I30" i="84"/>
  <c r="I29" i="84"/>
  <c r="I28" i="84"/>
  <c r="I27" i="84"/>
  <c r="I26" i="84"/>
  <c r="I25" i="84"/>
  <c r="I23" i="84"/>
  <c r="I22" i="84"/>
  <c r="I21" i="84"/>
  <c r="I19" i="84"/>
  <c r="I17" i="84"/>
  <c r="I15" i="84"/>
  <c r="F11" i="84"/>
  <c r="H11" i="84" s="1"/>
  <c r="E11" i="84"/>
  <c r="G11" i="84" s="1"/>
  <c r="H51" i="83"/>
  <c r="F51" i="83"/>
  <c r="E51" i="83"/>
  <c r="D51" i="83"/>
  <c r="C51" i="83"/>
  <c r="I48" i="83"/>
  <c r="I47" i="83"/>
  <c r="I46" i="83"/>
  <c r="I30" i="83"/>
  <c r="I29" i="83"/>
  <c r="I28" i="83"/>
  <c r="I27" i="83"/>
  <c r="I26" i="83"/>
  <c r="I25" i="83"/>
  <c r="I23" i="83"/>
  <c r="I22" i="83"/>
  <c r="I21" i="83"/>
  <c r="I19" i="83"/>
  <c r="I17" i="83"/>
  <c r="I15" i="83"/>
  <c r="F11" i="83"/>
  <c r="H11" i="83" s="1"/>
  <c r="E11" i="83"/>
  <c r="G11" i="83" s="1"/>
  <c r="H51" i="82"/>
  <c r="F51" i="82"/>
  <c r="E51" i="82"/>
  <c r="D51" i="82"/>
  <c r="C51" i="82"/>
  <c r="I48" i="82"/>
  <c r="I47" i="82"/>
  <c r="I46" i="82"/>
  <c r="I30" i="82"/>
  <c r="I29" i="82"/>
  <c r="I28" i="82"/>
  <c r="I27" i="82"/>
  <c r="I26" i="82"/>
  <c r="I25" i="82"/>
  <c r="I23" i="82"/>
  <c r="I22" i="82"/>
  <c r="I21" i="82"/>
  <c r="I19" i="82"/>
  <c r="I17" i="82"/>
  <c r="I15" i="82"/>
  <c r="H11" i="82"/>
  <c r="F11" i="82"/>
  <c r="E11" i="82"/>
  <c r="G11" i="82" s="1"/>
  <c r="I11" i="82" s="1"/>
  <c r="H51" i="81"/>
  <c r="F51" i="81"/>
  <c r="E51" i="81"/>
  <c r="D51" i="81"/>
  <c r="C51" i="81"/>
  <c r="I48" i="81"/>
  <c r="I47" i="81"/>
  <c r="I46" i="81"/>
  <c r="I30" i="81"/>
  <c r="I29" i="81"/>
  <c r="I28" i="81"/>
  <c r="I27" i="81"/>
  <c r="I26" i="81"/>
  <c r="I25" i="81"/>
  <c r="I23" i="81"/>
  <c r="I22" i="81"/>
  <c r="I21" i="81"/>
  <c r="I19" i="81"/>
  <c r="I17" i="81"/>
  <c r="I15" i="81"/>
  <c r="F11" i="81"/>
  <c r="H11" i="81" s="1"/>
  <c r="E11" i="81"/>
  <c r="G11" i="81" s="1"/>
  <c r="H51" i="80"/>
  <c r="F51" i="80"/>
  <c r="E51" i="80"/>
  <c r="D51" i="80"/>
  <c r="C51" i="80"/>
  <c r="I48" i="80"/>
  <c r="I47" i="80"/>
  <c r="I46" i="80"/>
  <c r="I30" i="80"/>
  <c r="I29" i="80"/>
  <c r="I28" i="80"/>
  <c r="I27" i="80"/>
  <c r="I26" i="80"/>
  <c r="I25" i="80"/>
  <c r="I23" i="80"/>
  <c r="I22" i="80"/>
  <c r="I21" i="80"/>
  <c r="I19" i="80"/>
  <c r="I17" i="80"/>
  <c r="I15" i="80"/>
  <c r="F11" i="80"/>
  <c r="H11" i="80" s="1"/>
  <c r="E11" i="80"/>
  <c r="G11" i="80" s="1"/>
  <c r="H51" i="79"/>
  <c r="F51" i="79"/>
  <c r="E51" i="79"/>
  <c r="D51" i="79"/>
  <c r="C51" i="79"/>
  <c r="I48" i="79"/>
  <c r="I47" i="79"/>
  <c r="I46" i="79"/>
  <c r="I30" i="79"/>
  <c r="I29" i="79"/>
  <c r="I28" i="79"/>
  <c r="I27" i="79"/>
  <c r="I26" i="79"/>
  <c r="I25" i="79"/>
  <c r="I23" i="79"/>
  <c r="I22" i="79"/>
  <c r="I21" i="79"/>
  <c r="I19" i="79"/>
  <c r="I17" i="79"/>
  <c r="I15" i="79"/>
  <c r="H11" i="79"/>
  <c r="F11" i="79"/>
  <c r="E11" i="79"/>
  <c r="G11" i="79" s="1"/>
  <c r="I11" i="79" s="1"/>
  <c r="H51" i="78"/>
  <c r="F51" i="78"/>
  <c r="E51" i="78"/>
  <c r="D51" i="78"/>
  <c r="C51" i="78"/>
  <c r="I48" i="78"/>
  <c r="I47" i="78"/>
  <c r="I46" i="78"/>
  <c r="I30" i="78"/>
  <c r="I29" i="78"/>
  <c r="I28" i="78"/>
  <c r="I27" i="78"/>
  <c r="I26" i="78"/>
  <c r="I25" i="78"/>
  <c r="I23" i="78"/>
  <c r="I22" i="78"/>
  <c r="I21" i="78"/>
  <c r="I19" i="78"/>
  <c r="I17" i="78"/>
  <c r="I15" i="78"/>
  <c r="F11" i="78"/>
  <c r="H11" i="78" s="1"/>
  <c r="E11" i="78"/>
  <c r="G11" i="78" s="1"/>
  <c r="H51" i="77"/>
  <c r="F51" i="77"/>
  <c r="E51" i="77"/>
  <c r="D51" i="77"/>
  <c r="C51" i="77"/>
  <c r="I48" i="77"/>
  <c r="I47" i="77"/>
  <c r="I46" i="77"/>
  <c r="I30" i="77"/>
  <c r="I29" i="77"/>
  <c r="I28" i="77"/>
  <c r="I27" i="77"/>
  <c r="I26" i="77"/>
  <c r="I25" i="77"/>
  <c r="I23" i="77"/>
  <c r="I22" i="77"/>
  <c r="I21" i="77"/>
  <c r="I19" i="77"/>
  <c r="I17" i="77"/>
  <c r="I15" i="77"/>
  <c r="F11" i="77"/>
  <c r="H11" i="77" s="1"/>
  <c r="E11" i="77"/>
  <c r="G11" i="77" s="1"/>
  <c r="I11" i="77" s="1"/>
  <c r="H51" i="76"/>
  <c r="F51" i="76"/>
  <c r="E51" i="76"/>
  <c r="D51" i="76"/>
  <c r="C51" i="76"/>
  <c r="I48" i="76"/>
  <c r="I47" i="76"/>
  <c r="I46" i="76"/>
  <c r="I30" i="76"/>
  <c r="I29" i="76"/>
  <c r="I28" i="76"/>
  <c r="I27" i="76"/>
  <c r="I26" i="76"/>
  <c r="I25" i="76"/>
  <c r="I23" i="76"/>
  <c r="I22" i="76"/>
  <c r="I21" i="76"/>
  <c r="I19" i="76"/>
  <c r="I17" i="76"/>
  <c r="I15" i="76"/>
  <c r="F11" i="76"/>
  <c r="H11" i="76" s="1"/>
  <c r="E11" i="76"/>
  <c r="G11" i="76" s="1"/>
  <c r="H51" i="75"/>
  <c r="F51" i="75"/>
  <c r="E51" i="75"/>
  <c r="D51" i="75"/>
  <c r="C51" i="75"/>
  <c r="I48" i="75"/>
  <c r="I47" i="75"/>
  <c r="I46" i="75"/>
  <c r="I30" i="75"/>
  <c r="I29" i="75"/>
  <c r="I28" i="75"/>
  <c r="I27" i="75"/>
  <c r="I26" i="75"/>
  <c r="I25" i="75"/>
  <c r="I23" i="75"/>
  <c r="I22" i="75"/>
  <c r="I21" i="75"/>
  <c r="I19" i="75"/>
  <c r="I17" i="75"/>
  <c r="I15" i="75"/>
  <c r="F11" i="75"/>
  <c r="H11" i="75" s="1"/>
  <c r="E11" i="75"/>
  <c r="G11" i="75" s="1"/>
  <c r="H51" i="74"/>
  <c r="F51" i="74"/>
  <c r="E51" i="74"/>
  <c r="D51" i="74"/>
  <c r="C51" i="74"/>
  <c r="I48" i="74"/>
  <c r="I47" i="74"/>
  <c r="I46" i="74"/>
  <c r="I30" i="74"/>
  <c r="I29" i="74"/>
  <c r="I28" i="74"/>
  <c r="I27" i="74"/>
  <c r="I26" i="74"/>
  <c r="I25" i="74"/>
  <c r="I23" i="74"/>
  <c r="I22" i="74"/>
  <c r="I21" i="74"/>
  <c r="I19" i="74"/>
  <c r="I17" i="74"/>
  <c r="I15" i="74"/>
  <c r="F11" i="74"/>
  <c r="H11" i="74" s="1"/>
  <c r="E11" i="74"/>
  <c r="G11" i="74" s="1"/>
  <c r="H51" i="73"/>
  <c r="F51" i="73"/>
  <c r="E51" i="73"/>
  <c r="D51" i="73"/>
  <c r="C51" i="73"/>
  <c r="I48" i="73"/>
  <c r="I47" i="73"/>
  <c r="I46" i="73"/>
  <c r="I30" i="73"/>
  <c r="I29" i="73"/>
  <c r="I28" i="73"/>
  <c r="I27" i="73"/>
  <c r="I26" i="73"/>
  <c r="I25" i="73"/>
  <c r="I23" i="73"/>
  <c r="I22" i="73"/>
  <c r="I21" i="73"/>
  <c r="I19" i="73"/>
  <c r="I17" i="73"/>
  <c r="I15" i="73"/>
  <c r="F11" i="73"/>
  <c r="H11" i="73" s="1"/>
  <c r="E11" i="73"/>
  <c r="G11" i="73" s="1"/>
  <c r="H51" i="72"/>
  <c r="F51" i="72"/>
  <c r="E51" i="72"/>
  <c r="D51" i="72"/>
  <c r="C51" i="72"/>
  <c r="I48" i="72"/>
  <c r="I47" i="72"/>
  <c r="I46" i="72"/>
  <c r="I30" i="72"/>
  <c r="I29" i="72"/>
  <c r="I28" i="72"/>
  <c r="I27" i="72"/>
  <c r="I26" i="72"/>
  <c r="I25" i="72"/>
  <c r="I23" i="72"/>
  <c r="I22" i="72"/>
  <c r="I21" i="72"/>
  <c r="I19" i="72"/>
  <c r="I17" i="72"/>
  <c r="I15" i="72"/>
  <c r="F11" i="72"/>
  <c r="H11" i="72" s="1"/>
  <c r="E11" i="72"/>
  <c r="G11" i="72" s="1"/>
  <c r="H51" i="71"/>
  <c r="F51" i="71"/>
  <c r="E51" i="71"/>
  <c r="D51" i="71"/>
  <c r="C51" i="71"/>
  <c r="I48" i="71"/>
  <c r="I47" i="71"/>
  <c r="I46" i="71"/>
  <c r="I30" i="71"/>
  <c r="I29" i="71"/>
  <c r="I28" i="71"/>
  <c r="I27" i="71"/>
  <c r="I26" i="71"/>
  <c r="I25" i="71"/>
  <c r="I23" i="71"/>
  <c r="I22" i="71"/>
  <c r="I21" i="71"/>
  <c r="I19" i="71"/>
  <c r="I17" i="71"/>
  <c r="I15" i="71"/>
  <c r="F11" i="71"/>
  <c r="H11" i="71" s="1"/>
  <c r="E11" i="71"/>
  <c r="G11" i="71" s="1"/>
  <c r="I11" i="71" s="1"/>
  <c r="H51" i="70"/>
  <c r="F51" i="70"/>
  <c r="E51" i="70"/>
  <c r="D51" i="70"/>
  <c r="C51" i="70"/>
  <c r="I48" i="70"/>
  <c r="I47" i="70"/>
  <c r="I46" i="70"/>
  <c r="I30" i="70"/>
  <c r="I29" i="70"/>
  <c r="I28" i="70"/>
  <c r="I27" i="70"/>
  <c r="I26" i="70"/>
  <c r="I25" i="70"/>
  <c r="I23" i="70"/>
  <c r="I22" i="70"/>
  <c r="I21" i="70"/>
  <c r="I19" i="70"/>
  <c r="I17" i="70"/>
  <c r="I15" i="70"/>
  <c r="F11" i="70"/>
  <c r="H11" i="70" s="1"/>
  <c r="E11" i="70"/>
  <c r="G11" i="70" s="1"/>
  <c r="H51" i="69"/>
  <c r="F51" i="69"/>
  <c r="E51" i="69"/>
  <c r="D51" i="69"/>
  <c r="C51" i="69"/>
  <c r="I48" i="69"/>
  <c r="I47" i="69"/>
  <c r="I46" i="69"/>
  <c r="I30" i="69"/>
  <c r="I29" i="69"/>
  <c r="I28" i="69"/>
  <c r="I27" i="69"/>
  <c r="I26" i="69"/>
  <c r="I25" i="69"/>
  <c r="I23" i="69"/>
  <c r="I22" i="69"/>
  <c r="I21" i="69"/>
  <c r="I19" i="69"/>
  <c r="I17" i="69"/>
  <c r="I15" i="69"/>
  <c r="F11" i="69"/>
  <c r="H11" i="69" s="1"/>
  <c r="E11" i="69"/>
  <c r="G11" i="69" s="1"/>
  <c r="I11" i="69" s="1"/>
  <c r="H51" i="68"/>
  <c r="F51" i="68"/>
  <c r="E51" i="68"/>
  <c r="D51" i="68"/>
  <c r="C51" i="68"/>
  <c r="I48" i="68"/>
  <c r="I47" i="68"/>
  <c r="I46" i="68"/>
  <c r="I30" i="68"/>
  <c r="I29" i="68"/>
  <c r="I28" i="68"/>
  <c r="I27" i="68"/>
  <c r="I26" i="68"/>
  <c r="I25" i="68"/>
  <c r="I23" i="68"/>
  <c r="I22" i="68"/>
  <c r="I21" i="68"/>
  <c r="I19" i="68"/>
  <c r="I17" i="68"/>
  <c r="I15" i="68"/>
  <c r="F11" i="68"/>
  <c r="H11" i="68" s="1"/>
  <c r="E11" i="68"/>
  <c r="G11" i="68" s="1"/>
  <c r="I11" i="68" s="1"/>
  <c r="H51" i="62"/>
  <c r="F51" i="62"/>
  <c r="E51" i="62"/>
  <c r="D51" i="62"/>
  <c r="C51" i="62"/>
  <c r="I48" i="62"/>
  <c r="I47" i="62"/>
  <c r="I46" i="62"/>
  <c r="I30" i="62"/>
  <c r="I29" i="62"/>
  <c r="I28" i="62"/>
  <c r="I27" i="62"/>
  <c r="I26" i="62"/>
  <c r="I25" i="62"/>
  <c r="I23" i="62"/>
  <c r="I22" i="62"/>
  <c r="I21" i="62"/>
  <c r="I19" i="62"/>
  <c r="I17" i="62"/>
  <c r="I15" i="62"/>
  <c r="F11" i="62"/>
  <c r="H11" i="62" s="1"/>
  <c r="E11" i="62"/>
  <c r="G11" i="62" s="1"/>
  <c r="I11" i="95" l="1"/>
  <c r="I11" i="94"/>
  <c r="I11" i="93"/>
  <c r="I11" i="92"/>
  <c r="I11" i="91"/>
  <c r="I11" i="90"/>
  <c r="I11" i="89"/>
  <c r="N28" i="36"/>
  <c r="I11" i="88"/>
  <c r="I11" i="87"/>
  <c r="I11" i="84"/>
  <c r="I11" i="83"/>
  <c r="I11" i="81"/>
  <c r="I11" i="80"/>
  <c r="I11" i="78"/>
  <c r="I11" i="76"/>
  <c r="I11" i="75"/>
  <c r="I11" i="74"/>
  <c r="I11" i="73"/>
  <c r="I11" i="72"/>
  <c r="I11" i="70"/>
  <c r="I11" i="62"/>
  <c r="I39" i="36"/>
  <c r="I36" i="36"/>
  <c r="L36" i="36" s="1"/>
  <c r="I37" i="36"/>
  <c r="M34" i="36"/>
  <c r="N21" i="36"/>
  <c r="N48" i="36"/>
  <c r="N46" i="36"/>
  <c r="N39" i="36"/>
  <c r="M33" i="36"/>
  <c r="M32" i="36"/>
  <c r="N47" i="36"/>
  <c r="M44" i="36"/>
  <c r="N29" i="36"/>
  <c r="L41" i="36"/>
  <c r="M41" i="36" s="1"/>
  <c r="N36" i="36"/>
  <c r="N41" i="36"/>
  <c r="N37" i="36"/>
  <c r="I51" i="91"/>
  <c r="I51" i="92"/>
  <c r="I51" i="74"/>
  <c r="I51" i="94"/>
  <c r="I51" i="82"/>
  <c r="I51" i="72"/>
  <c r="I51" i="71"/>
  <c r="I51" i="89"/>
  <c r="I51" i="62"/>
  <c r="I51" i="69"/>
  <c r="I51" i="84"/>
  <c r="I51" i="80"/>
  <c r="I51" i="95"/>
  <c r="I51" i="70"/>
  <c r="I51" i="87"/>
  <c r="I51" i="93"/>
  <c r="I51" i="68"/>
  <c r="I51" i="75"/>
  <c r="I51" i="76"/>
  <c r="I51" i="78"/>
  <c r="I51" i="83"/>
  <c r="I51" i="88"/>
  <c r="I51" i="90"/>
  <c r="I51" i="81"/>
  <c r="I51" i="86"/>
  <c r="I51" i="79"/>
  <c r="I51" i="85"/>
  <c r="I51" i="73"/>
  <c r="I51" i="77"/>
  <c r="I51" i="67"/>
  <c r="C51" i="36"/>
  <c r="N30" i="36"/>
  <c r="N26" i="36"/>
  <c r="N22" i="36"/>
  <c r="N15" i="36"/>
  <c r="N17" i="36"/>
  <c r="N13" i="36"/>
  <c r="N27" i="36"/>
  <c r="N25" i="36"/>
  <c r="N23" i="36"/>
  <c r="N19" i="36"/>
  <c r="N51" i="36" l="1"/>
  <c r="I35" i="36"/>
  <c r="M35" i="36" s="1"/>
  <c r="C51" i="1" l="1"/>
  <c r="I48" i="1"/>
  <c r="I48" i="36" s="1"/>
  <c r="I47" i="1"/>
  <c r="I47" i="36" s="1"/>
  <c r="I46" i="1"/>
  <c r="L47" i="36" l="1"/>
  <c r="M47" i="36"/>
  <c r="L48" i="36"/>
  <c r="M48" i="36"/>
  <c r="M36" i="36"/>
  <c r="I46" i="36"/>
  <c r="L37" i="36"/>
  <c r="M37" i="36" s="1"/>
  <c r="L46" i="36" l="1"/>
  <c r="M46" i="36"/>
  <c r="E11" i="1"/>
  <c r="F11" i="1"/>
  <c r="H51" i="1"/>
  <c r="F51" i="1"/>
  <c r="D51" i="1"/>
  <c r="I30" i="1"/>
  <c r="I30" i="36" s="1"/>
  <c r="I29" i="1"/>
  <c r="I29" i="36" s="1"/>
  <c r="I28" i="1"/>
  <c r="I28" i="36" s="1"/>
  <c r="L28" i="36" s="1"/>
  <c r="I27" i="1"/>
  <c r="I27" i="36" s="1"/>
  <c r="I26" i="1"/>
  <c r="I26" i="36" s="1"/>
  <c r="I25" i="1"/>
  <c r="I25" i="36" s="1"/>
  <c r="I23" i="1"/>
  <c r="I23" i="36" s="1"/>
  <c r="I22" i="1"/>
  <c r="I22" i="36" s="1"/>
  <c r="I21" i="1"/>
  <c r="I21" i="36" s="1"/>
  <c r="L21" i="36" s="1"/>
  <c r="M21" i="36" s="1"/>
  <c r="I19" i="1"/>
  <c r="I19" i="36" s="1"/>
  <c r="I17" i="1"/>
  <c r="I17" i="36" s="1"/>
  <c r="I15" i="1"/>
  <c r="I15" i="36" s="1"/>
  <c r="I13" i="36"/>
  <c r="L13" i="36" s="1"/>
  <c r="M13" i="36" l="1"/>
  <c r="H11" i="1"/>
  <c r="H11" i="36" s="1"/>
  <c r="F11" i="36"/>
  <c r="E11" i="36"/>
  <c r="G11" i="1"/>
  <c r="L22" i="36"/>
  <c r="M22" i="36" s="1"/>
  <c r="L17" i="36"/>
  <c r="M17" i="36" s="1"/>
  <c r="L23" i="36"/>
  <c r="M23" i="36" s="1"/>
  <c r="M28" i="36"/>
  <c r="L19" i="36"/>
  <c r="M19" i="36" s="1"/>
  <c r="L25" i="36"/>
  <c r="M25" i="36" s="1"/>
  <c r="L29" i="36"/>
  <c r="M29" i="36" s="1"/>
  <c r="L27" i="36"/>
  <c r="M27" i="36" s="1"/>
  <c r="L26" i="36"/>
  <c r="M26" i="36" s="1"/>
  <c r="L30" i="36"/>
  <c r="M30" i="36" s="1"/>
  <c r="L15" i="36"/>
  <c r="M15" i="36" s="1"/>
  <c r="H51" i="36"/>
  <c r="I51" i="1"/>
  <c r="L39" i="36" s="1"/>
  <c r="M39" i="36" s="1"/>
  <c r="L51" i="36" l="1"/>
  <c r="H3" i="1"/>
  <c r="H3" i="62" s="1"/>
  <c r="H3" i="68" s="1"/>
  <c r="H3" i="69" s="1"/>
  <c r="H3" i="70" s="1"/>
  <c r="H3" i="71" s="1"/>
  <c r="H3" i="72" s="1"/>
  <c r="H3" i="73" s="1"/>
  <c r="H3" i="74" s="1"/>
  <c r="H3" i="75" s="1"/>
  <c r="H3" i="76" s="1"/>
  <c r="H3" i="77" s="1"/>
  <c r="H3" i="78" s="1"/>
  <c r="H3" i="79" s="1"/>
  <c r="H3" i="80" s="1"/>
  <c r="H3" i="81" s="1"/>
  <c r="H3" i="82" s="1"/>
  <c r="H3" i="83" s="1"/>
  <c r="H3" i="84" s="1"/>
  <c r="H3" i="85" s="1"/>
  <c r="H3" i="86" s="1"/>
  <c r="H3" i="87" s="1"/>
  <c r="H3" i="88" s="1"/>
  <c r="H3" i="89" s="1"/>
  <c r="H3" i="90" s="1"/>
  <c r="H3" i="91" s="1"/>
  <c r="H3" i="92" s="1"/>
  <c r="H3" i="93" s="1"/>
  <c r="H3" i="94" s="1"/>
  <c r="H3" i="95" s="1"/>
  <c r="H3" i="67" s="1"/>
  <c r="I11" i="1"/>
  <c r="G11" i="36"/>
  <c r="I51" i="36"/>
  <c r="M51" i="36"/>
  <c r="D51" i="36"/>
  <c r="F51" i="36"/>
  <c r="E51" i="36"/>
  <c r="H3" i="36" l="1"/>
  <c r="I11" i="36"/>
</calcChain>
</file>

<file path=xl/comments1.xml><?xml version="1.0" encoding="utf-8"?>
<comments xmlns="http://schemas.openxmlformats.org/spreadsheetml/2006/main">
  <authors>
    <author>만든 이</author>
    <author>Windows 사용자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2" authorId="1" shapeId="0">
      <text>
        <r>
          <rPr>
            <b/>
            <sz val="9"/>
            <color indexed="81"/>
            <rFont val="돋움"/>
            <family val="3"/>
            <charset val="129"/>
          </rPr>
          <t>호밀시리즈는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8" authorId="1" shapeId="0">
      <text>
        <r>
          <rPr>
            <sz val="9"/>
            <color indexed="81"/>
            <rFont val="Tahoma"/>
            <family val="2"/>
          </rPr>
          <t>Half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Whole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자동입력됩니다</t>
        </r>
        <r>
          <rPr>
            <sz val="9"/>
            <color indexed="81"/>
            <rFont val="Tahoma"/>
            <family val="2"/>
          </rPr>
          <t>.</t>
        </r>
      </text>
    </comment>
    <comment ref="I40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2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3" authorId="1" shapeId="0">
      <text>
        <r>
          <rPr>
            <b/>
            <sz val="9"/>
            <color indexed="81"/>
            <rFont val="돋움"/>
            <family val="3"/>
            <charset val="129"/>
          </rPr>
          <t>슈톨렌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파네토네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미니파네토네는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49" authorId="1" shapeId="0">
      <text>
        <r>
          <rPr>
            <b/>
            <sz val="9"/>
            <color indexed="81"/>
            <rFont val="돋움"/>
            <family val="3"/>
            <charset val="129"/>
          </rPr>
          <t>수프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기입
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</commentList>
</comments>
</file>

<file path=xl/sharedStrings.xml><?xml version="1.0" encoding="utf-8"?>
<sst xmlns="http://schemas.openxmlformats.org/spreadsheetml/2006/main" count="4029" uniqueCount="813">
  <si>
    <t>일 일 업 무 보 고 서</t>
    <phoneticPr fontId="4" type="noConversion"/>
  </si>
  <si>
    <t>일     시</t>
    <phoneticPr fontId="6" type="noConversion"/>
  </si>
  <si>
    <t>작성자</t>
    <phoneticPr fontId="4" type="noConversion"/>
  </si>
  <si>
    <t>지 점 명</t>
    <phoneticPr fontId="6" type="noConversion"/>
  </si>
  <si>
    <t>점</t>
    <phoneticPr fontId="6" type="noConversion"/>
  </si>
  <si>
    <t>날씨</t>
    <phoneticPr fontId="4" type="noConversion"/>
  </si>
  <si>
    <t>외부온도</t>
  </si>
  <si>
    <t>내부온도</t>
  </si>
  <si>
    <t>외부습도</t>
    <phoneticPr fontId="4" type="noConversion"/>
  </si>
  <si>
    <t>내부습도</t>
  </si>
  <si>
    <t>1. 금일
매출
실적</t>
    <phoneticPr fontId="6" type="noConversion"/>
  </si>
  <si>
    <t>실적</t>
    <phoneticPr fontId="6" type="noConversion"/>
  </si>
  <si>
    <t>매출액(원)</t>
    <phoneticPr fontId="6" type="noConversion"/>
  </si>
  <si>
    <t>매출건수(건)</t>
    <phoneticPr fontId="6" type="noConversion"/>
  </si>
  <si>
    <t>2. 제품
판매량</t>
    <phoneticPr fontId="4" type="noConversion"/>
  </si>
  <si>
    <t>제품명</t>
  </si>
  <si>
    <t>생산량(ea)</t>
    <phoneticPr fontId="4" type="noConversion"/>
  </si>
  <si>
    <t>손실량(ea)</t>
    <phoneticPr fontId="4" type="noConversion"/>
  </si>
  <si>
    <t>시식량(ea)</t>
    <phoneticPr fontId="4" type="noConversion"/>
  </si>
  <si>
    <t>기타(ea) In (+) / Out (-)</t>
    <phoneticPr fontId="4" type="noConversion"/>
  </si>
  <si>
    <t>재고량(ea)</t>
    <phoneticPr fontId="4" type="noConversion"/>
  </si>
  <si>
    <t>판매량(ea)</t>
    <phoneticPr fontId="4" type="noConversion"/>
  </si>
  <si>
    <t xml:space="preserve"> </t>
    <phoneticPr fontId="6" type="noConversion"/>
  </si>
  <si>
    <t>바게트</t>
    <phoneticPr fontId="6" type="noConversion"/>
  </si>
  <si>
    <t>바게트(H)</t>
    <phoneticPr fontId="6" type="noConversion"/>
  </si>
  <si>
    <t>화바게트</t>
    <phoneticPr fontId="6" type="noConversion"/>
  </si>
  <si>
    <t>화바게트(H)</t>
    <phoneticPr fontId="6" type="noConversion"/>
  </si>
  <si>
    <t>깜파뉴</t>
    <phoneticPr fontId="6" type="noConversion"/>
  </si>
  <si>
    <t>깜파뉴(H)</t>
    <phoneticPr fontId="6" type="noConversion"/>
  </si>
  <si>
    <t>식 빵</t>
    <phoneticPr fontId="6" type="noConversion"/>
  </si>
  <si>
    <t>식 빵(H)</t>
    <phoneticPr fontId="6" type="noConversion"/>
  </si>
  <si>
    <t>블랙올리브</t>
    <phoneticPr fontId="4" type="noConversion"/>
  </si>
  <si>
    <t xml:space="preserve">허 브 </t>
    <phoneticPr fontId="6" type="noConversion"/>
  </si>
  <si>
    <t xml:space="preserve">치아바타 </t>
  </si>
  <si>
    <t>화치아바타</t>
  </si>
  <si>
    <t xml:space="preserve">크로아상 </t>
    <phoneticPr fontId="6" type="noConversion"/>
  </si>
  <si>
    <t>뺑오쇼콜라</t>
    <phoneticPr fontId="6" type="noConversion"/>
  </si>
  <si>
    <t xml:space="preserve">플레인 스콘 </t>
    <phoneticPr fontId="6" type="noConversion"/>
  </si>
  <si>
    <t>크랜베리 스콘</t>
    <phoneticPr fontId="6" type="noConversion"/>
  </si>
  <si>
    <t>브 레 첼</t>
  </si>
  <si>
    <t>스틱브레첼</t>
    <phoneticPr fontId="4" type="noConversion"/>
  </si>
  <si>
    <t>버터브레첼</t>
    <phoneticPr fontId="6" type="noConversion"/>
  </si>
  <si>
    <t>합 계</t>
    <phoneticPr fontId="4" type="noConversion"/>
  </si>
  <si>
    <t>배 민</t>
    <phoneticPr fontId="6" type="noConversion"/>
  </si>
  <si>
    <t>제로페이</t>
  </si>
  <si>
    <t>4. 서비스내역 및
   손님 특이사항</t>
    <phoneticPr fontId="4" type="noConversion"/>
  </si>
  <si>
    <t>6. 매장
   관리</t>
    <phoneticPr fontId="6" type="noConversion"/>
  </si>
  <si>
    <t>시설/장비
특이사항</t>
    <phoneticPr fontId="4" type="noConversion"/>
  </si>
  <si>
    <t>청결/위생 
관련업무</t>
    <phoneticPr fontId="4" type="noConversion"/>
  </si>
  <si>
    <t>7. 지시 및 전달사항</t>
    <phoneticPr fontId="4" type="noConversion"/>
  </si>
  <si>
    <t>8. 내일 준비사항</t>
    <phoneticPr fontId="4" type="noConversion"/>
  </si>
  <si>
    <t>9. 직원 특이사항</t>
    <phoneticPr fontId="4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</si>
  <si>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</si>
  <si>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</si>
  <si>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</si>
  <si>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</si>
  <si>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</si>
  <si>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</si>
  <si>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</si>
  <si>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금일</t>
    <phoneticPr fontId="6" type="noConversion"/>
  </si>
  <si>
    <t>내일</t>
    <phoneticPr fontId="6" type="noConversion"/>
  </si>
  <si>
    <t>10. 시설 점검사항</t>
    <phoneticPr fontId="4" type="noConversion"/>
  </si>
  <si>
    <t>첫 출 근 자</t>
  </si>
  <si>
    <t>최 종 퇴 근 자</t>
  </si>
  <si>
    <t>위생/마감 점검</t>
    <phoneticPr fontId="4" type="noConversion"/>
  </si>
  <si>
    <t>최종 점검</t>
  </si>
  <si>
    <t>Paul &amp; Paulina</t>
  </si>
  <si>
    <t>POS 외 매출</t>
    <phoneticPr fontId="6" type="noConversion"/>
  </si>
  <si>
    <t>POS 매출</t>
    <phoneticPr fontId="6" type="noConversion"/>
  </si>
  <si>
    <t>총 매출</t>
    <phoneticPr fontId="6" type="noConversion"/>
  </si>
  <si>
    <t>총 매출액(원)</t>
    <phoneticPr fontId="6" type="noConversion"/>
  </si>
  <si>
    <t>총 매출건수(건)</t>
    <phoneticPr fontId="6" type="noConversion"/>
  </si>
  <si>
    <t>3. 예약 및 POS 외 매출</t>
    <phoneticPr fontId="4" type="noConversion"/>
  </si>
  <si>
    <t>5. 제품의견 / 손실</t>
    <phoneticPr fontId="4" type="noConversion"/>
  </si>
  <si>
    <t>매출건수(건)</t>
  </si>
  <si>
    <t>매출액(원)</t>
  </si>
  <si>
    <t>누계 매출액</t>
    <phoneticPr fontId="3" type="noConversion"/>
  </si>
  <si>
    <t>확인</t>
    <phoneticPr fontId="3" type="noConversion"/>
  </si>
  <si>
    <t>객단가</t>
    <phoneticPr fontId="3" type="noConversion"/>
  </si>
  <si>
    <t>구름빵</t>
    <phoneticPr fontId="3" type="noConversion"/>
  </si>
  <si>
    <t>무화과 호밀스틱</t>
    <phoneticPr fontId="3" type="noConversion"/>
  </si>
  <si>
    <t>2022 년 1 월</t>
    <phoneticPr fontId="3" type="noConversion"/>
  </si>
  <si>
    <t>누계생산량(ea)</t>
    <phoneticPr fontId="4" type="noConversion"/>
  </si>
  <si>
    <t>누계손실량(ea)</t>
    <phoneticPr fontId="4" type="noConversion"/>
  </si>
  <si>
    <t>누계시식량(ea)</t>
    <phoneticPr fontId="4" type="noConversion"/>
  </si>
  <si>
    <t>누계 기타(ea) In (+) / Out (-)</t>
    <phoneticPr fontId="4" type="noConversion"/>
  </si>
  <si>
    <t>누계재고량(ea)</t>
    <phoneticPr fontId="4" type="noConversion"/>
  </si>
  <si>
    <t>누계판매량(ea)</t>
    <phoneticPr fontId="4" type="noConversion"/>
  </si>
  <si>
    <t>치킨샌드위치</t>
    <phoneticPr fontId="3" type="noConversion"/>
  </si>
  <si>
    <t>햄치즈샌드위치</t>
    <phoneticPr fontId="3" type="noConversion"/>
  </si>
  <si>
    <t>쿠팡이츠</t>
    <phoneticPr fontId="6" type="noConversion"/>
  </si>
  <si>
    <t>배 민</t>
    <phoneticPr fontId="6" type="noConversion"/>
  </si>
  <si>
    <t>판매율</t>
    <phoneticPr fontId="6" type="noConversion"/>
  </si>
  <si>
    <t>로스율</t>
    <phoneticPr fontId="3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</si>
  <si>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</si>
  <si>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</si>
  <si>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</si>
  <si>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</si>
  <si>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</si>
  <si>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</si>
  <si>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</si>
  <si>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위생/마감 점검</t>
    <phoneticPr fontId="4" type="noConversion"/>
  </si>
  <si>
    <t>재고율</t>
    <phoneticPr fontId="3" type="noConversion"/>
  </si>
  <si>
    <t>택배</t>
    <phoneticPr fontId="6" type="noConversion"/>
  </si>
  <si>
    <t>납품</t>
    <phoneticPr fontId="6" type="noConversion"/>
  </si>
  <si>
    <t>202 년  월  일 ( 요일)</t>
    <phoneticPr fontId="3" type="noConversion"/>
  </si>
  <si>
    <t>합계</t>
    <phoneticPr fontId="3" type="noConversion"/>
  </si>
  <si>
    <t>봄날깜빠뉴</t>
    <phoneticPr fontId="3" type="noConversion"/>
  </si>
  <si>
    <t>여름메밀빵</t>
    <phoneticPr fontId="3" type="noConversion"/>
  </si>
  <si>
    <t>여름메밀빵</t>
    <phoneticPr fontId="3" type="noConversion"/>
  </si>
  <si>
    <t>가을애깜빠뉴</t>
    <phoneticPr fontId="3" type="noConversion"/>
  </si>
  <si>
    <t>가을애깜빠뉴</t>
    <phoneticPr fontId="3" type="noConversion"/>
  </si>
  <si>
    <t>슈톨렌</t>
    <phoneticPr fontId="3" type="noConversion"/>
  </si>
  <si>
    <t>슈톨렌</t>
    <phoneticPr fontId="3" type="noConversion"/>
  </si>
  <si>
    <t>파네토네</t>
    <phoneticPr fontId="3" type="noConversion"/>
  </si>
  <si>
    <t>파네토네</t>
    <phoneticPr fontId="3" type="noConversion"/>
  </si>
  <si>
    <t>호라산 통밀</t>
    <phoneticPr fontId="3" type="noConversion"/>
  </si>
  <si>
    <t>호라산 통밀</t>
    <phoneticPr fontId="3" type="noConversion"/>
  </si>
  <si>
    <t>호밀비트</t>
    <phoneticPr fontId="3" type="noConversion"/>
  </si>
  <si>
    <t>호밀비트</t>
    <phoneticPr fontId="3" type="noConversion"/>
  </si>
  <si>
    <t>호밀후르츠</t>
    <phoneticPr fontId="3" type="noConversion"/>
  </si>
  <si>
    <t>호밀후르츠</t>
    <phoneticPr fontId="3" type="noConversion"/>
  </si>
  <si>
    <t>멜란자네</t>
    <phoneticPr fontId="3" type="noConversion"/>
  </si>
  <si>
    <t>멜란자네</t>
    <phoneticPr fontId="3" type="noConversion"/>
  </si>
  <si>
    <t>미니파네토네(여름)</t>
    <phoneticPr fontId="3" type="noConversion"/>
  </si>
  <si>
    <t>미니파네토네(여름)</t>
    <phoneticPr fontId="3" type="noConversion"/>
  </si>
  <si>
    <t>수프+샌드위치</t>
    <phoneticPr fontId="3" type="noConversion"/>
  </si>
  <si>
    <t>수프+샌드위치</t>
    <phoneticPr fontId="3" type="noConversion"/>
  </si>
  <si>
    <t>수프+빵</t>
    <phoneticPr fontId="3" type="noConversion"/>
  </si>
  <si>
    <t>수프+빵</t>
    <phoneticPr fontId="3" type="noConversion"/>
  </si>
  <si>
    <t>봄날깜빠뉴(H)</t>
    <phoneticPr fontId="3" type="noConversion"/>
  </si>
  <si>
    <t>봄날깜빠뉴(H)</t>
    <phoneticPr fontId="3" type="noConversion"/>
  </si>
  <si>
    <t>여름메밀빵(H)</t>
    <phoneticPr fontId="3" type="noConversion"/>
  </si>
  <si>
    <t>여름메밀빵(H)</t>
    <phoneticPr fontId="3" type="noConversion"/>
  </si>
  <si>
    <t>가을애깜빠뉴(H)</t>
    <phoneticPr fontId="3" type="noConversion"/>
  </si>
  <si>
    <t>가을애깜빠뉴(H)</t>
    <phoneticPr fontId="3" type="noConversion"/>
  </si>
  <si>
    <t xml:space="preserve">생산량 X, 재고량X, 판매량O, 시식량O, 손실량O </t>
  </si>
  <si>
    <t xml:space="preserve">손실량, 시식량 기준 : 수프 1잔 기준으로 절반 이하면 0.5 /절반 이상이면 1로 표기 </t>
    <phoneticPr fontId="3" type="noConversion"/>
  </si>
  <si>
    <t xml:space="preserve"> 기입X</t>
    <phoneticPr fontId="3" type="noConversion"/>
  </si>
  <si>
    <t>수동기입</t>
    <phoneticPr fontId="3" type="noConversion"/>
  </si>
  <si>
    <t>수식입력 되어 있으니 기입X</t>
    <phoneticPr fontId="3" type="noConversion"/>
  </si>
  <si>
    <t>(미니파네토네는 계절제품 상관없이 입력)</t>
    <phoneticPr fontId="3" type="noConversion"/>
  </si>
  <si>
    <t xml:space="preserve">선물 </t>
    <phoneticPr fontId="3" type="noConversion"/>
  </si>
  <si>
    <t xml:space="preserve">쿠팡 </t>
    <phoneticPr fontId="3" type="noConversion"/>
  </si>
  <si>
    <t>쿠팡잇츠 판매 내역</t>
    <phoneticPr fontId="3" type="noConversion"/>
  </si>
  <si>
    <t xml:space="preserve">배민 </t>
    <phoneticPr fontId="3" type="noConversion"/>
  </si>
  <si>
    <t xml:space="preserve">배달의민족 판매 내역 </t>
    <phoneticPr fontId="3" type="noConversion"/>
  </si>
  <si>
    <t>제로페이</t>
    <phoneticPr fontId="3" type="noConversion"/>
  </si>
  <si>
    <t xml:space="preserve">택배 </t>
    <phoneticPr fontId="3" type="noConversion"/>
  </si>
  <si>
    <t xml:space="preserve">택배 판매 내역 </t>
    <phoneticPr fontId="3" type="noConversion"/>
  </si>
  <si>
    <t xml:space="preserve">납품 </t>
    <phoneticPr fontId="3" type="noConversion"/>
  </si>
  <si>
    <t xml:space="preserve">월말결제를 주로 하는 모든 납품 업체 </t>
    <phoneticPr fontId="3" type="noConversion"/>
  </si>
  <si>
    <t xml:space="preserve">일일업무보고서 사용법 </t>
    <phoneticPr fontId="3" type="noConversion"/>
  </si>
  <si>
    <t xml:space="preserve">&lt;셀 색깔별 사용 법 &gt; </t>
    <phoneticPr fontId="3" type="noConversion"/>
  </si>
  <si>
    <t xml:space="preserve">&lt;메뉴 별 사용 법&gt; </t>
    <phoneticPr fontId="3" type="noConversion"/>
  </si>
  <si>
    <t xml:space="preserve">호밀시리즈 (호라산, 호밀후르츠, 호밀비트) </t>
    <phoneticPr fontId="3" type="noConversion"/>
  </si>
  <si>
    <t xml:space="preserve">생산량 X, 재고량X, 판매량O, 시식량O, 손실량O </t>
    <phoneticPr fontId="3" type="noConversion"/>
  </si>
  <si>
    <t xml:space="preserve">수프메뉴 </t>
    <phoneticPr fontId="3" type="noConversion"/>
  </si>
  <si>
    <t xml:space="preserve">* 일일업무 보고서에 숫자로 기입하는 것은 완제품 기준 입니다. </t>
    <phoneticPr fontId="3" type="noConversion"/>
  </si>
  <si>
    <t xml:space="preserve">* 생산 공정상 발생하는 손실은 손실보고서 작성 </t>
    <phoneticPr fontId="3" type="noConversion"/>
  </si>
  <si>
    <t xml:space="preserve">(손실보고서는 생산업무 전반에 발생하는 실수, 손해 모두 작성, 완제품으로 나오더라도 작성)  </t>
    <phoneticPr fontId="3" type="noConversion"/>
  </si>
  <si>
    <r>
      <t>* 일일업무보고서 내용 작성 누락 시 업무태도에 반영</t>
    </r>
    <r>
      <rPr>
        <sz val="11"/>
        <color theme="1"/>
        <rFont val="맑은 고딕"/>
        <family val="3"/>
        <charset val="129"/>
        <scheme val="minor"/>
      </rPr>
      <t>(제품의견, 서비스 내용은 출근직원은 반드시, 한줄이라도 작성할 것)</t>
    </r>
    <phoneticPr fontId="3" type="noConversion"/>
  </si>
  <si>
    <t>선물</t>
    <phoneticPr fontId="6" type="noConversion"/>
  </si>
  <si>
    <t>선물</t>
    <phoneticPr fontId="6" type="noConversion"/>
  </si>
  <si>
    <t>슈톨렌, 파네토네, 미니파네토네(여름),구름빵</t>
    <phoneticPr fontId="3" type="noConversion"/>
  </si>
  <si>
    <t>포스에 입력되지 않은 페이 결제 내역 (카카오, 서울페이 등), 계좌이체는 제외</t>
    <phoneticPr fontId="3" type="noConversion"/>
  </si>
  <si>
    <t>금액을 지불하지 않고 영업시간 내에 제공된 완제품(협찬 포함)</t>
    <phoneticPr fontId="3" type="noConversion"/>
  </si>
  <si>
    <t>2026 년 6 월 1 일 ( 월요일)</t>
    <phoneticPr fontId="3" type="noConversion"/>
  </si>
  <si>
    <t>김도현</t>
    <phoneticPr fontId="3" type="noConversion"/>
  </si>
  <si>
    <t>맑음</t>
    <phoneticPr fontId="3" type="noConversion"/>
  </si>
  <si>
    <t>27</t>
    <phoneticPr fontId="3" type="noConversion"/>
  </si>
  <si>
    <t>25</t>
    <phoneticPr fontId="3" type="noConversion"/>
  </si>
  <si>
    <t>미들(김도현) : 바게트 성형 시에 힘이 금방 풀리는 느낌으로 반죽믹싱할때 
조정수 남겨두고 추가로 넣어가며 믹싱하고있습니다.(냉장바게트 기공 안정적입니다.)</t>
    <phoneticPr fontId="3" type="noConversion"/>
  </si>
  <si>
    <t>도현,희주</t>
    <phoneticPr fontId="3" type="noConversion"/>
  </si>
  <si>
    <t>윤경,민숙,용국</t>
    <phoneticPr fontId="3" type="noConversion"/>
  </si>
  <si>
    <t>김세은</t>
    <phoneticPr fontId="3" type="noConversion"/>
  </si>
  <si>
    <t>정희주</t>
    <phoneticPr fontId="3" type="noConversion"/>
  </si>
  <si>
    <t>김윤희</t>
    <phoneticPr fontId="3" type="noConversion"/>
  </si>
  <si>
    <t>김윤희</t>
    <phoneticPr fontId="3" type="noConversion"/>
  </si>
  <si>
    <t>금일 심팩납품 완료 하였습니다.</t>
    <phoneticPr fontId="3" type="noConversion"/>
  </si>
  <si>
    <t>내일 심팩 납품 준비 완료 하였습니다.</t>
    <phoneticPr fontId="3" type="noConversion"/>
  </si>
  <si>
    <t>월요일 매출 저조한 관계로 전체적인 생산량 줄였습니다.</t>
    <phoneticPr fontId="3" type="noConversion"/>
  </si>
  <si>
    <t>전체적으로 빵 고르게 판매되었고 큰빵은 늦은 오후쯤부터 빠르게 판매되었습니다.</t>
    <phoneticPr fontId="3" type="noConversion"/>
  </si>
  <si>
    <t>통밀 함유된 빵에 대해서 문의하시는 분들이 2~3분 계셨습니다.</t>
    <phoneticPr fontId="3" type="noConversion"/>
  </si>
  <si>
    <t>시식 가능한지 먼저 물어보시는 분들이 많으셨습니다.</t>
    <phoneticPr fontId="3" type="noConversion"/>
  </si>
  <si>
    <t>여의도</t>
    <phoneticPr fontId="3" type="noConversion"/>
  </si>
  <si>
    <t>24</t>
    <phoneticPr fontId="3" type="noConversion"/>
  </si>
  <si>
    <t>2026 년  6월  2일 ( 화요일)</t>
    <phoneticPr fontId="3" type="noConversion"/>
  </si>
  <si>
    <t>여의도</t>
    <phoneticPr fontId="3" type="noConversion"/>
  </si>
  <si>
    <t>맑음</t>
    <phoneticPr fontId="3" type="noConversion"/>
  </si>
  <si>
    <t>31</t>
    <phoneticPr fontId="3" type="noConversion"/>
  </si>
  <si>
    <t>솔른 깜빠뉴 10개 납품 완료 했습니다.</t>
    <phoneticPr fontId="3" type="noConversion"/>
  </si>
  <si>
    <t>파브리 깜빠뉴 40개 성형 준비 완료해놓았습니다.</t>
    <phoneticPr fontId="3" type="noConversion"/>
  </si>
  <si>
    <t xml:space="preserve">파브리 깜빠뉴 40개 납품 있습니다. </t>
    <phoneticPr fontId="3" type="noConversion"/>
  </si>
  <si>
    <t xml:space="preserve">올리브구워야합니다. </t>
    <phoneticPr fontId="3" type="noConversion"/>
  </si>
  <si>
    <t xml:space="preserve">오픈(김세은) : 치아바타 내상 촉촉하고 고소한 맛이 잘 났습니다. 목넘김도 좋았습니다. </t>
    <phoneticPr fontId="3" type="noConversion"/>
  </si>
  <si>
    <t>도현,희주</t>
    <phoneticPr fontId="3" type="noConversion"/>
  </si>
  <si>
    <t>용국,세은,윤경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</si>
  <si>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</si>
  <si>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</si>
  <si>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</si>
  <si>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 xml:space="preserve">미들(김윤희) : 바게트 구움색 좋고, 맛은 좋았으나 껍질이 바삭한 느낌보다 약간 눅눅한 느낌이었습니다. </t>
    <phoneticPr fontId="3" type="noConversion"/>
  </si>
  <si>
    <t>마감(박용국) : 크로아상을 먹었을때 평소보다 바삭함이 덜했고 버터의 풍미가 천천히 오는 느낌을 받았습니다.</t>
    <phoneticPr fontId="3" type="noConversion"/>
  </si>
  <si>
    <t>갓 나온 빵 시식이 정말 맛있었다며 당시 오셨던 시간대에 맞추어 방문하신 손님 계셨습니다.</t>
    <phoneticPr fontId="3" type="noConversion"/>
  </si>
  <si>
    <t>여름메밀빵 문의가 3건, 봄날깜빠뉴 문의 1건 있었습니다. 출시날 연락드리기 위해 손님 전화번호를 받아두었습니다.</t>
    <phoneticPr fontId="3" type="noConversion"/>
  </si>
  <si>
    <t>가까운 광화문점이 사라지고 여의도점을 방문했다는 손님이 계셨습니다./ 깜빠뉴가 4시 조기품절, 뺑오쇼콜라가 3시 조기품절되었습니다.</t>
    <phoneticPr fontId="3" type="noConversion"/>
  </si>
  <si>
    <t>2026년 6 월 3 일 ( 수요일)</t>
    <phoneticPr fontId="3" type="noConversion"/>
  </si>
  <si>
    <t>김도현</t>
    <phoneticPr fontId="3" type="noConversion"/>
  </si>
  <si>
    <t>흐림</t>
    <phoneticPr fontId="3" type="noConversion"/>
  </si>
  <si>
    <t>30</t>
    <phoneticPr fontId="3" type="noConversion"/>
  </si>
  <si>
    <t>25</t>
    <phoneticPr fontId="3" type="noConversion"/>
  </si>
  <si>
    <t>오픈(김도현) : 치아바타 도우컨에서 힘이 금방 풀리는 편으로 믹싱시에 힘있게 믹싱하였습니다.
(분할할때 힘있게 공기 잘 차있었습니다.)</t>
    <phoneticPr fontId="3" type="noConversion"/>
  </si>
  <si>
    <t>윤경,세은,용국</t>
    <phoneticPr fontId="3" type="noConversion"/>
  </si>
  <si>
    <t>도현,세은</t>
    <phoneticPr fontId="3" type="noConversion"/>
  </si>
  <si>
    <t>김도현</t>
    <phoneticPr fontId="3" type="noConversion"/>
  </si>
  <si>
    <t>정희주</t>
    <phoneticPr fontId="3" type="noConversion"/>
  </si>
  <si>
    <t>서민숙</t>
    <phoneticPr fontId="3" type="noConversion"/>
  </si>
  <si>
    <t>부사장님께서 샘플용 빵 픽업하셨습니다.</t>
    <phoneticPr fontId="3" type="noConversion"/>
  </si>
  <si>
    <t>여의도</t>
    <phoneticPr fontId="3" type="noConversion"/>
  </si>
  <si>
    <t>파브리키친 납품 완료했습니다.</t>
    <phoneticPr fontId="3" type="noConversion"/>
  </si>
  <si>
    <t>금일 데리야끼치킨 배송왔습니다. / 블랙올리브 구웠습니다.</t>
    <phoneticPr fontId="3" type="noConversion"/>
  </si>
  <si>
    <t>호밀빵 판매: 5개, (h) 7개/ 호밀쇼콜라오렌지 판매: 3개</t>
    <phoneticPr fontId="3" type="noConversion"/>
  </si>
  <si>
    <t>호밀빵 판매: 3개, (h) 5개/ 호밀쇼콜라오렌지 판매: 1개</t>
    <phoneticPr fontId="3" type="noConversion"/>
  </si>
  <si>
    <t>4시 이후 손님 몰려 빵 판매가 이르게 되었습니다.</t>
    <phoneticPr fontId="3" type="noConversion"/>
  </si>
  <si>
    <t>멀리서 방문하시는 손님분들 많으셨습니다.</t>
    <phoneticPr fontId="3" type="noConversion"/>
  </si>
  <si>
    <t>샌드위치 더디게 판매되다가 오후쯤부터 찾는 손님분들 계셔서 꾸준히 판매되었습니다.</t>
    <phoneticPr fontId="3" type="noConversion"/>
  </si>
  <si>
    <t>2026년 6월 4일 (목요일)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</si>
  <si>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</si>
  <si>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</si>
  <si>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</si>
  <si>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29</t>
    <phoneticPr fontId="3" type="noConversion"/>
  </si>
  <si>
    <t>27</t>
    <phoneticPr fontId="3" type="noConversion"/>
  </si>
  <si>
    <t>심팩홀딩스 납품</t>
    <phoneticPr fontId="3" type="noConversion"/>
  </si>
  <si>
    <t>호두 굽기</t>
    <phoneticPr fontId="3" type="noConversion"/>
  </si>
  <si>
    <t>세은,도현,민숙</t>
    <phoneticPr fontId="3" type="noConversion"/>
  </si>
  <si>
    <t>도현,희주</t>
    <phoneticPr fontId="3" type="noConversion"/>
  </si>
  <si>
    <t>윤희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</si>
  <si>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</si>
  <si>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</si>
  <si>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</si>
  <si>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김윤희(오픈) : 바게트 내상도 좋고, 버터의 풍미도 잘 느껴졌습니다. 다만 오늘 습이 높아서 그런지 질긴 식감이었습니다.</t>
    <phoneticPr fontId="3" type="noConversion"/>
  </si>
  <si>
    <t>정희주(미들) : 식빵 발효되는시간이 평소보다 오래 걸려 나눠서 구웠습니다. 스콘 버터풍미,식감 모두 좋았습니다.</t>
    <phoneticPr fontId="3" type="noConversion"/>
  </si>
  <si>
    <t>박용국(마감) : 치아바타가 습하고 주방 내부가 더워서 그런지 발효가 빨라 마지막판은 모두 화이트치아바타로 생산하였습니다.</t>
    <phoneticPr fontId="3" type="noConversion"/>
  </si>
  <si>
    <t>호밀빵 판매: 4개, (H) 2개/ 호밀쇼콜라오렌지 판매: 8개</t>
    <phoneticPr fontId="3" type="noConversion"/>
  </si>
  <si>
    <t>식빵 판매가 부진하여 적극적으로 시식했으나 시식 후 반응만 좋고 판매로 잘 이어지지 않았습니다.</t>
    <phoneticPr fontId="3" type="noConversion"/>
  </si>
  <si>
    <t>식빵 시식 후 너무 맛있다며 이런 식빵 정말 흔하지않다는 칭찬 남겨주셨습니다.</t>
    <phoneticPr fontId="3" type="noConversion"/>
  </si>
  <si>
    <t>우천 이후에 손님 방문이 뜸했습니다.</t>
    <phoneticPr fontId="3" type="noConversion"/>
  </si>
  <si>
    <t>2026년 6월 5일 (금요일)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</si>
  <si>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</si>
  <si>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</si>
  <si>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</si>
  <si>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24</t>
    <phoneticPr fontId="3" type="noConversion"/>
  </si>
  <si>
    <t>23.7</t>
    <phoneticPr fontId="3" type="noConversion"/>
  </si>
  <si>
    <t>호두 구웠습니다.</t>
    <phoneticPr fontId="3" type="noConversion"/>
  </si>
  <si>
    <t xml:space="preserve">크렌베리 럼에 담궜습니다. </t>
    <phoneticPr fontId="3" type="noConversion"/>
  </si>
  <si>
    <t>도현,희주</t>
    <phoneticPr fontId="3" type="noConversion"/>
  </si>
  <si>
    <t>윤희,희주,민숙</t>
    <phoneticPr fontId="3" type="noConversion"/>
  </si>
  <si>
    <t>윤희</t>
    <phoneticPr fontId="3" type="noConversion"/>
  </si>
  <si>
    <t>윤경</t>
    <phoneticPr fontId="3" type="noConversion"/>
  </si>
  <si>
    <t>용국</t>
    <phoneticPr fontId="3" type="noConversion"/>
  </si>
  <si>
    <t xml:space="preserve">김윤희(오픈) : 당일 바게트 내상 좋았고, 껍질 얇고 바삭한 식감이었습니다. 버터의 풍미가 좋았고, 끝에 단맛이 잘 올라왔습니다. </t>
    <phoneticPr fontId="3" type="noConversion"/>
  </si>
  <si>
    <t>크렌베리 소분하기</t>
    <phoneticPr fontId="3" type="noConversion"/>
  </si>
  <si>
    <t xml:space="preserve">박용국(마감) : 당일 스콘은 겉은 바삭하고 속은 폭신한 식감이 강했습니다, </t>
    <phoneticPr fontId="3" type="noConversion"/>
  </si>
  <si>
    <t>오븐 유리 청소 하였습니다.</t>
    <phoneticPr fontId="3" type="noConversion"/>
  </si>
  <si>
    <t>무화과 세절 하였습니다.</t>
    <phoneticPr fontId="3" type="noConversion"/>
  </si>
  <si>
    <t>호밀빵 판매: 7개, (H) 7개/ 호밀쇼콜라오렌지 판매: 6개</t>
    <phoneticPr fontId="3" type="noConversion"/>
  </si>
  <si>
    <t>호밀빵을 저번에 구매했었는데 너무 탄 맛이 나서 먹지못했다고 원래 그런건지 문의가 있었습니다.</t>
    <phoneticPr fontId="3" type="noConversion"/>
  </si>
  <si>
    <t>12-1시 시간대매출이 60만원으로 손님 꾸준히 방문했습니다./ 퇴근시간대 (5-7시) 손님 방문 꾸준했습니다.</t>
    <phoneticPr fontId="3" type="noConversion"/>
  </si>
  <si>
    <t>샌드위치가 3시에 조기품절되었습니다./ 깜빠뉴가 5시에 조기품절되었습니다.</t>
    <phoneticPr fontId="3" type="noConversion"/>
  </si>
  <si>
    <t>24</t>
    <phoneticPr fontId="3" type="noConversion"/>
  </si>
  <si>
    <t>28</t>
    <phoneticPr fontId="3" type="noConversion"/>
  </si>
  <si>
    <t>2026 년  6월  6일 ( 토요일)</t>
    <phoneticPr fontId="3" type="noConversion"/>
  </si>
  <si>
    <t>김세은</t>
    <phoneticPr fontId="3" type="noConversion"/>
  </si>
  <si>
    <t>여의도</t>
    <phoneticPr fontId="3" type="noConversion"/>
  </si>
  <si>
    <t>흐림</t>
    <phoneticPr fontId="3" type="noConversion"/>
  </si>
  <si>
    <t>오픈(세은) : 크로와상 물량 19.5-&gt;19로 줄였습니다. 치아바타 크고작은 기공들이있고, 윤기나며 목넘김 좋았습니다.</t>
    <phoneticPr fontId="3" type="noConversion"/>
  </si>
  <si>
    <t>윤희,희주,민숙</t>
    <phoneticPr fontId="3" type="noConversion"/>
  </si>
  <si>
    <t>운경,세은,도현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</si>
  <si>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</si>
  <si>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</si>
  <si>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</si>
  <si>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</si>
  <si>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(테스트)미니 파네토네 구웠습니다. (내용물35% 15개,25% 15개)</t>
    <phoneticPr fontId="3" type="noConversion"/>
  </si>
  <si>
    <t>보조포스에 쿠팡이츠 서버오류로 접속장애가 계속해서 나타나고있습니다.</t>
    <phoneticPr fontId="3" type="noConversion"/>
  </si>
  <si>
    <t>ㄴ전화문의 하였으나 명확한 답변이 없어 월요일에 다시 문의 예정입니다.</t>
    <phoneticPr fontId="3" type="noConversion"/>
  </si>
  <si>
    <t>미들(도현) : 식빵 2차발효 시 힘이 부족해 틀위로 많이 올라오지 못했고 오븐스프링도 약한 편 이었습니다.</t>
    <phoneticPr fontId="3" type="noConversion"/>
  </si>
  <si>
    <t>금일 실장님 통해 종이봉투 전달 받았습니다.</t>
    <phoneticPr fontId="3" type="noConversion"/>
  </si>
  <si>
    <t>마감(박용국) : 치아바타를 먹었을 때 누룽지와 같은 구수한 맛이 강했습니다. / 크로아상의 버터맛이 첫 입부터 느껴졌습니다.</t>
    <phoneticPr fontId="3" type="noConversion"/>
  </si>
  <si>
    <t>스콘이 어느 날엔 밀도가 가볍고, 또 어느 날엔 무겁기도 하다며 무거운게 취향이라는 손님이 계셨습니다.</t>
    <phoneticPr fontId="3" type="noConversion"/>
  </si>
  <si>
    <t>무화과호밀스틱이 배달 어플에는 왜 없는지 문의 들어왔습니다.</t>
    <phoneticPr fontId="3" type="noConversion"/>
  </si>
  <si>
    <t>여름 파네토네 시식 반응 좋았으며, 구매로 연결되었습니다. / 깜빠뉴가 4시에 조기 품절되었습니다.</t>
    <phoneticPr fontId="3" type="noConversion"/>
  </si>
  <si>
    <t>2026년 6월 7일 (일요일)</t>
    <phoneticPr fontId="3" type="noConversion"/>
  </si>
  <si>
    <t>여의도</t>
    <phoneticPr fontId="3" type="noConversion"/>
  </si>
  <si>
    <t>김윤희</t>
    <phoneticPr fontId="3" type="noConversion"/>
  </si>
  <si>
    <t>흐림</t>
    <phoneticPr fontId="3" type="noConversion"/>
  </si>
  <si>
    <t>24</t>
    <phoneticPr fontId="3" type="noConversion"/>
  </si>
  <si>
    <t xml:space="preserve">김윤희(오픈) : 바게트 껍질이 조금 두껍고, 내상이 약간 뭉쳐있었습니다. 버터의 풍미는 좋았습니다. </t>
    <phoneticPr fontId="3" type="noConversion"/>
  </si>
  <si>
    <t xml:space="preserve">무화과 럼에 담궜습니다. </t>
    <phoneticPr fontId="3" type="noConversion"/>
  </si>
  <si>
    <t xml:space="preserve">심팩홀딩스 납품 있습니다. </t>
    <phoneticPr fontId="3" type="noConversion"/>
  </si>
  <si>
    <t>윤경,도현,세은</t>
    <phoneticPr fontId="3" type="noConversion"/>
  </si>
  <si>
    <t>윤희</t>
    <phoneticPr fontId="3" type="noConversion"/>
  </si>
  <si>
    <t>민숙</t>
    <phoneticPr fontId="3" type="noConversion"/>
  </si>
  <si>
    <t>용국</t>
    <phoneticPr fontId="3" type="noConversion"/>
  </si>
  <si>
    <t>용국</t>
    <phoneticPr fontId="3" type="noConversion"/>
  </si>
  <si>
    <t xml:space="preserve">도우컨 날개 닦았습니다. </t>
    <phoneticPr fontId="3" type="noConversion"/>
  </si>
  <si>
    <t>23</t>
    <phoneticPr fontId="3" type="noConversion"/>
  </si>
  <si>
    <t>;</t>
    <phoneticPr fontId="3" type="noConversion"/>
  </si>
  <si>
    <t>정희주(미들) : 치아바타 분할시 힘이 약해 구워져 나왔을때 오븐스프링이 조금 부족했습니다.</t>
    <phoneticPr fontId="3" type="noConversion"/>
  </si>
  <si>
    <t>크러스트는 얇았지만 기공이 충분히 열리지 않았습니다.</t>
    <phoneticPr fontId="3" type="noConversion"/>
  </si>
  <si>
    <t>노란반죽통 세척 했습니다.</t>
    <phoneticPr fontId="3" type="noConversion"/>
  </si>
  <si>
    <t>블랙올리브 구웠습니다.</t>
    <phoneticPr fontId="3" type="noConversion"/>
  </si>
  <si>
    <t>치아바타 빵을 샌드위치용으로 컷팅 요구 손님분 있었습니다.</t>
    <phoneticPr fontId="3" type="noConversion"/>
  </si>
  <si>
    <t>식빵 컷팅시 내상 기공이 있어 선별하여 판매 했습니다.</t>
    <phoneticPr fontId="3" type="noConversion"/>
  </si>
  <si>
    <t>서민숙(마감)  : 식빵 윗쪽에 큰내상 기공이 많았습니다.</t>
    <phoneticPr fontId="3" type="noConversion"/>
  </si>
  <si>
    <t>매장 전화 안내 멘트에 일요일 휴무일이라고 나오다고 하신 손님분 있었습니다.</t>
    <phoneticPr fontId="3" type="noConversion"/>
  </si>
  <si>
    <t>바질치킨샌드위치 찾는 손님분께 한정판매 였다고 안내 했습니다.</t>
    <phoneticPr fontId="3" type="noConversion"/>
  </si>
  <si>
    <t>호밀빵 판매: 3개, (H) 5개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</si>
  <si>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</si>
  <si>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</si>
  <si>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</si>
  <si>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26</t>
    <phoneticPr fontId="3" type="noConversion"/>
  </si>
  <si>
    <t>24</t>
    <phoneticPr fontId="3" type="noConversion"/>
  </si>
  <si>
    <t>윤경,도현,세은</t>
    <phoneticPr fontId="3" type="noConversion"/>
  </si>
  <si>
    <t>희주,민숙,용국</t>
    <phoneticPr fontId="3" type="noConversion"/>
  </si>
  <si>
    <t>윤희</t>
    <phoneticPr fontId="3" type="noConversion"/>
  </si>
  <si>
    <t>민숙</t>
    <phoneticPr fontId="3" type="noConversion"/>
  </si>
  <si>
    <t>용국</t>
    <phoneticPr fontId="3" type="noConversion"/>
  </si>
  <si>
    <t>용국</t>
    <phoneticPr fontId="3" type="noConversion"/>
  </si>
  <si>
    <t>심팩홀딩스 납품 있습니다.</t>
    <phoneticPr fontId="3" type="noConversion"/>
  </si>
  <si>
    <t xml:space="preserve">김윤희(오픈) : 바게트 내상 균일하게 잘 나왔고, 버터의 풍미와 끝에 단맛이 잘 느껴졌으나, 껍질이 약간 두꺼웠습니다. </t>
    <phoneticPr fontId="3" type="noConversion"/>
  </si>
  <si>
    <t xml:space="preserve">정희주(미들) : 치아바타 내상 촉촉하고 오일 풍미 잘 느껴졌습니다. </t>
    <phoneticPr fontId="3" type="noConversion"/>
  </si>
  <si>
    <t>박용국(마감) : 스콘이 어제 보단 포슬포슬한 느낌을 받았지만 높이가 낮게 나왔습니다.</t>
    <phoneticPr fontId="3" type="noConversion"/>
  </si>
  <si>
    <t>호밀빵 판매: 2개, (H) 2개</t>
    <phoneticPr fontId="3" type="noConversion"/>
  </si>
  <si>
    <t>호밀빵 판매: 3개, (H) 9개, 시식 0.5개, 재고 1개</t>
    <phoneticPr fontId="3" type="noConversion"/>
  </si>
  <si>
    <t xml:space="preserve">마감후 남은 식빵 약국,하겐다즈,2층 남도고깃집 드렸습니다. </t>
    <phoneticPr fontId="3" type="noConversion"/>
  </si>
  <si>
    <t>마감시간에 찾아 오시는 손님분들 응대 해드렸습니다.</t>
    <phoneticPr fontId="3" type="noConversion"/>
  </si>
  <si>
    <t>버터 브레첼 구입 많았습니다.</t>
    <phoneticPr fontId="3" type="noConversion"/>
  </si>
  <si>
    <t>빵 컷팅 원하시는 손님분들 많았습니다.</t>
    <phoneticPr fontId="3" type="noConversion"/>
  </si>
  <si>
    <t>서민숙(마감) : 깜빠뉴 발효 기공 모양 맛 풍미 좋았습니다.</t>
    <phoneticPr fontId="3" type="noConversion"/>
  </si>
  <si>
    <t>쇼콜라오렌지 3개 판매</t>
    <phoneticPr fontId="3" type="noConversion"/>
  </si>
  <si>
    <t>2026년 6월 9일 (화요일)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</si>
  <si>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</si>
  <si>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</si>
  <si>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</si>
  <si>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27</t>
    <phoneticPr fontId="3" type="noConversion"/>
  </si>
  <si>
    <t>24</t>
    <phoneticPr fontId="3" type="noConversion"/>
  </si>
  <si>
    <t xml:space="preserve">심팩홀딩스 납품 있습니다. </t>
    <phoneticPr fontId="3" type="noConversion"/>
  </si>
  <si>
    <t>희주,민숙,용국</t>
    <phoneticPr fontId="3" type="noConversion"/>
  </si>
  <si>
    <t>희주,민숙</t>
    <phoneticPr fontId="3" type="noConversion"/>
  </si>
  <si>
    <t>윤희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</si>
  <si>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</si>
  <si>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</si>
  <si>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</si>
  <si>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 xml:space="preserve">김윤희(오픈) : 당일 치아바타 반죽의 힘이 조금 셌고, 약간 덜 풀린듯한 느낌이었습니다. </t>
    <phoneticPr fontId="3" type="noConversion"/>
  </si>
  <si>
    <t>김도현(오픈) : 냉장 바게트 2차 발효가 살짝 많은 느낌으로 구워져 나온뒤 퍼진느낌이 있었습니다.</t>
    <phoneticPr fontId="3" type="noConversion"/>
  </si>
  <si>
    <t>작업중간 마다 바닥 청소 꾸준하게 진행하고 있습니다.</t>
    <phoneticPr fontId="3" type="noConversion"/>
  </si>
  <si>
    <t>건물 주변 유동인구는 적은 편이나 대량으로 빵 구매하시는 손님 많은 편 입니다.</t>
    <phoneticPr fontId="3" type="noConversion"/>
  </si>
  <si>
    <t>심팩홀딩스 납품 완료 하였습니다.</t>
    <phoneticPr fontId="3" type="noConversion"/>
  </si>
  <si>
    <t xml:space="preserve">김세은(마감) : 스콘 분할할때 결 잘 살아있었고, 구워져 나온 뒤에도 모양 잘 유지 되게끔 나왔습니다. </t>
    <phoneticPr fontId="3" type="noConversion"/>
  </si>
  <si>
    <t>호밀빵 판매: 5개, (H) 6개/ 호밀쇼콜라오렌지 판매: 8개</t>
    <phoneticPr fontId="3" type="noConversion"/>
  </si>
  <si>
    <t>대량구매 예약 손님께 용도를 여쭈었더니 회의 때 간식 및 학원 선생님 간식이라고 하셨습니다.</t>
    <phoneticPr fontId="3" type="noConversion"/>
  </si>
  <si>
    <t>깜빠뉴 4시 조기품절, 브라운바게트 2시 30분 조기품절되었습니다.</t>
    <phoneticPr fontId="3" type="noConversion"/>
  </si>
  <si>
    <t>2026 년 6 월 10 일 ( 수요일)</t>
    <phoneticPr fontId="3" type="noConversion"/>
  </si>
  <si>
    <t>김도현</t>
    <phoneticPr fontId="3" type="noConversion"/>
  </si>
  <si>
    <t>흐림</t>
    <phoneticPr fontId="3" type="noConversion"/>
  </si>
  <si>
    <t>25</t>
    <phoneticPr fontId="3" type="noConversion"/>
  </si>
  <si>
    <t>23.8</t>
    <phoneticPr fontId="3" type="noConversion"/>
  </si>
  <si>
    <t>오븐쪽 천장형 에어컨에서 물이 떨어져 업체 문의 하였고 
에어컨 안쪽 결로 현상때문인것 같다 하여 일단 송풍으로 사용해본뒤 다시 연락드리기로 하였습니다.</t>
    <phoneticPr fontId="3" type="noConversion"/>
  </si>
  <si>
    <t>매장 내 거미줄 제거 완료 하였습니다.</t>
    <phoneticPr fontId="3" type="noConversion"/>
  </si>
  <si>
    <t>심팩 납품 완료 하였습니다.</t>
    <phoneticPr fontId="3" type="noConversion"/>
  </si>
  <si>
    <t>희주,민숙</t>
    <phoneticPr fontId="3" type="noConversion"/>
  </si>
  <si>
    <t>도현,세은</t>
    <phoneticPr fontId="3" type="noConversion"/>
  </si>
  <si>
    <t>내일 심팩 납품 준비 완료하였습니다.</t>
    <phoneticPr fontId="3" type="noConversion"/>
  </si>
  <si>
    <t xml:space="preserve">블랙올리브 구웠습니다. </t>
    <phoneticPr fontId="3" type="noConversion"/>
  </si>
  <si>
    <t xml:space="preserve">김윤희(오픈) : 당일 치아바타 발효가 약간 많았으나, 오일의 풍미 나쁘지 않았고 내상 촉촉하였습니다. </t>
    <phoneticPr fontId="3" type="noConversion"/>
  </si>
  <si>
    <t>여의도</t>
    <phoneticPr fontId="3" type="noConversion"/>
  </si>
  <si>
    <t>김도현(오픈) : 금일 전체적으로 발효가 빠른느낌으로 실내온도,도우컨온도 조절 필요해 보입니다.</t>
    <phoneticPr fontId="3" type="noConversion"/>
  </si>
  <si>
    <t>박용국(미들) : 브레첼 성형을 배웠는데 성형 속도가 느려 브레첼이 평소에 비해 발효된 모양으로 구워져 나왔습니다.</t>
    <phoneticPr fontId="3" type="noConversion"/>
  </si>
  <si>
    <t>화이트바게트 1시, 브라운바게트 3시, 깜빠뉴 4시, 치아바타 5시 조기품절되었습니다.</t>
    <phoneticPr fontId="3" type="noConversion"/>
  </si>
  <si>
    <t>무화과호밀스틱 시식 후 대부분 구매로 연결되었습니다.</t>
    <phoneticPr fontId="3" type="noConversion"/>
  </si>
  <si>
    <t>통곡물로 만든 빵 찾으셨습니다.</t>
    <phoneticPr fontId="3" type="noConversion"/>
  </si>
  <si>
    <t xml:space="preserve">박텔 오븐 청소 완료 하였습니다. </t>
    <phoneticPr fontId="3" type="noConversion"/>
  </si>
  <si>
    <t xml:space="preserve">김세은(마감) : 스콘 식감이 빵 같은 느낌이 있었습니다. </t>
    <phoneticPr fontId="3" type="noConversion"/>
  </si>
  <si>
    <t>윤희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</si>
  <si>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</si>
  <si>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</si>
  <si>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</si>
  <si>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호밀빵 판매: 6개, (H) 4개 호밀쇼콜라오렌지 판매: 5개</t>
    <phoneticPr fontId="3" type="noConversion"/>
  </si>
  <si>
    <t>2026년 6월 11일 (목요일)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</si>
  <si>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</si>
  <si>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</si>
  <si>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</si>
  <si>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26</t>
    <phoneticPr fontId="3" type="noConversion"/>
  </si>
  <si>
    <t>24</t>
    <phoneticPr fontId="3" type="noConversion"/>
  </si>
  <si>
    <t xml:space="preserve">심팩홀딩스 납품 있습니다. </t>
    <phoneticPr fontId="3" type="noConversion"/>
  </si>
  <si>
    <t>도현,세은</t>
    <phoneticPr fontId="3" type="noConversion"/>
  </si>
  <si>
    <t>윤희,용국</t>
    <phoneticPr fontId="3" type="noConversion"/>
  </si>
  <si>
    <t>윤희</t>
    <phoneticPr fontId="3" type="noConversion"/>
  </si>
  <si>
    <t>윤경</t>
    <phoneticPr fontId="3" type="noConversion"/>
  </si>
  <si>
    <t>민숙</t>
    <phoneticPr fontId="3" type="noConversion"/>
  </si>
  <si>
    <t>민숙</t>
    <phoneticPr fontId="3" type="noConversion"/>
  </si>
  <si>
    <t xml:space="preserve">호두 구웠습니다. </t>
    <phoneticPr fontId="3" type="noConversion"/>
  </si>
  <si>
    <t xml:space="preserve">김윤희(오픈) : 바게트 내상 괜찮았고, 버터의 풍미도 잘 느껴졌습니다. / 치아바타 오일의 풍미 괜찮았습니다. </t>
    <phoneticPr fontId="3" type="noConversion"/>
  </si>
  <si>
    <t>정희주(미들) : 브레첼 껍질 바삭하고 맛 좋았지만 소다물 맛이 느껴졌습니다.</t>
    <phoneticPr fontId="3" type="noConversion"/>
  </si>
  <si>
    <t>박용국(미들) : 브레첼 성형을 하는데 있어 일정한 두께로 되어야하는데 불규칙하게 나와 연습이 필요할 것 같습니다.</t>
    <phoneticPr fontId="3" type="noConversion"/>
  </si>
  <si>
    <t>호밀빵 판매: 3개, (h) 7개 / 호밀쇼콜라오렌지 판매: 1개</t>
    <phoneticPr fontId="3" type="noConversion"/>
  </si>
  <si>
    <t>전주에서 오신 손님 계셨습니다. 전주에는 이런 빵집이 없다며 연희점에서 마포로 배달시킨 후에 전주로 챙겨간다고 하셨습니다. 스마트스토어 안내해드렸습니다.</t>
    <phoneticPr fontId="3" type="noConversion"/>
  </si>
  <si>
    <t>허브빵, 화이트 치아바타 3시, 치아바타 3시 30분 조기 품절되었습니다./4시 이후 치아바타 문의 많았으나 재고가 없었습니다.</t>
    <phoneticPr fontId="3" type="noConversion"/>
  </si>
  <si>
    <t>큰 빵에 대해 컷팅 요청 많았습니다./ 식빵 시식 반응 좋았습니다.</t>
    <phoneticPr fontId="3" type="noConversion"/>
  </si>
  <si>
    <t>대표님께서 호두,올리브오일 전달 했습니다.</t>
    <phoneticPr fontId="3" type="noConversion"/>
  </si>
  <si>
    <t>서민숙(마감) : 식빵 윗색깔이 진하게 나오고 불규칙한 기공으로  선별하여 판매 했습니다.</t>
    <phoneticPr fontId="3" type="noConversion"/>
  </si>
  <si>
    <t>2026 년  6월  12일 ( 금요일)</t>
    <phoneticPr fontId="3" type="noConversion"/>
  </si>
  <si>
    <t>정희주</t>
    <phoneticPr fontId="3" type="noConversion"/>
  </si>
  <si>
    <t>여의도</t>
    <phoneticPr fontId="3" type="noConversion"/>
  </si>
  <si>
    <t>23</t>
    <phoneticPr fontId="3" type="noConversion"/>
  </si>
  <si>
    <t>26</t>
    <phoneticPr fontId="3" type="noConversion"/>
  </si>
  <si>
    <t>맑음</t>
    <phoneticPr fontId="3" type="noConversion"/>
  </si>
  <si>
    <t>윤희,용국</t>
    <phoneticPr fontId="3" type="noConversion"/>
  </si>
  <si>
    <t>윤희,용국,민숙</t>
    <phoneticPr fontId="3" type="noConversion"/>
  </si>
  <si>
    <t>도현,희주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</si>
  <si>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</si>
  <si>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</si>
  <si>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</si>
  <si>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 xml:space="preserve">오픈(정희주) : 치아바타 내상 촉촉했지만 완전히 열린 느낌이 부족했습니다. </t>
    <phoneticPr fontId="3" type="noConversion"/>
  </si>
  <si>
    <t>호밀빵 판매: 3개, (H) 9개</t>
    <phoneticPr fontId="3" type="noConversion"/>
  </si>
  <si>
    <t>월드컵 축구경기 11시에 있는 날이었고, 경기 시작 전후로 상가 내 유동인구가 적었습니다./구름빵이 없었던 오후 2시까지 구매문의 6건 있었습니다.</t>
    <phoneticPr fontId="3" type="noConversion"/>
  </si>
  <si>
    <t>무화과호밀스틱 1:30에 조기품절되었습니다./ 축구 경기 시작 전후로 샌드위치 수요 높았습니다.</t>
    <phoneticPr fontId="3" type="noConversion"/>
  </si>
  <si>
    <t>오픈(김도현) : 바게트 색이 탁한 느낌입니다.
(반죽힘이 강하고 마르는 느낌이 들어 물량 조금씩 늘리면 좋을것 같습니다.)</t>
    <phoneticPr fontId="3" type="noConversion"/>
  </si>
  <si>
    <t>2026 년  6월  13일 ( 토요일)</t>
    <phoneticPr fontId="3" type="noConversion"/>
  </si>
  <si>
    <t>여의도</t>
    <phoneticPr fontId="3" type="noConversion"/>
  </si>
  <si>
    <t>정희주</t>
    <phoneticPr fontId="3" type="noConversion"/>
  </si>
  <si>
    <t>흐림</t>
    <phoneticPr fontId="3" type="noConversion"/>
  </si>
  <si>
    <t>30</t>
    <phoneticPr fontId="3" type="noConversion"/>
  </si>
  <si>
    <t>24.5</t>
    <phoneticPr fontId="3" type="noConversion"/>
  </si>
  <si>
    <t>윤희,용국,민숙</t>
    <phoneticPr fontId="3" type="noConversion"/>
  </si>
  <si>
    <t>도현,희주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</si>
  <si>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</si>
  <si>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</si>
  <si>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</si>
  <si>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오픈(정희주) :치아바타 내상 촉촉하고 오일 풍미 잘 느껴졌습니다. 바게트 내상은 좋았지만 단맛이 부족했습니다.</t>
    <phoneticPr fontId="3" type="noConversion"/>
  </si>
  <si>
    <t>미들(김도현) : 냉장바게트 2차발효 실온에서 충분히 보고 구워 내상이 잘 열려있었으나
 단맛의 풍미보다는 짠맛이 강한느낌이었습니다.(1차발효 충분히 봐도 좋을것 같습니다.)</t>
    <phoneticPr fontId="3" type="noConversion"/>
  </si>
  <si>
    <t>금일 여의도 매장근처에서 월드컵 생중계로(11:00) 인해 여의도역 근처에는 유동인구 많았으나 
매장에는 평소 점심시간보다 손님방문 저조하였습니다.</t>
    <phoneticPr fontId="3" type="noConversion"/>
  </si>
  <si>
    <t xml:space="preserve">마감(김세은) : 치아바타 분할 할때 힘 적당히 잘 풀려있었습니다. 발효도 잘 된 편이였습니다. </t>
    <phoneticPr fontId="3" type="noConversion"/>
  </si>
  <si>
    <t>5시에 전 품목 품절되었습니다.</t>
    <phoneticPr fontId="3" type="noConversion"/>
  </si>
  <si>
    <t xml:space="preserve">블랙올리브 대량구매 및 수요가 높아 3시에 조기품절되었습니다. </t>
    <phoneticPr fontId="3" type="noConversion"/>
  </si>
  <si>
    <t>2-3시 손님 방문 몰렸습니다.</t>
    <phoneticPr fontId="3" type="noConversion"/>
  </si>
  <si>
    <t>2026 년 6 월 14 일 ( 일요일)</t>
    <phoneticPr fontId="3" type="noConversion"/>
  </si>
  <si>
    <t>여의도</t>
    <phoneticPr fontId="3" type="noConversion"/>
  </si>
  <si>
    <t>서민숙</t>
    <phoneticPr fontId="3" type="noConversion"/>
  </si>
  <si>
    <t>박용국</t>
    <phoneticPr fontId="3" type="noConversion"/>
  </si>
  <si>
    <t>박용국</t>
    <phoneticPr fontId="3" type="noConversion"/>
  </si>
  <si>
    <t>윤희,윤경,희주</t>
    <phoneticPr fontId="3" type="noConversion"/>
  </si>
  <si>
    <t>호밀빵 판매: 4개, (H) 3개</t>
    <phoneticPr fontId="3" type="noConversion"/>
  </si>
  <si>
    <t>마감(서민숙) : 깜빠뉴 맛 풍미 기공 좋았습니다. 스콘 반죽 물량 280g으로 생산 했습니다.</t>
    <phoneticPr fontId="3" type="noConversion"/>
  </si>
  <si>
    <t>오픈(김도현) : 냉장 바게트 반죽 발효가 많이 되어있어 전체적인 작업시간 줄여 작업하였습니다.
(펀치,벤치타임,2차발효 평소보다 10분 줄여보았습니다./공기는 잘 차있었으나 내상이 말라있었습니다.)</t>
    <phoneticPr fontId="3" type="noConversion"/>
  </si>
  <si>
    <t>호밀빵 덜 탄 부분으로 달라는 요청 있었습니다./ 컴플레인*: 금일 식빵 하프 구매하신 손님이 종이봉투에 식빵을 넣어줬다는 이유로 불만을 드러내셨습니다. 같이 구매했던 무화과호밀스틱까지 환불하여 보상받길 집요하게 원하셨고, 매장 내 다른 손님도 계셔서 상황정리를 위해 빠르게 환불처리 해드렸습니다.</t>
    <phoneticPr fontId="3" type="noConversion"/>
  </si>
  <si>
    <t>금일 르한스 호밀빵 33개 생산하였습니다.(나머지 내일 생산)</t>
    <phoneticPr fontId="3" type="noConversion"/>
  </si>
  <si>
    <t>르한스 33개 납품 퀵 배송 예정입니다.</t>
    <phoneticPr fontId="3" type="noConversion"/>
  </si>
  <si>
    <t>여름파네토네 95개 생산 하였습니다.</t>
    <phoneticPr fontId="3" type="noConversion"/>
  </si>
  <si>
    <t>24</t>
    <phoneticPr fontId="3" type="noConversion"/>
  </si>
  <si>
    <t>김세은</t>
    <phoneticPr fontId="3" type="noConversion"/>
  </si>
  <si>
    <t>29</t>
    <phoneticPr fontId="3" type="noConversion"/>
  </si>
  <si>
    <t>흐림</t>
    <phoneticPr fontId="3" type="noConversion"/>
  </si>
  <si>
    <t xml:space="preserve">도우컨 날개 분리하여 청소하였습니다. </t>
    <phoneticPr fontId="3" type="noConversion"/>
  </si>
  <si>
    <t xml:space="preserve">파브리 깜빠뉴 40개 납품 완료 하였습니다. </t>
    <phoneticPr fontId="3" type="noConversion"/>
  </si>
  <si>
    <t xml:space="preserve">미들(김세은) : 크랜베리스콘 버터 풍미도 잘 나고 식감도 좋았습니다. </t>
    <phoneticPr fontId="3" type="noConversion"/>
  </si>
  <si>
    <t>마감(서민숙) : 호밀빵 전체적으로 잘 나왔습니다.</t>
    <phoneticPr fontId="3" type="noConversion"/>
  </si>
  <si>
    <t>윤희,윤경,희주</t>
    <phoneticPr fontId="3" type="noConversion"/>
  </si>
  <si>
    <t>세은,윤경,희주</t>
    <phoneticPr fontId="3" type="noConversion"/>
  </si>
  <si>
    <t>상품권 3만원 사용 손님 있었습니다.</t>
    <phoneticPr fontId="3" type="noConversion"/>
  </si>
  <si>
    <t>대량 예약손님분들 있었습니다. (식빵,깜빠뉴,바게트,치아바타)</t>
    <phoneticPr fontId="3" type="noConversion"/>
  </si>
  <si>
    <t>오픈시간부터 꾸준하게 방문손님 있었으며 갓나온 빵으로 시식 해드렸습니다.</t>
    <phoneticPr fontId="3" type="noConversion"/>
  </si>
  <si>
    <t>성형도구 세척 했습니다.(스크레퍼,올리브성형봉)</t>
    <phoneticPr fontId="3" type="noConversion"/>
  </si>
  <si>
    <t>노란 반죽통 세척 했습니다.</t>
    <phoneticPr fontId="3" type="noConversion"/>
  </si>
  <si>
    <t>오픈(김도현) : 밀가루 3월달로 변경되면서 반죽텐션이 강해진느낌입니다. 물량 조금씩 늘리고 있습니다.</t>
    <phoneticPr fontId="3" type="noConversion"/>
  </si>
  <si>
    <t>윤경,희주,세은</t>
    <phoneticPr fontId="3" type="noConversion"/>
  </si>
  <si>
    <t>희주,도현</t>
    <phoneticPr fontId="3" type="noConversion"/>
  </si>
  <si>
    <t>김도현</t>
    <phoneticPr fontId="3" type="noConversion"/>
  </si>
  <si>
    <t>서민숙</t>
    <phoneticPr fontId="3" type="noConversion"/>
  </si>
  <si>
    <t>박용국</t>
    <phoneticPr fontId="3" type="noConversion"/>
  </si>
  <si>
    <t>박용국</t>
    <phoneticPr fontId="3" type="noConversion"/>
  </si>
  <si>
    <t>에어컨에서 물떨어지는 현상 있어 송풍으로 말려준뒤 사용하고 있습니다.</t>
    <phoneticPr fontId="3" type="noConversion"/>
  </si>
  <si>
    <t>ㄴ 물떨어지는 현상 계속 되면 업체에 다시 연락드리기로 했습니다.</t>
    <phoneticPr fontId="3" type="noConversion"/>
  </si>
  <si>
    <t xml:space="preserve">블랙올리브 구웠습니다. </t>
    <phoneticPr fontId="3" type="noConversion"/>
  </si>
  <si>
    <t>르한스 호밀빵17개 납품</t>
    <phoneticPr fontId="3" type="noConversion"/>
  </si>
  <si>
    <t xml:space="preserve">미들(김윤희) : 치아바타 볼륨감과 크기 좋았고, 오일의 풍미가 잘 느껴졌습니다. 내상도 촉촉하였습니다. </t>
    <phoneticPr fontId="3" type="noConversion"/>
  </si>
  <si>
    <t>2026년 6월 15일 (월요일)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</si>
  <si>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</si>
  <si>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</si>
  <si>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</si>
  <si>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30</t>
    <phoneticPr fontId="3" type="noConversion"/>
  </si>
  <si>
    <t>24</t>
    <phoneticPr fontId="3" type="noConversion"/>
  </si>
  <si>
    <t>호밀빵 판매: 2개, (H) 1개</t>
    <phoneticPr fontId="3" type="noConversion"/>
  </si>
  <si>
    <t>호밀빵 판매: 6개, (H) 1개</t>
    <phoneticPr fontId="3" type="noConversion"/>
  </si>
  <si>
    <t>여름파네토네 시식 후 반응 좋습니다./바로 구매로 이어지는 경우 많았습니다. 시식후 맛좋다고 칭찬했습니다.</t>
    <phoneticPr fontId="3" type="noConversion"/>
  </si>
  <si>
    <t>점심시간에 치아바타 1개씩 구매 손님분들 많았습니다.</t>
    <phoneticPr fontId="3" type="noConversion"/>
  </si>
  <si>
    <t>마감(서민숙) : 바게트 맛 풍미 기공 좋았습니다.</t>
    <phoneticPr fontId="3" type="noConversion"/>
  </si>
  <si>
    <t>연희동에서 시식후 맛좋았다고 블랙올리브식빵 구입원하시는 손님분 두명 있었습니다.</t>
    <phoneticPr fontId="3" type="noConversion"/>
  </si>
  <si>
    <t>마감후 남은빵 건물 청소 이모님  선물 드렸습니다.</t>
    <phoneticPr fontId="3" type="noConversion"/>
  </si>
  <si>
    <t>김세은</t>
    <phoneticPr fontId="3" type="noConversion"/>
  </si>
  <si>
    <t>2026 년  6월  16일 ( 화요일)</t>
    <phoneticPr fontId="3" type="noConversion"/>
  </si>
  <si>
    <t>여의도</t>
    <phoneticPr fontId="3" type="noConversion"/>
  </si>
  <si>
    <t>25</t>
    <phoneticPr fontId="3" type="noConversion"/>
  </si>
  <si>
    <t>31</t>
    <phoneticPr fontId="3" type="noConversion"/>
  </si>
  <si>
    <t>흐림</t>
    <phoneticPr fontId="3" type="noConversion"/>
  </si>
  <si>
    <t xml:space="preserve">김세은(오픈) : 바게트 껍질이 두꺼운 편이였고, 단맛이 많이 느껴지지 않았습니다. </t>
    <phoneticPr fontId="3" type="noConversion"/>
  </si>
  <si>
    <t xml:space="preserve">호밀비트 반죽 하였습니다. </t>
    <phoneticPr fontId="3" type="noConversion"/>
  </si>
  <si>
    <t>도현,희주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</si>
  <si>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</si>
  <si>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</si>
  <si>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</si>
  <si>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</si>
  <si>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 xml:space="preserve">르한스 호밀빵 17개 납품 완료하였습니다. </t>
    <phoneticPr fontId="3" type="noConversion"/>
  </si>
  <si>
    <t>박용국(마감) : 크로아상을 먹었을때 버터의 풍미는 느껴졌으나 바삭함이 평소 보다 덜 했던거 같습니다.</t>
    <phoneticPr fontId="3" type="noConversion"/>
  </si>
  <si>
    <t>버터브레첼 버터를 많이 넣어달라는 요청 잦았습니다./ 버터브레첼 소금 많이 붙은걸로 달라는 요청 있습니다.</t>
    <phoneticPr fontId="3" type="noConversion"/>
  </si>
  <si>
    <t>무화과호밀스틱 3시 조기품절되었씁니다./ 스콘에 곁들일 클로티드크림이나 잼이 있는지 문의 있었습니다./ 호밀빵은 매번 모양이 다른거냐고 물어보시는 손님 계셨습니다.</t>
    <phoneticPr fontId="3" type="noConversion"/>
  </si>
  <si>
    <t>2026 년  6월  17일 ( 수요일)</t>
    <phoneticPr fontId="3" type="noConversion"/>
  </si>
  <si>
    <t>여의도</t>
    <phoneticPr fontId="3" type="noConversion"/>
  </si>
  <si>
    <t>김세은</t>
    <phoneticPr fontId="3" type="noConversion"/>
  </si>
  <si>
    <t>흐림</t>
    <phoneticPr fontId="3" type="noConversion"/>
  </si>
  <si>
    <t>30</t>
    <phoneticPr fontId="3" type="noConversion"/>
  </si>
  <si>
    <t>25</t>
    <phoneticPr fontId="3" type="noConversion"/>
  </si>
  <si>
    <t xml:space="preserve">김세은(오픈) : 바게트 어제보다 덜 질겼고, 끝에 단맛은 나는 편이였으나, 목넘김이 좋은 편은 아니였습니다. </t>
    <phoneticPr fontId="3" type="noConversion"/>
  </si>
  <si>
    <t>도현,희주</t>
    <phoneticPr fontId="3" type="noConversion"/>
  </si>
  <si>
    <t>민숙,용국,윤희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</si>
  <si>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</si>
  <si>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</si>
  <si>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</si>
  <si>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</si>
  <si>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심팩납품완료했습니다.</t>
    <phoneticPr fontId="3" type="noConversion"/>
  </si>
  <si>
    <t xml:space="preserve">심팩 납품 있습니다. </t>
    <phoneticPr fontId="3" type="noConversion"/>
  </si>
  <si>
    <t xml:space="preserve"> </t>
    <phoneticPr fontId="3" type="noConversion"/>
  </si>
  <si>
    <t xml:space="preserve">김윤희(미들) : 치아바타 내상이 조금 건조한편입니다. 껍질 얇고 맛은 좋으나 오일의 풍미가 덜 한편이었습니다. </t>
    <phoneticPr fontId="3" type="noConversion"/>
  </si>
  <si>
    <t>무화과 럼에 담궜습니다. 무화과 세절손질 했습니다.</t>
    <phoneticPr fontId="3" type="noConversion"/>
  </si>
  <si>
    <t xml:space="preserve">크로와사용 판 버터 만들었습니다. </t>
    <phoneticPr fontId="3" type="noConversion"/>
  </si>
  <si>
    <t>거미줄제거 했습니다.</t>
    <phoneticPr fontId="3" type="noConversion"/>
  </si>
  <si>
    <t xml:space="preserve">서민숙(미들) : 바게트,깜빠뉴 성형 작업 했습니다. 기공 내상 괜찮았고 손실 없었습니다. </t>
    <phoneticPr fontId="3" type="noConversion"/>
  </si>
  <si>
    <t>호밀빵 판매: 5개, (H) 5개</t>
    <phoneticPr fontId="3" type="noConversion"/>
  </si>
  <si>
    <t>박용국(마감) : 스콘 버터맛이 잘 느껴졌고 식감이 겉은 바삭 속은 포슬포슬했습니다.</t>
    <phoneticPr fontId="3" type="noConversion"/>
  </si>
  <si>
    <t>호밀빵 판매:  2개, (H) 12개</t>
    <phoneticPr fontId="3" type="noConversion"/>
  </si>
  <si>
    <t>무화과호밀스틱 1시 30분, 깜빠뉴 2시, 뺑오쇼콜라 3시 조기품절 되었습니다.</t>
    <phoneticPr fontId="3" type="noConversion"/>
  </si>
  <si>
    <t>조각빵 홀사이즈 구매할 수 있는지 문의가 있었습니다. 계획은 없으나 말씀 드리겠다고 했습니다.</t>
    <phoneticPr fontId="3" type="noConversion"/>
  </si>
  <si>
    <t>더운날씨에 샌드위치 보관 우려로 구매하지 않는 손님 계셨습니다.</t>
    <phoneticPr fontId="3" type="noConversion"/>
  </si>
  <si>
    <t>2026 년  6월  18일 ( 목요일)</t>
    <phoneticPr fontId="3" type="noConversion"/>
  </si>
  <si>
    <t>여의도</t>
    <phoneticPr fontId="3" type="noConversion"/>
  </si>
  <si>
    <t>김세은</t>
    <phoneticPr fontId="3" type="noConversion"/>
  </si>
  <si>
    <t>30</t>
    <phoneticPr fontId="3" type="noConversion"/>
  </si>
  <si>
    <t>26</t>
    <phoneticPr fontId="3" type="noConversion"/>
  </si>
  <si>
    <t>흐림</t>
    <phoneticPr fontId="3" type="noConversion"/>
  </si>
  <si>
    <t xml:space="preserve">김세은(오픈) : 치아바타 내상도 좋고 목넘기도 좋았습니다. </t>
    <phoneticPr fontId="3" type="noConversion"/>
  </si>
  <si>
    <t xml:space="preserve">심팩 납품 완료 하였습니다. </t>
    <phoneticPr fontId="3" type="noConversion"/>
  </si>
  <si>
    <t xml:space="preserve">심팩 납품 있습니다. </t>
    <phoneticPr fontId="3" type="noConversion"/>
  </si>
  <si>
    <t xml:space="preserve">메밀 구웠습니다. </t>
    <phoneticPr fontId="3" type="noConversion"/>
  </si>
  <si>
    <t>민숙,용국,윤희</t>
    <phoneticPr fontId="3" type="noConversion"/>
  </si>
  <si>
    <t xml:space="preserve">민숙,용국 </t>
    <phoneticPr fontId="3" type="noConversion"/>
  </si>
  <si>
    <t xml:space="preserve">세은 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</si>
  <si>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</si>
  <si>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</si>
  <si>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</si>
  <si>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김도현(미들) : 바게트 트 2차발효 후 표면이 마른것같은 느낌이 들었고 볼륨감이 아쉬웠습니다.</t>
    <phoneticPr fontId="3" type="noConversion"/>
  </si>
  <si>
    <t>정희주(마감) : 스콘이 살짝 건조한 느낌이 들었지만 밀가루 풋내 안나고 맛 좋았습니다.</t>
    <phoneticPr fontId="3" type="noConversion"/>
  </si>
  <si>
    <t>호밀빵 판매: 6개 (H) 5개</t>
    <phoneticPr fontId="3" type="noConversion"/>
  </si>
  <si>
    <t>점심시간대 손님 방문 많았습니다./ 5시-7시 손님 꾸준히 오시고 줄을 섰습니다.</t>
    <phoneticPr fontId="3" type="noConversion"/>
  </si>
  <si>
    <t>2026년 6월 19일 (금요일)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</si>
  <si>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</si>
  <si>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</si>
  <si>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</si>
  <si>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34</t>
    <phoneticPr fontId="3" type="noConversion"/>
  </si>
  <si>
    <t>27</t>
    <phoneticPr fontId="3" type="noConversion"/>
  </si>
  <si>
    <t xml:space="preserve">블랙올리브, 호두 구웠습니다. </t>
    <phoneticPr fontId="3" type="noConversion"/>
  </si>
  <si>
    <t xml:space="preserve">여름파네토네 79개 생산하였습니다. </t>
    <phoneticPr fontId="3" type="noConversion"/>
  </si>
  <si>
    <t>크렌베리 소분</t>
    <phoneticPr fontId="3" type="noConversion"/>
  </si>
  <si>
    <t>민숙,용국</t>
    <phoneticPr fontId="3" type="noConversion"/>
  </si>
  <si>
    <t>윤희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</si>
  <si>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</si>
  <si>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</si>
  <si>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</si>
  <si>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 xml:space="preserve">김윤희(오픈) : 냉장바게트 껍질 얇고 맛도 좋았고, 버터의 풍미가 좋았습니다. </t>
    <phoneticPr fontId="3" type="noConversion"/>
  </si>
  <si>
    <t>정희주(미들) : 치아바타 크러스트 얇고 오일 풍미 잘 느껴졌습니다. 윗불 245로 구웠더니 구움색 적절했습니다.</t>
    <phoneticPr fontId="3" type="noConversion"/>
  </si>
  <si>
    <t xml:space="preserve">김세은(마감) : 식빵이 여러 개가 윗 봉우리가 구멍 나 있는 것들이 있었습니다. 힘이 센 것 같습니다. </t>
    <phoneticPr fontId="3" type="noConversion"/>
  </si>
  <si>
    <t>오픈 후 꾸준히 방문하시다가 1시 이후로 방문 잠시 뜸했으며, 4시~6시 40분까지 손님 꾸준히 오셨습니다.</t>
    <phoneticPr fontId="3" type="noConversion"/>
  </si>
  <si>
    <t>여름메밀빵 테스트 시식 반응 매우 좋았고 구매의사 밝히시는 손님께 출시날 연락드릴 연락처를 받아놓았습니다.</t>
    <phoneticPr fontId="3" type="noConversion"/>
  </si>
  <si>
    <t>바게트가 4:30 조기품절되었습니다.</t>
    <phoneticPr fontId="3" type="noConversion"/>
  </si>
  <si>
    <t>호밀빵 판매: 2개 (H) 11개</t>
    <phoneticPr fontId="3" type="noConversion"/>
  </si>
  <si>
    <t>윤경,세은,윤희</t>
    <phoneticPr fontId="3" type="noConversion"/>
  </si>
  <si>
    <t>윤경,세은,윤희</t>
    <phoneticPr fontId="3" type="noConversion"/>
  </si>
  <si>
    <t>2026 년 6 월 20 일 (토요일)</t>
    <phoneticPr fontId="3" type="noConversion"/>
  </si>
  <si>
    <t>여의도</t>
    <phoneticPr fontId="3" type="noConversion"/>
  </si>
  <si>
    <t>비</t>
    <phoneticPr fontId="3" type="noConversion"/>
  </si>
  <si>
    <t>오픈부터 식빵예약, 바게트 구입 방문 손님 많았습니다.</t>
    <phoneticPr fontId="3" type="noConversion"/>
  </si>
  <si>
    <t>김도현</t>
    <phoneticPr fontId="3" type="noConversion"/>
  </si>
  <si>
    <t>25.2</t>
    <phoneticPr fontId="3" type="noConversion"/>
  </si>
  <si>
    <t>22</t>
    <phoneticPr fontId="3" type="noConversion"/>
  </si>
  <si>
    <t>오픈(김도현) : 하루종일 비가와 실내가 습한느낌으로 반죽이 끈적이는 느낌이 들어 물량줄이고 
2단믹싱 충분히 돌렸습니다.(물량 줄이고 반죽 힘있게 쳤음에도 반죽 힘이 금방 풀렸습니다.)</t>
    <phoneticPr fontId="3" type="noConversion"/>
  </si>
  <si>
    <t>내일은 여의도점 대청소날입니다.(10:00~17:00 실시 예정)</t>
    <phoneticPr fontId="3" type="noConversion"/>
  </si>
  <si>
    <t>김세은</t>
    <phoneticPr fontId="3" type="noConversion"/>
  </si>
  <si>
    <t>치즈 치아바타 시식을 드렸는데 거의 대부분 맛있어하셨습니다. 할라피뇨에 불호는 없으셨고, 살짝 짜다 라는 평 있었습니다.</t>
    <phoneticPr fontId="3" type="noConversion"/>
  </si>
  <si>
    <t>호밀빵 컷팅 문의 많았습니다. 구매했떤 경험이 있는 손님이셨고, 컷팅이 어렵다 하셨습니다./ 여름철인데 지퍼백으로 밀봉해서 보관해도 괜찮은지 문의 있었습니다. 하루까지만 가능하고 그 이후는 냉동으로 안내드렸습니다.</t>
    <phoneticPr fontId="3" type="noConversion"/>
  </si>
  <si>
    <t xml:space="preserve">김윤희(미들) : 스콘 플레인과 크렌베리의 되기가 달라서 다른 식감이었습니다. 플레인이 질어서 빵 같은 식감이었습니다. </t>
    <phoneticPr fontId="3" type="noConversion"/>
  </si>
  <si>
    <t>미들(정희주) : 치아바타 실온실에서 발효 충분히 봤고 내상 잘 풀려있었습니다. 스콘 버터 풍미가 약했습니다.</t>
    <phoneticPr fontId="3" type="noConversion"/>
  </si>
  <si>
    <t>박용국(마감) :스콘을 먹었을 때 겉은 바삭하고 포슬포슬한 고소한 버터맛이 느껴졌습니다.</t>
    <phoneticPr fontId="3" type="noConversion"/>
  </si>
  <si>
    <t>호밀빵 판매:  3개  (H)  5개, 시식 (H) 1개</t>
    <phoneticPr fontId="3" type="noConversion"/>
  </si>
  <si>
    <t>크로와상용 판버터 만들었습니다.</t>
    <phoneticPr fontId="3" type="noConversion"/>
  </si>
  <si>
    <t>크랜베리 소분 했습니다.</t>
    <phoneticPr fontId="3" type="noConversion"/>
  </si>
  <si>
    <t>여름파네토네 시식해드리고 판매 많았습니다. 따뜻한빵 시식 했습니다.</t>
    <phoneticPr fontId="3" type="noConversion"/>
  </si>
  <si>
    <t>우사장님 블랙올리브빵 4개 전달했습니다.</t>
    <phoneticPr fontId="3" type="noConversion"/>
  </si>
  <si>
    <t>우사장님 블랙올리브 전달</t>
    <phoneticPr fontId="3" type="noConversion"/>
  </si>
  <si>
    <t xml:space="preserve"> </t>
    <phoneticPr fontId="3" type="noConversion"/>
  </si>
  <si>
    <t>식빵 1:00  바게트 2:30 조기품절되었습니다.</t>
    <phoneticPr fontId="3" type="noConversion"/>
  </si>
  <si>
    <t xml:space="preserve"> 마감 3시</t>
    <phoneticPr fontId="3" type="noConversion"/>
  </si>
  <si>
    <t>마감 3시 30분</t>
    <phoneticPr fontId="3" type="noConversion"/>
  </si>
  <si>
    <t>마감 5시</t>
    <phoneticPr fontId="3" type="noConversion"/>
  </si>
  <si>
    <t>마감 3시 30분</t>
    <phoneticPr fontId="3" type="noConversion"/>
  </si>
  <si>
    <t>2026년  6월 22 일 ( 월요일)</t>
    <phoneticPr fontId="3" type="noConversion"/>
  </si>
  <si>
    <t>김도현</t>
    <phoneticPr fontId="3" type="noConversion"/>
  </si>
  <si>
    <t>금일 크롸상,뺑오쇼콜라가 안나와 아몬드크로와상으로 대체하여 판매하였습니다.</t>
    <phoneticPr fontId="3" type="noConversion"/>
  </si>
  <si>
    <t>여의도</t>
    <phoneticPr fontId="3" type="noConversion"/>
  </si>
  <si>
    <t>26</t>
    <phoneticPr fontId="3" type="noConversion"/>
  </si>
  <si>
    <t>흐림</t>
    <phoneticPr fontId="3" type="noConversion"/>
  </si>
  <si>
    <t>25</t>
    <phoneticPr fontId="3" type="noConversion"/>
  </si>
  <si>
    <t>아몬드크로와상</t>
    <phoneticPr fontId="3" type="noConversion"/>
  </si>
  <si>
    <t xml:space="preserve">김세은(오픈) : 치아바타 기공도 촉촉하고 목넘김도 좋았습니다. </t>
    <phoneticPr fontId="3" type="noConversion"/>
  </si>
  <si>
    <t>윤경,민숙</t>
    <phoneticPr fontId="3" type="noConversion"/>
  </si>
  <si>
    <t>희주,도현</t>
    <phoneticPr fontId="3" type="noConversion"/>
  </si>
  <si>
    <t>세은</t>
    <phoneticPr fontId="3" type="noConversion"/>
  </si>
  <si>
    <t>희주</t>
    <phoneticPr fontId="3" type="noConversion"/>
  </si>
  <si>
    <t>용국</t>
    <phoneticPr fontId="3" type="noConversion"/>
  </si>
  <si>
    <t>용국</t>
    <phoneticPr fontId="3" type="noConversion"/>
  </si>
  <si>
    <t xml:space="preserve">심팩 납품 있습니다. </t>
    <phoneticPr fontId="3" type="noConversion"/>
  </si>
  <si>
    <t xml:space="preserve">심팩 납품 했습니다. </t>
    <phoneticPr fontId="3" type="noConversion"/>
  </si>
  <si>
    <t xml:space="preserve">김윤희(미들) : 바게트 내상도 균일하게 잘 나왔고, 껍질도 얇고 맛도 모두 좋았습니다. </t>
    <phoneticPr fontId="3" type="noConversion"/>
  </si>
  <si>
    <t>첫방문 손님분들께서 먼저 말씀해주셔서 시식 많이 도와드렸습니다.</t>
    <phoneticPr fontId="3" type="noConversion"/>
  </si>
  <si>
    <t>바게트 점심시간에 몰려서 빠르게 판매되었습니다.</t>
    <phoneticPr fontId="3" type="noConversion"/>
  </si>
  <si>
    <t>아몬드 크로와상 반응 좋았습니다.(판매완료)</t>
    <phoneticPr fontId="3" type="noConversion"/>
  </si>
  <si>
    <t>박용국(마감) : 허브빵을 먹었을 때 속이 촉촉하고 쫄깃한 식감 이었습니다.</t>
    <phoneticPr fontId="3" type="noConversion"/>
  </si>
  <si>
    <t xml:space="preserve"> </t>
    <phoneticPr fontId="3" type="noConversion"/>
  </si>
  <si>
    <t>호밀빵 판매:  3개  (H)  4개</t>
    <phoneticPr fontId="3" type="noConversion"/>
  </si>
  <si>
    <t>2026 년  6월  23일 ( 화요일)</t>
    <phoneticPr fontId="3" type="noConversion"/>
  </si>
  <si>
    <t>여의도</t>
    <phoneticPr fontId="3" type="noConversion"/>
  </si>
  <si>
    <t>김세은</t>
    <phoneticPr fontId="3" type="noConversion"/>
  </si>
  <si>
    <t>29</t>
    <phoneticPr fontId="3" type="noConversion"/>
  </si>
  <si>
    <t>맑음</t>
    <phoneticPr fontId="3" type="noConversion"/>
  </si>
  <si>
    <t>26</t>
    <phoneticPr fontId="3" type="noConversion"/>
  </si>
  <si>
    <t xml:space="preserve">김세은(오픈) : 치아바타 물량85%에 조정수 넣었음에도 힘이 셌습니다. 발효 충분히 보았고 내상 촉촉하고 목넘김 좋았습니다. </t>
    <phoneticPr fontId="3" type="noConversion"/>
  </si>
  <si>
    <t xml:space="preserve">심팩 납품 완료 하였습니다. </t>
    <phoneticPr fontId="3" type="noConversion"/>
  </si>
  <si>
    <t>심팩 납품 있습니다.</t>
    <phoneticPr fontId="3" type="noConversion"/>
  </si>
  <si>
    <t xml:space="preserve">올리브 구워야 합니다. </t>
    <phoneticPr fontId="3" type="noConversion"/>
  </si>
  <si>
    <t>희주,도현</t>
    <phoneticPr fontId="3" type="noConversion"/>
  </si>
  <si>
    <t>세은,도현</t>
    <phoneticPr fontId="3" type="noConversion"/>
  </si>
  <si>
    <t>세은</t>
    <phoneticPr fontId="3" type="noConversion"/>
  </si>
  <si>
    <t>윤경</t>
    <phoneticPr fontId="3" type="noConversion"/>
  </si>
  <si>
    <t>민숙</t>
    <phoneticPr fontId="3" type="noConversion"/>
  </si>
  <si>
    <t xml:space="preserve">호두, 및 기타 기물들 연희점으로 이관하였습니다. </t>
    <phoneticPr fontId="3" type="noConversion"/>
  </si>
  <si>
    <t xml:space="preserve">김윤희(미들) : 바게트 냉장은 내상이 불규칙하고, 껍질이 조금 두꺼웠으나, 당일 바게트는 내상도 좋고, 껍질 얇고 맛 좋았습니다. </t>
    <phoneticPr fontId="3" type="noConversion"/>
  </si>
  <si>
    <t>박용국(미들) : 크로아상을 먹었을 때 버터의 풍미가 강하게 느껴졌습니다. 치아바타 반죽이 평소 보다 떙떙 했습니다.</t>
    <phoneticPr fontId="3" type="noConversion"/>
  </si>
  <si>
    <t>크랜베리 럼 담그었습니다.</t>
    <phoneticPr fontId="3" type="noConversion"/>
  </si>
  <si>
    <t>에어컨 켜짐 예약 설정 했습니다.</t>
    <phoneticPr fontId="3" type="noConversion"/>
  </si>
  <si>
    <t>서민숙(마감) : 스콘 높이가 조금 낮게 나오고 반죽 뭉침과 버터 풍미가 부족해 보였습니다.</t>
    <phoneticPr fontId="3" type="noConversion"/>
  </si>
  <si>
    <t xml:space="preserve"> </t>
    <phoneticPr fontId="3" type="noConversion"/>
  </si>
  <si>
    <t xml:space="preserve"> </t>
    <phoneticPr fontId="3" type="noConversion"/>
  </si>
  <si>
    <t>호밀빵 판매: 3개 (H) 9개</t>
    <phoneticPr fontId="3" type="noConversion"/>
  </si>
  <si>
    <t>브레첼류가 5시에 조기품절되어 이후에도 구매문의가 많았습니다.</t>
    <phoneticPr fontId="3" type="noConversion"/>
  </si>
  <si>
    <t>단골손님인 김영호님이 저번에 맛보여준 치즈 치아바타에 대해 짜다는 평 남겨주셨습니다. 폴앤폴리나 특유의 담백함을 기대하신듯 했습니다.</t>
    <phoneticPr fontId="3" type="noConversion"/>
  </si>
  <si>
    <t>여름 파네토네 시식 반응 좋았습니다.</t>
    <phoneticPr fontId="3" type="noConversion"/>
  </si>
  <si>
    <t>2026년 6월 24일 (수요일)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</si>
  <si>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</si>
  <si>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</si>
  <si>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</si>
  <si>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24</t>
    <phoneticPr fontId="3" type="noConversion"/>
  </si>
  <si>
    <t>27</t>
    <phoneticPr fontId="3" type="noConversion"/>
  </si>
  <si>
    <t>블랙올리브 구웠습니다.</t>
    <phoneticPr fontId="3" type="noConversion"/>
  </si>
  <si>
    <t>김윤희(오픈) : 바게트 내상 균일하게 잘 나왔고, 껍질얇고 바삭했으며 버터의 풍미와 단맛이 잘 느껴졌습니다.</t>
    <phoneticPr fontId="3" type="noConversion"/>
  </si>
  <si>
    <t xml:space="preserve">크렌베리 소분하였습니다. </t>
    <phoneticPr fontId="3" type="noConversion"/>
  </si>
  <si>
    <t xml:space="preserve">심팩홀딩스 납품 있습니다. </t>
    <phoneticPr fontId="3" type="noConversion"/>
  </si>
  <si>
    <t>세은,도현</t>
    <phoneticPr fontId="3" type="noConversion"/>
  </si>
  <si>
    <t>윤희,윤경,용국</t>
    <phoneticPr fontId="3" type="noConversion"/>
  </si>
  <si>
    <t>윤희</t>
    <phoneticPr fontId="3" type="noConversion"/>
  </si>
  <si>
    <t>윤경</t>
    <phoneticPr fontId="3" type="noConversion"/>
  </si>
  <si>
    <t>민숙</t>
    <phoneticPr fontId="3" type="noConversion"/>
  </si>
  <si>
    <t>민숙</t>
    <phoneticPr fontId="3" type="noConversion"/>
  </si>
  <si>
    <t>정희주(미들) : 치아바타 오일 풍미 잘 느껴지고 내상 좋았습니다. 스콘이 건조해보였고 버터가 조금 새어나왔습니다.</t>
    <phoneticPr fontId="3" type="noConversion"/>
  </si>
  <si>
    <t>박용국(미들) : 스콘 식감이 겉은 바삭 했으나 속은 건조한 느낌이 약간 있었습니다.</t>
    <phoneticPr fontId="3" type="noConversion"/>
  </si>
  <si>
    <t>샌드위치 1시, 스콘 및 브레첼 2:30분 조기품절되어 이후에도 구매문의 많았습니다.</t>
    <phoneticPr fontId="3" type="noConversion"/>
  </si>
  <si>
    <t>크기가 더 큰 비닐봉투 문의 있었습니다.</t>
    <phoneticPr fontId="3" type="noConversion"/>
  </si>
  <si>
    <t>6:30분에 전제품 솔드아웃되었습니다.</t>
    <phoneticPr fontId="3" type="noConversion"/>
  </si>
  <si>
    <t>호밀빵 판매: 4개, (H) 5개</t>
    <phoneticPr fontId="3" type="noConversion"/>
  </si>
  <si>
    <t>2026 년  6월  25일 ( 목요일)</t>
    <phoneticPr fontId="3" type="noConversion"/>
  </si>
  <si>
    <t>여의도</t>
    <phoneticPr fontId="3" type="noConversion"/>
  </si>
  <si>
    <t>정희주</t>
    <phoneticPr fontId="3" type="noConversion"/>
  </si>
  <si>
    <t>흐림</t>
    <phoneticPr fontId="3" type="noConversion"/>
  </si>
  <si>
    <t>23</t>
    <phoneticPr fontId="3" type="noConversion"/>
  </si>
  <si>
    <t>윤희,윤경,용국</t>
    <phoneticPr fontId="3" type="noConversion"/>
  </si>
  <si>
    <t>용국,희주</t>
    <phoneticPr fontId="3" type="noConversion"/>
  </si>
  <si>
    <t>희주</t>
    <phoneticPr fontId="3" type="noConversion"/>
  </si>
  <si>
    <t>세은</t>
    <phoneticPr fontId="3" type="noConversion"/>
  </si>
  <si>
    <t>민숙</t>
    <phoneticPr fontId="3" type="noConversion"/>
  </si>
  <si>
    <t>민숙</t>
    <phoneticPr fontId="3" type="noConversion"/>
  </si>
  <si>
    <t>오픈(정희주) : 치아바타 내상,맛 괜찮았지만 조금 단단한 식감이라 물량 조금 더 늘려도 될 것 같습니다.</t>
    <phoneticPr fontId="3" type="noConversion"/>
  </si>
  <si>
    <t>25</t>
    <phoneticPr fontId="3" type="noConversion"/>
  </si>
  <si>
    <t>금일 솔른 깜빠뉴납품 완료 하였습니다.</t>
    <phoneticPr fontId="3" type="noConversion"/>
  </si>
  <si>
    <t>미들(김도현) : 치아바타 구움색 진한편으로 바닥이 살짝 두꺼웠습니다./냉장 바게트 내상 좋았습니다.</t>
    <phoneticPr fontId="3" type="noConversion"/>
  </si>
  <si>
    <t>내일은 여름메밀빵 판매일 입니다.</t>
    <phoneticPr fontId="3" type="noConversion"/>
  </si>
  <si>
    <t xml:space="preserve">깜빠뉴 꾸준하게 잘 나갔습니다. </t>
    <phoneticPr fontId="3" type="noConversion"/>
  </si>
  <si>
    <t xml:space="preserve">치킨샌드위치 오전에 일찍 마감 되었습니다. </t>
    <phoneticPr fontId="3" type="noConversion"/>
  </si>
  <si>
    <t xml:space="preserve">비닐 쇼핑백-&gt;종이 쇼핑백으로 바꿨으면 하는 손님 의견 있었습니다. </t>
    <phoneticPr fontId="3" type="noConversion"/>
  </si>
  <si>
    <t>2026년 6월 26일 (금요일)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</si>
  <si>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</si>
  <si>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</si>
  <si>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</si>
  <si>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24</t>
    <phoneticPr fontId="3" type="noConversion"/>
  </si>
  <si>
    <t xml:space="preserve">호두 구웠습니다. </t>
    <phoneticPr fontId="3" type="noConversion"/>
  </si>
  <si>
    <t>희주,용국</t>
    <phoneticPr fontId="3" type="noConversion"/>
  </si>
  <si>
    <t>윤희</t>
    <phoneticPr fontId="3" type="noConversion"/>
  </si>
  <si>
    <t>세은</t>
    <phoneticPr fontId="3" type="noConversion"/>
  </si>
  <si>
    <t>윤경</t>
    <phoneticPr fontId="3" type="noConversion"/>
  </si>
  <si>
    <t xml:space="preserve">김윤희(오픈) : 바게트 껍질은 두껍지는 않으나, 얇지도 않았습니다. 담백하고 버터의 풍미가 잘 느껴졌으나, 약간 질긴 식감이었습니다. </t>
    <phoneticPr fontId="3" type="noConversion"/>
  </si>
  <si>
    <t>윤희,민숙</t>
    <phoneticPr fontId="3" type="noConversion"/>
  </si>
  <si>
    <t>28</t>
    <phoneticPr fontId="3" type="noConversion"/>
  </si>
  <si>
    <t>김도현(미들) : 치아바타 분할 시 공기 잘 차있었고 볼륨감 좋았습니다.</t>
    <phoneticPr fontId="3" type="noConversion"/>
  </si>
  <si>
    <t>크랜베리 럼 담그었습니다.</t>
    <phoneticPr fontId="3" type="noConversion"/>
  </si>
  <si>
    <t>마감(서민숙) ; 깜빠뉴 내상 기공상태 좋고 맛 풍미 좋았습니다.</t>
    <phoneticPr fontId="3" type="noConversion"/>
  </si>
  <si>
    <t>서민숙(미들) : 여름 메밀빵 모양 맛 풍미 좋았습니다.스콘 버터 풍미 맛 볼륨감 상태 좋았습니다.</t>
    <phoneticPr fontId="3" type="noConversion"/>
  </si>
  <si>
    <t xml:space="preserve">김세은(마감) : 크랜베리 식감 풍미도 좋고 식감도 좋았습니다. </t>
    <phoneticPr fontId="3" type="noConversion"/>
  </si>
  <si>
    <t>12-1시 시간대별 매출 67만원으로 손님 꾸준히 방문했습니다.</t>
    <phoneticPr fontId="3" type="noConversion"/>
  </si>
  <si>
    <t>큰빵에 대한 컷팅 문의 많았습니다./ 대구에서 방문하신 손님이 깜빠뉴가 없어 아쉬워하셨습니다. (깜빠뉴 5시 조기품절)</t>
    <phoneticPr fontId="3" type="noConversion"/>
  </si>
  <si>
    <t>여름메밀빵 출시한 당일로, 시식 후 구매로 많이 이어졌습니다./ 단맛 없는 신제품을 원하는 손님 계셨습니다.</t>
    <phoneticPr fontId="3" type="noConversion"/>
  </si>
  <si>
    <t>2026년  6월  27일 ( 토요일)</t>
    <phoneticPr fontId="3" type="noConversion"/>
  </si>
  <si>
    <t>정희주</t>
    <phoneticPr fontId="3" type="noConversion"/>
  </si>
  <si>
    <t>여의도</t>
    <phoneticPr fontId="3" type="noConversion"/>
  </si>
  <si>
    <t>흐림</t>
    <phoneticPr fontId="3" type="noConversion"/>
  </si>
  <si>
    <t>30</t>
    <phoneticPr fontId="3" type="noConversion"/>
  </si>
  <si>
    <t>25</t>
    <phoneticPr fontId="3" type="noConversion"/>
  </si>
  <si>
    <t>윤희,민숙</t>
    <phoneticPr fontId="3" type="noConversion"/>
  </si>
  <si>
    <t>윤경,도현,용국</t>
    <phoneticPr fontId="3" type="noConversion"/>
  </si>
  <si>
    <t>희주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</si>
  <si>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</si>
  <si>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</si>
  <si>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</si>
  <si>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오픈(정희주) : 치아바타 물량 많아서 2차 발효가 빨리 풀렸지만 내상,맛 괜찮았습니다.</t>
    <phoneticPr fontId="3" type="noConversion"/>
  </si>
  <si>
    <t>미들(박용국) : 크라상 버터 맛이 잘 느껴졌고 겉은 바삭 했습니다.</t>
    <phoneticPr fontId="3" type="noConversion"/>
  </si>
  <si>
    <t>마감(김세은) : 브레첼 반죽물량 46에 35정도 더 넣었습니다. 물량 늘려도 될것 같습니다.</t>
    <phoneticPr fontId="3" type="noConversion"/>
  </si>
  <si>
    <t xml:space="preserve">내일 구름빵 반죽 해야 합니다. </t>
    <phoneticPr fontId="3" type="noConversion"/>
  </si>
  <si>
    <t>오픈 전부터 대기하여 오픈 시작하자마자 줄 서서 구매해가셨습니다./ 11-12시 시간대 매출 77만원으로 높은 편이었습니다.</t>
    <phoneticPr fontId="3" type="noConversion"/>
  </si>
  <si>
    <t>손님 꾸준하다가 4시 이후부터 뜸한 편이었습니다./ 오픈 후 20분만에 깜빠뉴 1차가 품절되었습니다./ 전체적으로 4-5시에 빵이 거의 소진되었습니다.</t>
    <phoneticPr fontId="3" type="noConversion"/>
  </si>
  <si>
    <t>청주에서 방문하여 식빵을 구매하려하셨으나, 재고가 없어 깜빠뉴로 대신 구매해가신 손님 계셨습니다./ 대량 예약 (20-30개씩)이 2건 있었습니다.</t>
    <phoneticPr fontId="3" type="noConversion"/>
  </si>
  <si>
    <t>호밀빵 판매: 3개, (H) 5개/ 여름메밀빵 판매: 1개, (H) 9개/ 호밀쇼콜라오렌지 판매: 5개</t>
    <phoneticPr fontId="3" type="noConversion"/>
  </si>
  <si>
    <t>2026년 6월 28일 (일요일)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</si>
  <si>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</si>
  <si>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</si>
  <si>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</si>
  <si>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32</t>
    <phoneticPr fontId="3" type="noConversion"/>
  </si>
  <si>
    <t>25</t>
    <phoneticPr fontId="3" type="noConversion"/>
  </si>
  <si>
    <t>블랙올리브 구웠습니다.</t>
    <phoneticPr fontId="3" type="noConversion"/>
  </si>
  <si>
    <t>호두 굽기</t>
    <phoneticPr fontId="3" type="noConversion"/>
  </si>
  <si>
    <t xml:space="preserve">심팩홀딩스 납품 </t>
    <phoneticPr fontId="3" type="noConversion"/>
  </si>
  <si>
    <t>크렌베리 소분하였습니다.</t>
    <phoneticPr fontId="3" type="noConversion"/>
  </si>
  <si>
    <t xml:space="preserve">반죽기 2대 닦았습니다. </t>
    <phoneticPr fontId="3" type="noConversion"/>
  </si>
  <si>
    <t>도구들 청소 하였습니다.</t>
    <phoneticPr fontId="3" type="noConversion"/>
  </si>
  <si>
    <t>여름파네토네 86개 생산하였습니다.</t>
    <phoneticPr fontId="3" type="noConversion"/>
  </si>
  <si>
    <t>윤경,도현,용국</t>
    <phoneticPr fontId="3" type="noConversion"/>
  </si>
  <si>
    <t>윤경,세은,용국</t>
    <phoneticPr fontId="3" type="noConversion"/>
  </si>
  <si>
    <t>윤희</t>
    <phoneticPr fontId="3" type="noConversion"/>
  </si>
  <si>
    <t>세은</t>
    <phoneticPr fontId="3" type="noConversion"/>
  </si>
  <si>
    <t>민숙</t>
    <phoneticPr fontId="3" type="noConversion"/>
  </si>
  <si>
    <t>민숙</t>
    <phoneticPr fontId="3" type="noConversion"/>
  </si>
  <si>
    <t xml:space="preserve">김윤희(오픈) : 바게트 약간 눅눅하고 질긴 식감이나, 내상도 괜찮고, 버터의 풍미도 괜찮았습니다. </t>
    <phoneticPr fontId="3" type="noConversion"/>
  </si>
  <si>
    <t>정희주(미들) : 치아바타 오일 풍미 잘 느껴지고 내상 뭉침없이 좋았습니다.</t>
    <phoneticPr fontId="3" type="noConversion"/>
  </si>
  <si>
    <t>메밀빵 작년에 드셔보시고 3개 한번에 구매하신 손님 계셨습니다.</t>
    <phoneticPr fontId="3" type="noConversion"/>
  </si>
  <si>
    <t xml:space="preserve">깜빠뉴 오전 1차 물량 일찍 마감 되었습니다. </t>
    <phoneticPr fontId="3" type="noConversion"/>
  </si>
  <si>
    <t>정희주(오픈) : 치아바타 내상 촉촉하고 오일 향 잘 느껴졌습니다. 크로와상 막이 얇고 뭉침없고 버터맛 잘 느껴졌습니다.</t>
    <phoneticPr fontId="3" type="noConversion"/>
  </si>
  <si>
    <t>김도현(미들) : 밀가루 1월달로 변경되어 바게트반죽이 텐션이 부족하고 쳐지는 느낌이 강했습니다./
브레첼 반죽도 질척이는 느낌이 약간 들었습니다.</t>
    <phoneticPr fontId="3" type="noConversion"/>
  </si>
  <si>
    <t>정희주</t>
    <phoneticPr fontId="3" type="noConversion"/>
  </si>
  <si>
    <t>서민숙</t>
    <phoneticPr fontId="3" type="noConversion"/>
  </si>
  <si>
    <t>김윤희</t>
    <phoneticPr fontId="3" type="noConversion"/>
  </si>
  <si>
    <t>김윤희</t>
    <phoneticPr fontId="3" type="noConversion"/>
  </si>
  <si>
    <t>윤경,세은,용국</t>
    <phoneticPr fontId="3" type="noConversion"/>
  </si>
  <si>
    <t>민숙,윤희</t>
    <phoneticPr fontId="3" type="noConversion"/>
  </si>
  <si>
    <t>여름파네토네 포장하였습니다.</t>
    <phoneticPr fontId="3" type="noConversion"/>
  </si>
  <si>
    <t>2026 년 6 월 29 일 (월요일)</t>
    <phoneticPr fontId="3" type="noConversion"/>
  </si>
  <si>
    <t>여의도</t>
    <phoneticPr fontId="3" type="noConversion"/>
  </si>
  <si>
    <t>서민숙</t>
    <phoneticPr fontId="3" type="noConversion"/>
  </si>
  <si>
    <t>폭염</t>
    <phoneticPr fontId="3" type="noConversion"/>
  </si>
  <si>
    <t>32</t>
    <phoneticPr fontId="3" type="noConversion"/>
  </si>
  <si>
    <t>25</t>
    <phoneticPr fontId="3" type="noConversion"/>
  </si>
  <si>
    <t>호밀빵 판매: 4개, (h) 3개/ 여름메밀빵 판매: 4개, (h) 15개/ 호밀쇼콜라오렌지 판매: 2개</t>
    <phoneticPr fontId="3" type="noConversion"/>
  </si>
  <si>
    <t xml:space="preserve">호밀빵 판매: 3개, (h) 3개, </t>
    <phoneticPr fontId="3" type="noConversion"/>
  </si>
  <si>
    <t>메밀빵 시식 후 구매로 이어졌습니다.</t>
    <phoneticPr fontId="3" type="noConversion"/>
  </si>
  <si>
    <t>메밀빵 시식 후 구매로 이어졌습니다. 구입후 재방문하여 추가로 구매하신 손님분 있었습니다.</t>
    <phoneticPr fontId="3" type="noConversion"/>
  </si>
  <si>
    <t>마감후 남은 식빵 1층(킴스라이스,골프샾,타코가게,옷가게 선물 드렸습니다.</t>
    <phoneticPr fontId="3" type="noConversion"/>
  </si>
  <si>
    <t>유철님 깜빠뉴 6개 예약 있습니다.</t>
    <phoneticPr fontId="3" type="noConversion"/>
  </si>
  <si>
    <t>서민숙(마감) : 깜빠뉴 기공 맛 풍미 좋았습니다.</t>
    <phoneticPr fontId="3" type="noConversion"/>
  </si>
  <si>
    <t>금일 윤석현님 메밀깜빠뉴 1개 선물로 전달드렸습니다. 마감후 홍보석에 빵 선물 드렸습니다.</t>
    <phoneticPr fontId="3" type="noConversion"/>
  </si>
  <si>
    <t>2026 년  6월  30일 ( 화요일)</t>
    <phoneticPr fontId="3" type="noConversion"/>
  </si>
  <si>
    <t>여의도</t>
    <phoneticPr fontId="3" type="noConversion"/>
  </si>
  <si>
    <t>김세은</t>
    <phoneticPr fontId="3" type="noConversion"/>
  </si>
  <si>
    <t>흐림</t>
    <phoneticPr fontId="3" type="noConversion"/>
  </si>
  <si>
    <t>30</t>
    <phoneticPr fontId="3" type="noConversion"/>
  </si>
  <si>
    <t>26</t>
    <phoneticPr fontId="3" type="noConversion"/>
  </si>
  <si>
    <t xml:space="preserve">김세은(오픈) : 냉장 바게트 물량 82 (조금 진 편이라) 81로 줄여 반죽 칠 예정 입니다. </t>
    <phoneticPr fontId="3" type="noConversion"/>
  </si>
  <si>
    <t xml:space="preserve">메밀, 호두 구웠습니다. </t>
    <phoneticPr fontId="3" type="noConversion"/>
  </si>
  <si>
    <t>윤희,민숙</t>
    <phoneticPr fontId="3" type="noConversion"/>
  </si>
  <si>
    <t>도현,세은</t>
    <phoneticPr fontId="3" type="noConversion"/>
  </si>
  <si>
    <t>세은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</si>
  <si>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</si>
  <si>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</si>
  <si>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</si>
  <si>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김도현(미들) : 반죽이 전체적으로 힘이 약한느낌으로 물량 조절중입니다./브레첼 반죽 물량 어제보다 1%줄였습니다.</t>
    <phoneticPr fontId="3" type="noConversion"/>
  </si>
  <si>
    <t>금일 연희동 쿰 햄치즈치아바타샌드위치25개 퀵배송 완료하였습니다.</t>
    <phoneticPr fontId="3" type="noConversion"/>
  </si>
  <si>
    <t>박용국(미들) : 스콘이 바삭하고 포슬포슬한 식감 이었고 버터맛이 잘 느껴졌습니다.</t>
    <phoneticPr fontId="3" type="noConversion"/>
  </si>
  <si>
    <t>정희주(마감) : 치아바타 분할시 공기 잘 차있고 힘이 있는편이었습니다. 오일 향 잘 느껴졌습니다.</t>
    <phoneticPr fontId="3" type="noConversion"/>
  </si>
  <si>
    <t>호밀빵 판매: 1개, (H) 10개/ 호밀쇼콜라오렌지 판매: 3개/ 여름메밀빵 판매: 2개, (H) 5개</t>
    <phoneticPr fontId="3" type="noConversion"/>
  </si>
  <si>
    <t>아토피가 있는 어린 아이에게도 믿고 먹일 수 있다는 칭찬 남기셨습니다.</t>
    <phoneticPr fontId="3" type="noConversion"/>
  </si>
  <si>
    <t>전날 유철님 오전 깜빠뉴 6개 예약하셔서 당일 오전 판매물량이 1개뿐이었습니다. 구매문의 많았고, 예약으로 오후에 가져가신 손님 2분 계셨습니다.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</si>
</sst>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 ;[Red]\-0\ "/>
    <numFmt numFmtId="177" formatCode="0.0_ ;[Red]\-0.0\ "/>
    <numFmt numFmtId="178" formatCode="0.0%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24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429">
    <xf numFmtId="0" fontId="0" fillId="0" borderId="0" xfId="0">
      <alignment vertical="center"/>
    </xf>
    <xf numFmtId="0" fontId="2" fillId="0" borderId="0" xfId="3" applyNumberFormat="1" applyFont="1" applyFill="1" applyBorder="1" applyAlignment="1">
      <alignment horizontal="center" vertical="center"/>
    </xf>
    <xf numFmtId="0" fontId="1" fillId="0" borderId="0" xfId="3" applyNumberFormat="1" applyFill="1">
      <alignment vertical="center"/>
    </xf>
    <xf numFmtId="0" fontId="7" fillId="0" borderId="0" xfId="3" applyNumberFormat="1" applyFont="1" applyFill="1" applyBorder="1" applyAlignment="1">
      <alignment horizontal="left" vertical="center"/>
    </xf>
    <xf numFmtId="0" fontId="5" fillId="0" borderId="11" xfId="3" applyNumberFormat="1" applyFont="1" applyFill="1" applyBorder="1">
      <alignment vertical="center"/>
    </xf>
    <xf numFmtId="0" fontId="5" fillId="0" borderId="10" xfId="3" applyNumberFormat="1" applyFont="1" applyFill="1" applyBorder="1" applyAlignment="1">
      <alignment horizontal="left" vertical="center"/>
    </xf>
    <xf numFmtId="0" fontId="1" fillId="3" borderId="17" xfId="3" applyNumberFormat="1" applyFill="1" applyBorder="1">
      <alignment vertical="center"/>
    </xf>
    <xf numFmtId="0" fontId="1" fillId="3" borderId="16" xfId="3" applyNumberFormat="1" applyFill="1" applyBorder="1">
      <alignment vertical="center"/>
    </xf>
    <xf numFmtId="0" fontId="1" fillId="3" borderId="0" xfId="3" applyNumberFormat="1" applyFill="1" applyBorder="1">
      <alignment vertical="center"/>
    </xf>
    <xf numFmtId="0" fontId="1" fillId="3" borderId="0" xfId="3" applyNumberFormat="1" applyFill="1" applyBorder="1" applyAlignment="1">
      <alignment vertical="center"/>
    </xf>
    <xf numFmtId="0" fontId="1" fillId="2" borderId="12" xfId="3" applyNumberFormat="1" applyFont="1" applyFill="1" applyBorder="1" applyAlignment="1">
      <alignment horizontal="center" vertical="center"/>
    </xf>
    <xf numFmtId="0" fontId="1" fillId="2" borderId="14" xfId="3" applyNumberForma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0" fontId="1" fillId="0" borderId="12" xfId="3" applyNumberFormat="1" applyFont="1" applyFill="1" applyBorder="1" applyAlignment="1">
      <alignment vertical="center"/>
    </xf>
    <xf numFmtId="49" fontId="1" fillId="0" borderId="14" xfId="3" applyNumberFormat="1" applyFont="1" applyFill="1" applyBorder="1" applyAlignment="1">
      <alignment horizontal="left" vertical="center"/>
    </xf>
    <xf numFmtId="49" fontId="1" fillId="0" borderId="12" xfId="2" applyNumberFormat="1" applyFont="1" applyFill="1" applyBorder="1" applyAlignment="1">
      <alignment horizontal="left" vertical="center"/>
    </xf>
    <xf numFmtId="9" fontId="0" fillId="0" borderId="12" xfId="2" applyFont="1" applyFill="1" applyBorder="1" applyAlignment="1">
      <alignment horizontal="left" vertical="center"/>
    </xf>
    <xf numFmtId="9" fontId="0" fillId="0" borderId="18" xfId="2" applyFont="1" applyFill="1" applyBorder="1" applyAlignment="1">
      <alignment horizontal="left" vertical="center"/>
    </xf>
    <xf numFmtId="0" fontId="1" fillId="2" borderId="21" xfId="3" applyNumberFormat="1" applyFill="1" applyBorder="1" applyAlignment="1">
      <alignment horizontal="center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33" xfId="3" applyNumberFormat="1" applyFill="1" applyBorder="1" applyAlignment="1">
      <alignment horizontal="center" vertical="center"/>
    </xf>
    <xf numFmtId="176" fontId="1" fillId="3" borderId="34" xfId="1" applyNumberFormat="1" applyFont="1" applyFill="1" applyBorder="1" applyAlignment="1">
      <alignment horizontal="center" vertical="center"/>
    </xf>
    <xf numFmtId="176" fontId="1" fillId="3" borderId="35" xfId="1" applyNumberFormat="1" applyFont="1" applyFill="1" applyBorder="1" applyAlignment="1">
      <alignment horizontal="center" vertical="center"/>
    </xf>
    <xf numFmtId="176" fontId="9" fillId="3" borderId="35" xfId="1" applyNumberFormat="1" applyFont="1" applyFill="1" applyBorder="1" applyAlignment="1">
      <alignment horizontal="center" vertical="center"/>
    </xf>
    <xf numFmtId="176" fontId="7" fillId="3" borderId="36" xfId="1" applyNumberFormat="1" applyFont="1" applyFill="1" applyBorder="1" applyAlignment="1">
      <alignment horizontal="center" vertical="center"/>
    </xf>
    <xf numFmtId="177" fontId="1" fillId="4" borderId="33" xfId="1" applyNumberFormat="1" applyFont="1" applyFill="1" applyBorder="1" applyAlignment="1">
      <alignment horizontal="center" vertical="center"/>
    </xf>
    <xf numFmtId="0" fontId="1" fillId="2" borderId="38" xfId="3" applyNumberFormat="1" applyFill="1" applyBorder="1" applyAlignment="1">
      <alignment horizontal="center" vertical="center"/>
    </xf>
    <xf numFmtId="176" fontId="1" fillId="2" borderId="39" xfId="3" applyNumberFormat="1" applyFill="1" applyBorder="1" applyAlignment="1">
      <alignment horizontal="center" vertical="center"/>
    </xf>
    <xf numFmtId="176" fontId="1" fillId="3" borderId="36" xfId="1" applyNumberFormat="1" applyFont="1" applyFill="1" applyBorder="1" applyAlignment="1">
      <alignment horizontal="center" vertical="center"/>
    </xf>
    <xf numFmtId="176" fontId="1" fillId="3" borderId="39" xfId="1" applyNumberFormat="1" applyFont="1" applyFill="1" applyBorder="1" applyAlignment="1">
      <alignment horizontal="center" vertical="center"/>
    </xf>
    <xf numFmtId="176" fontId="11" fillId="2" borderId="36" xfId="1" applyNumberFormat="1" applyFont="1" applyFill="1" applyBorder="1" applyAlignment="1">
      <alignment horizontal="center" vertical="center"/>
    </xf>
    <xf numFmtId="177" fontId="1" fillId="0" borderId="40" xfId="1" applyNumberFormat="1" applyFont="1" applyFill="1" applyBorder="1" applyAlignment="1">
      <alignment horizontal="center" vertical="center"/>
    </xf>
    <xf numFmtId="176" fontId="1" fillId="3" borderId="39" xfId="3" applyNumberFormat="1" applyFill="1" applyBorder="1" applyAlignment="1">
      <alignment horizontal="center" vertical="center"/>
    </xf>
    <xf numFmtId="176" fontId="9" fillId="3" borderId="36" xfId="1" applyNumberFormat="1" applyFont="1" applyFill="1" applyBorder="1" applyAlignment="1">
      <alignment horizontal="center" vertical="center"/>
    </xf>
    <xf numFmtId="177" fontId="1" fillId="4" borderId="38" xfId="1" applyNumberFormat="1" applyFont="1" applyFill="1" applyBorder="1" applyAlignment="1">
      <alignment horizontal="center" vertical="center"/>
    </xf>
    <xf numFmtId="177" fontId="1" fillId="0" borderId="38" xfId="1" applyNumberFormat="1" applyFont="1" applyFill="1" applyBorder="1" applyAlignment="1">
      <alignment horizontal="center" vertical="center"/>
    </xf>
    <xf numFmtId="177" fontId="1" fillId="4" borderId="40" xfId="1" applyNumberFormat="1" applyFont="1" applyFill="1" applyBorder="1" applyAlignment="1">
      <alignment horizontal="center" vertical="center"/>
    </xf>
    <xf numFmtId="177" fontId="1" fillId="0" borderId="42" xfId="1" applyNumberFormat="1" applyFont="1" applyFill="1" applyBorder="1" applyAlignment="1">
      <alignment horizontal="center" vertical="center"/>
    </xf>
    <xf numFmtId="0" fontId="1" fillId="2" borderId="21" xfId="3" applyNumberFormat="1" applyFont="1" applyFill="1" applyBorder="1" applyAlignment="1">
      <alignment horizontal="center" vertical="center"/>
    </xf>
    <xf numFmtId="176" fontId="1" fillId="3" borderId="11" xfId="3" applyNumberFormat="1" applyFont="1" applyFill="1" applyBorder="1" applyAlignment="1">
      <alignment horizontal="center" vertical="center"/>
    </xf>
    <xf numFmtId="176" fontId="1" fillId="3" borderId="37" xfId="1" applyNumberFormat="1" applyFont="1" applyFill="1" applyBorder="1" applyAlignment="1">
      <alignment horizontal="center" vertical="center"/>
    </xf>
    <xf numFmtId="176" fontId="8" fillId="3" borderId="11" xfId="1" applyNumberFormat="1" applyFont="1" applyFill="1" applyBorder="1" applyAlignment="1">
      <alignment horizontal="center" vertical="center"/>
    </xf>
    <xf numFmtId="176" fontId="8" fillId="3" borderId="37" xfId="1" applyNumberFormat="1" applyFont="1" applyFill="1" applyBorder="1" applyAlignment="1">
      <alignment horizontal="center" vertical="center"/>
    </xf>
    <xf numFmtId="176" fontId="7" fillId="3" borderId="37" xfId="1" applyNumberFormat="1" applyFont="1" applyFill="1" applyBorder="1" applyAlignment="1">
      <alignment horizontal="center" vertical="center"/>
    </xf>
    <xf numFmtId="176" fontId="1" fillId="4" borderId="43" xfId="1" applyNumberFormat="1" applyFont="1" applyFill="1" applyBorder="1" applyAlignment="1">
      <alignment horizontal="center" vertical="center"/>
    </xf>
    <xf numFmtId="176" fontId="1" fillId="3" borderId="34" xfId="3" applyNumberFormat="1" applyFill="1" applyBorder="1" applyAlignment="1">
      <alignment horizontal="center" vertical="center"/>
    </xf>
    <xf numFmtId="176" fontId="8" fillId="3" borderId="34" xfId="1" applyNumberFormat="1" applyFont="1" applyFill="1" applyBorder="1" applyAlignment="1">
      <alignment horizontal="center" vertical="center"/>
    </xf>
    <xf numFmtId="176" fontId="8" fillId="3" borderId="35" xfId="1" applyNumberFormat="1" applyFont="1" applyFill="1" applyBorder="1" applyAlignment="1">
      <alignment horizontal="center" vertical="center"/>
    </xf>
    <xf numFmtId="176" fontId="1" fillId="4" borderId="44" xfId="1" applyNumberFormat="1" applyFont="1" applyFill="1" applyBorder="1" applyAlignment="1">
      <alignment horizontal="center" vertical="center"/>
    </xf>
    <xf numFmtId="176" fontId="8" fillId="3" borderId="39" xfId="1" applyNumberFormat="1" applyFont="1" applyFill="1" applyBorder="1" applyAlignment="1">
      <alignment horizontal="center" vertical="center"/>
    </xf>
    <xf numFmtId="176" fontId="8" fillId="3" borderId="36" xfId="1" applyNumberFormat="1" applyFont="1" applyFill="1" applyBorder="1" applyAlignment="1">
      <alignment horizontal="center" vertical="center"/>
    </xf>
    <xf numFmtId="176" fontId="1" fillId="4" borderId="45" xfId="1" applyNumberFormat="1" applyFont="1" applyFill="1" applyBorder="1" applyAlignment="1">
      <alignment horizontal="center" vertical="center"/>
    </xf>
    <xf numFmtId="176" fontId="1" fillId="2" borderId="11" xfId="3" applyNumberFormat="1" applyFill="1" applyBorder="1" applyAlignment="1">
      <alignment horizontal="center" vertical="center"/>
    </xf>
    <xf numFmtId="176" fontId="1" fillId="0" borderId="43" xfId="1" applyNumberFormat="1" applyFont="1" applyFill="1" applyBorder="1" applyAlignment="1">
      <alignment horizontal="center" vertical="center"/>
    </xf>
    <xf numFmtId="176" fontId="1" fillId="3" borderId="11" xfId="3" applyNumberFormat="1" applyFill="1" applyBorder="1" applyAlignment="1">
      <alignment horizontal="center" vertical="center"/>
    </xf>
    <xf numFmtId="0" fontId="1" fillId="2" borderId="38" xfId="3" applyNumberFormat="1" applyFont="1" applyFill="1" applyBorder="1" applyAlignment="1">
      <alignment horizontal="center" vertical="center"/>
    </xf>
    <xf numFmtId="176" fontId="1" fillId="3" borderId="39" xfId="3" applyNumberFormat="1" applyFont="1" applyFill="1" applyBorder="1" applyAlignment="1">
      <alignment horizontal="center" vertical="center"/>
    </xf>
    <xf numFmtId="0" fontId="1" fillId="2" borderId="46" xfId="3" applyNumberFormat="1" applyFont="1" applyFill="1" applyBorder="1" applyAlignment="1">
      <alignment horizontal="center" vertical="center"/>
    </xf>
    <xf numFmtId="176" fontId="1" fillId="2" borderId="47" xfId="3" applyNumberFormat="1" applyFont="1" applyFill="1" applyBorder="1" applyAlignment="1">
      <alignment horizontal="center" vertical="center"/>
    </xf>
    <xf numFmtId="176" fontId="1" fillId="3" borderId="48" xfId="1" applyNumberFormat="1" applyFont="1" applyFill="1" applyBorder="1" applyAlignment="1">
      <alignment horizontal="center" vertical="center"/>
    </xf>
    <xf numFmtId="176" fontId="8" fillId="3" borderId="47" xfId="1" applyNumberFormat="1" applyFont="1" applyFill="1" applyBorder="1" applyAlignment="1">
      <alignment horizontal="center" vertical="center"/>
    </xf>
    <xf numFmtId="176" fontId="8" fillId="3" borderId="48" xfId="1" applyNumberFormat="1" applyFont="1" applyFill="1" applyBorder="1" applyAlignment="1">
      <alignment horizontal="center" vertical="center"/>
    </xf>
    <xf numFmtId="176" fontId="1" fillId="0" borderId="49" xfId="1" applyNumberFormat="1" applyFont="1" applyFill="1" applyBorder="1" applyAlignment="1">
      <alignment horizontal="center" vertical="center"/>
    </xf>
    <xf numFmtId="0" fontId="5" fillId="2" borderId="27" xfId="3" applyNumberFormat="1" applyFont="1" applyFill="1" applyBorder="1" applyAlignment="1">
      <alignment horizontal="center" vertical="center"/>
    </xf>
    <xf numFmtId="176" fontId="5" fillId="2" borderId="55" xfId="3" applyNumberFormat="1" applyFont="1" applyFill="1" applyBorder="1" applyAlignment="1">
      <alignment horizontal="center" vertical="center"/>
    </xf>
    <xf numFmtId="176" fontId="5" fillId="2" borderId="56" xfId="1" applyNumberFormat="1" applyFont="1" applyFill="1" applyBorder="1" applyAlignment="1">
      <alignment horizontal="center" vertical="center"/>
    </xf>
    <xf numFmtId="176" fontId="12" fillId="2" borderId="56" xfId="1" applyNumberFormat="1" applyFont="1" applyFill="1" applyBorder="1" applyAlignment="1">
      <alignment horizontal="center" vertical="center"/>
    </xf>
    <xf numFmtId="176" fontId="13" fillId="2" borderId="56" xfId="1" applyNumberFormat="1" applyFont="1" applyFill="1" applyBorder="1" applyAlignment="1">
      <alignment horizontal="center" vertical="center"/>
    </xf>
    <xf numFmtId="176" fontId="12" fillId="2" borderId="55" xfId="1" applyNumberFormat="1" applyFont="1" applyFill="1" applyBorder="1" applyAlignment="1">
      <alignment horizontal="center" vertical="center"/>
    </xf>
    <xf numFmtId="176" fontId="5" fillId="2" borderId="27" xfId="1" applyNumberFormat="1" applyFont="1" applyFill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60" xfId="3" applyNumberFormat="1" applyFont="1" applyFill="1" applyBorder="1" applyAlignment="1">
      <alignment horizontal="center" vertical="center"/>
    </xf>
    <xf numFmtId="0" fontId="11" fillId="0" borderId="61" xfId="3" applyNumberFormat="1" applyFont="1" applyFill="1" applyBorder="1" applyAlignment="1">
      <alignment horizontal="center" vertical="center"/>
    </xf>
    <xf numFmtId="0" fontId="11" fillId="0" borderId="7" xfId="3" applyNumberFormat="1" applyFont="1" applyFill="1" applyBorder="1" applyAlignment="1">
      <alignment horizontal="center" vertical="center"/>
    </xf>
    <xf numFmtId="0" fontId="11" fillId="0" borderId="59" xfId="3" applyNumberFormat="1" applyFont="1" applyFill="1" applyBorder="1" applyAlignment="1">
      <alignment horizontal="center" vertical="center"/>
    </xf>
    <xf numFmtId="41" fontId="1" fillId="0" borderId="0" xfId="1" applyFont="1" applyFill="1">
      <alignment vertical="center"/>
    </xf>
    <xf numFmtId="0" fontId="7" fillId="0" borderId="0" xfId="3" applyNumberFormat="1" applyFont="1" applyFill="1" applyBorder="1" applyAlignment="1">
      <alignment horizontal="center" vertical="center"/>
    </xf>
    <xf numFmtId="0" fontId="1" fillId="2" borderId="5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/>
    </xf>
    <xf numFmtId="0" fontId="1" fillId="2" borderId="23" xfId="3" applyNumberFormat="1" applyFont="1" applyFill="1" applyBorder="1" applyAlignment="1">
      <alignment horizontal="center" vertical="center"/>
    </xf>
    <xf numFmtId="0" fontId="5" fillId="2" borderId="16" xfId="3" applyNumberFormat="1" applyFont="1" applyFill="1" applyBorder="1" applyAlignment="1">
      <alignment vertical="center"/>
    </xf>
    <xf numFmtId="0" fontId="5" fillId="2" borderId="18" xfId="3" applyNumberFormat="1" applyFont="1" applyFill="1" applyBorder="1" applyAlignment="1">
      <alignment horizontal="center" vertical="center"/>
    </xf>
    <xf numFmtId="0" fontId="1" fillId="0" borderId="69" xfId="3" applyNumberFormat="1" applyFont="1" applyFill="1" applyBorder="1" applyAlignment="1">
      <alignment horizontal="center" vertical="center"/>
    </xf>
    <xf numFmtId="0" fontId="1" fillId="0" borderId="0" xfId="3" applyNumberFormat="1" applyFill="1" applyBorder="1" applyAlignment="1">
      <alignment horizontal="center" vertical="center"/>
    </xf>
    <xf numFmtId="0" fontId="5" fillId="2" borderId="19" xfId="3" applyNumberFormat="1" applyFont="1" applyFill="1" applyBorder="1" applyAlignment="1">
      <alignment vertical="center"/>
    </xf>
    <xf numFmtId="0" fontId="5" fillId="2" borderId="32" xfId="3" applyNumberFormat="1" applyFont="1" applyFill="1" applyBorder="1" applyAlignment="1">
      <alignment horizontal="center" vertical="center"/>
    </xf>
    <xf numFmtId="0" fontId="1" fillId="0" borderId="29" xfId="3" applyNumberFormat="1" applyFill="1" applyBorder="1" applyAlignment="1">
      <alignment horizontal="center" vertical="center"/>
    </xf>
    <xf numFmtId="0" fontId="1" fillId="0" borderId="52" xfId="3" applyNumberFormat="1" applyFill="1" applyBorder="1" applyAlignment="1">
      <alignment horizontal="center" vertical="center"/>
    </xf>
    <xf numFmtId="0" fontId="1" fillId="0" borderId="32" xfId="3" applyNumberFormat="1" applyFill="1" applyBorder="1" applyAlignment="1">
      <alignment horizontal="center" vertical="center"/>
    </xf>
    <xf numFmtId="0" fontId="1" fillId="0" borderId="23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20" fontId="1" fillId="0" borderId="54" xfId="3" applyNumberFormat="1" applyFont="1" applyFill="1" applyBorder="1" applyAlignment="1">
      <alignment horizontal="left" vertical="center"/>
    </xf>
    <xf numFmtId="0" fontId="1" fillId="0" borderId="52" xfId="3" applyNumberFormat="1" applyFont="1" applyFill="1" applyBorder="1">
      <alignment vertical="center"/>
    </xf>
    <xf numFmtId="20" fontId="1" fillId="0" borderId="52" xfId="3" applyNumberFormat="1" applyFont="1" applyFill="1" applyBorder="1" applyAlignment="1">
      <alignment horizontal="left" vertical="center"/>
    </xf>
    <xf numFmtId="0" fontId="1" fillId="0" borderId="32" xfId="3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right" vertical="center"/>
    </xf>
    <xf numFmtId="0" fontId="5" fillId="0" borderId="0" xfId="3" applyNumberFormat="1" applyFont="1" applyFill="1" applyBorder="1" applyAlignment="1">
      <alignment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21" xfId="3" applyNumberFormat="1" applyFont="1" applyFill="1" applyBorder="1" applyAlignment="1">
      <alignment horizontal="center" vertical="center" wrapText="1"/>
    </xf>
    <xf numFmtId="41" fontId="9" fillId="0" borderId="54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0" fontId="1" fillId="0" borderId="41" xfId="3" applyNumberFormat="1" applyFill="1" applyBorder="1" applyAlignment="1">
      <alignment horizontal="center" vertical="center"/>
    </xf>
    <xf numFmtId="0" fontId="1" fillId="0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41" fontId="9" fillId="4" borderId="52" xfId="1" applyFont="1" applyFill="1" applyBorder="1" applyAlignment="1">
      <alignment vertical="center"/>
    </xf>
    <xf numFmtId="41" fontId="18" fillId="4" borderId="52" xfId="1" applyFont="1" applyFill="1" applyBorder="1" applyAlignment="1">
      <alignment vertical="center"/>
    </xf>
    <xf numFmtId="41" fontId="8" fillId="4" borderId="27" xfId="4" applyNumberFormat="1" applyFont="1" applyFill="1" applyBorder="1" applyAlignment="1">
      <alignment horizontal="center" vertical="center"/>
    </xf>
    <xf numFmtId="176" fontId="7" fillId="3" borderId="72" xfId="1" applyNumberFormat="1" applyFont="1" applyFill="1" applyBorder="1" applyAlignment="1">
      <alignment horizontal="center" vertical="center"/>
    </xf>
    <xf numFmtId="176" fontId="7" fillId="3" borderId="48" xfId="1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176" fontId="7" fillId="3" borderId="35" xfId="1" applyNumberFormat="1" applyFont="1" applyFill="1" applyBorder="1" applyAlignment="1">
      <alignment horizontal="center" vertical="center"/>
    </xf>
    <xf numFmtId="176" fontId="1" fillId="0" borderId="39" xfId="3" applyNumberFormat="1" applyFont="1" applyFill="1" applyBorder="1" applyAlignment="1">
      <alignment horizontal="center" vertical="center"/>
    </xf>
    <xf numFmtId="176" fontId="7" fillId="0" borderId="36" xfId="1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horizontal="left" vertical="center"/>
    </xf>
    <xf numFmtId="0" fontId="1" fillId="2" borderId="40" xfId="3" applyNumberFormat="1" applyFont="1" applyFill="1" applyBorder="1" applyAlignment="1">
      <alignment horizontal="center" vertical="center"/>
    </xf>
    <xf numFmtId="176" fontId="1" fillId="0" borderId="73" xfId="3" applyNumberFormat="1" applyFont="1" applyFill="1" applyBorder="1" applyAlignment="1">
      <alignment horizontal="center" vertical="center"/>
    </xf>
    <xf numFmtId="176" fontId="1" fillId="3" borderId="72" xfId="1" applyNumberFormat="1" applyFont="1" applyFill="1" applyBorder="1" applyAlignment="1">
      <alignment horizontal="center" vertical="center"/>
    </xf>
    <xf numFmtId="176" fontId="8" fillId="3" borderId="73" xfId="1" applyNumberFormat="1" applyFont="1" applyFill="1" applyBorder="1" applyAlignment="1">
      <alignment horizontal="center" vertical="center"/>
    </xf>
    <xf numFmtId="176" fontId="8" fillId="3" borderId="72" xfId="1" applyNumberFormat="1" applyFont="1" applyFill="1" applyBorder="1" applyAlignment="1">
      <alignment horizontal="center" vertical="center"/>
    </xf>
    <xf numFmtId="41" fontId="9" fillId="0" borderId="29" xfId="1" applyFont="1" applyFill="1" applyBorder="1" applyAlignment="1">
      <alignment vertical="center"/>
    </xf>
    <xf numFmtId="0" fontId="1" fillId="2" borderId="40" xfId="3" applyNumberFormat="1" applyFill="1" applyBorder="1" applyAlignment="1">
      <alignment horizontal="center" vertical="center"/>
    </xf>
    <xf numFmtId="0" fontId="1" fillId="2" borderId="46" xfId="3" applyNumberFormat="1" applyFill="1" applyBorder="1" applyAlignment="1">
      <alignment horizontal="center" vertical="center"/>
    </xf>
    <xf numFmtId="0" fontId="5" fillId="2" borderId="25" xfId="3" applyNumberFormat="1" applyFont="1" applyFill="1" applyBorder="1" applyAlignment="1">
      <alignment horizontal="center" vertical="center"/>
    </xf>
    <xf numFmtId="0" fontId="19" fillId="0" borderId="0" xfId="3" applyNumberFormat="1" applyFont="1" applyFill="1" applyAlignment="1">
      <alignment horizontal="left" vertical="center"/>
    </xf>
    <xf numFmtId="0" fontId="10" fillId="0" borderId="0" xfId="3" applyNumberFormat="1" applyFont="1" applyFill="1" applyBorder="1" applyAlignment="1">
      <alignment vertical="center"/>
    </xf>
    <xf numFmtId="0" fontId="11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11" fillId="0" borderId="0" xfId="3" applyNumberFormat="1" applyFont="1" applyFill="1" applyBorder="1" applyAlignment="1">
      <alignment horizontal="left" vertical="center"/>
    </xf>
    <xf numFmtId="0" fontId="11" fillId="0" borderId="0" xfId="3" applyNumberFormat="1" applyFont="1" applyFill="1">
      <alignment vertical="center"/>
    </xf>
    <xf numFmtId="178" fontId="11" fillId="0" borderId="0" xfId="2" applyNumberFormat="1" applyFont="1" applyFill="1" applyBorder="1" applyAlignment="1">
      <alignment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178" fontId="1" fillId="0" borderId="18" xfId="2" applyNumberFormat="1" applyFont="1" applyFill="1" applyBorder="1">
      <alignment vertical="center"/>
    </xf>
    <xf numFmtId="0" fontId="1" fillId="2" borderId="71" xfId="3" applyNumberFormat="1" applyFill="1" applyBorder="1" applyAlignment="1">
      <alignment horizontal="center" vertical="center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71" xfId="3" applyNumberFormat="1" applyFont="1" applyFill="1" applyBorder="1" applyAlignment="1">
      <alignment horizontal="center" vertical="center" wrapText="1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5" xfId="3" applyNumberFormat="1" applyFont="1" applyFill="1" applyBorder="1" applyAlignment="1">
      <alignment horizontal="center" vertical="center" wrapText="1"/>
    </xf>
    <xf numFmtId="0" fontId="1" fillId="2" borderId="8" xfId="3" applyNumberFormat="1" applyFont="1" applyFill="1" applyBorder="1" applyAlignment="1">
      <alignment horizontal="center" vertical="center" wrapText="1"/>
    </xf>
    <xf numFmtId="41" fontId="9" fillId="0" borderId="76" xfId="1" applyFont="1" applyFill="1" applyBorder="1" applyAlignment="1">
      <alignment vertical="center"/>
    </xf>
    <xf numFmtId="176" fontId="5" fillId="2" borderId="26" xfId="3" applyNumberFormat="1" applyFont="1" applyFill="1" applyBorder="1" applyAlignment="1">
      <alignment horizontal="center" vertical="center"/>
    </xf>
    <xf numFmtId="176" fontId="13" fillId="2" borderId="57" xfId="1" applyNumberFormat="1" applyFont="1" applyFill="1" applyBorder="1" applyAlignment="1">
      <alignment horizontal="center" vertical="center"/>
    </xf>
    <xf numFmtId="0" fontId="1" fillId="5" borderId="18" xfId="3" applyNumberFormat="1" applyFill="1" applyBorder="1">
      <alignment vertical="center"/>
    </xf>
    <xf numFmtId="178" fontId="1" fillId="0" borderId="12" xfId="2" applyNumberFormat="1" applyFont="1" applyFill="1" applyBorder="1">
      <alignment vertical="center"/>
    </xf>
    <xf numFmtId="178" fontId="1" fillId="5" borderId="12" xfId="2" applyNumberFormat="1" applyFont="1" applyFill="1" applyBorder="1">
      <alignment vertical="center"/>
    </xf>
    <xf numFmtId="178" fontId="1" fillId="0" borderId="52" xfId="2" applyNumberFormat="1" applyFont="1" applyFill="1" applyBorder="1">
      <alignment vertical="center"/>
    </xf>
    <xf numFmtId="0" fontId="1" fillId="2" borderId="25" xfId="3" applyNumberFormat="1" applyFont="1" applyFill="1" applyBorder="1" applyAlignment="1">
      <alignment horizontal="center" vertical="center"/>
    </xf>
    <xf numFmtId="176" fontId="1" fillId="0" borderId="76" xfId="3" applyNumberFormat="1" applyFon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0" borderId="63" xfId="3" applyNumberFormat="1" applyFon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6" borderId="38" xfId="3" applyNumberFormat="1" applyFill="1" applyBorder="1" applyAlignment="1">
      <alignment horizontal="center" vertical="center"/>
    </xf>
    <xf numFmtId="0" fontId="1" fillId="6" borderId="46" xfId="3" applyNumberFormat="1" applyFill="1" applyBorder="1" applyAlignment="1">
      <alignment horizontal="center" vertical="center"/>
    </xf>
    <xf numFmtId="0" fontId="11" fillId="0" borderId="12" xfId="2" applyNumberFormat="1" applyFont="1" applyFill="1" applyBorder="1" applyAlignment="1">
      <alignment vertical="center"/>
    </xf>
    <xf numFmtId="0" fontId="5" fillId="2" borderId="16" xfId="3" applyNumberFormat="1" applyFont="1" applyFill="1" applyBorder="1" applyAlignment="1">
      <alignment horizontal="center" vertical="center"/>
    </xf>
    <xf numFmtId="0" fontId="5" fillId="2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>
      <alignment vertical="center"/>
    </xf>
    <xf numFmtId="0" fontId="1" fillId="2" borderId="0" xfId="3" applyNumberFormat="1" applyFill="1" applyBorder="1" applyAlignment="1">
      <alignment horizontal="center" vertical="center"/>
    </xf>
    <xf numFmtId="41" fontId="5" fillId="4" borderId="0" xfId="3" applyNumberFormat="1" applyFont="1" applyFill="1" applyBorder="1" applyAlignment="1">
      <alignment horizontal="center" vertical="center"/>
    </xf>
    <xf numFmtId="0" fontId="5" fillId="4" borderId="17" xfId="3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center" vertical="center"/>
    </xf>
    <xf numFmtId="0" fontId="21" fillId="0" borderId="0" xfId="3" applyNumberFormat="1" applyFont="1" applyFill="1" applyBorder="1" applyAlignment="1">
      <alignment horizontal="left" vertical="center"/>
    </xf>
    <xf numFmtId="0" fontId="21" fillId="0" borderId="0" xfId="3" applyNumberFormat="1" applyFont="1" applyFill="1">
      <alignment vertical="center"/>
    </xf>
    <xf numFmtId="41" fontId="21" fillId="0" borderId="0" xfId="1" applyFont="1" applyFill="1">
      <alignment vertical="center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6" borderId="77" xfId="3" applyNumberFormat="1" applyFill="1" applyBorder="1" applyAlignment="1">
      <alignment horizontal="center" vertical="center"/>
    </xf>
    <xf numFmtId="0" fontId="1" fillId="2" borderId="77" xfId="3" applyNumberFormat="1" applyFont="1" applyFill="1" applyBorder="1" applyAlignment="1">
      <alignment horizontal="center" vertical="center"/>
    </xf>
    <xf numFmtId="176" fontId="1" fillId="3" borderId="79" xfId="1" applyNumberFormat="1" applyFont="1" applyFill="1" applyBorder="1" applyAlignment="1">
      <alignment horizontal="center" vertical="center"/>
    </xf>
    <xf numFmtId="176" fontId="8" fillId="3" borderId="78" xfId="1" applyNumberFormat="1" applyFont="1" applyFill="1" applyBorder="1" applyAlignment="1">
      <alignment horizontal="center" vertical="center"/>
    </xf>
    <xf numFmtId="176" fontId="8" fillId="3" borderId="79" xfId="1" applyNumberFormat="1" applyFont="1" applyFill="1" applyBorder="1" applyAlignment="1">
      <alignment horizontal="center" vertical="center"/>
    </xf>
    <xf numFmtId="176" fontId="7" fillId="3" borderId="79" xfId="1" applyNumberFormat="1" applyFont="1" applyFill="1" applyBorder="1" applyAlignment="1">
      <alignment horizontal="center" vertical="center"/>
    </xf>
    <xf numFmtId="176" fontId="1" fillId="2" borderId="80" xfId="3" applyNumberFormat="1" applyFont="1" applyFill="1" applyBorder="1" applyAlignment="1">
      <alignment horizontal="center" vertical="center"/>
    </xf>
    <xf numFmtId="176" fontId="1" fillId="2" borderId="81" xfId="3" applyNumberFormat="1" applyFont="1" applyFill="1" applyBorder="1" applyAlignment="1">
      <alignment horizontal="center" vertical="center"/>
    </xf>
    <xf numFmtId="176" fontId="1" fillId="2" borderId="82" xfId="3" applyNumberFormat="1" applyFont="1" applyFill="1" applyBorder="1" applyAlignment="1">
      <alignment horizontal="center" vertical="center"/>
    </xf>
    <xf numFmtId="176" fontId="1" fillId="0" borderId="33" xfId="1" applyNumberFormat="1" applyFont="1" applyFill="1" applyBorder="1" applyAlignment="1">
      <alignment horizontal="center" vertical="center"/>
    </xf>
    <xf numFmtId="176" fontId="1" fillId="0" borderId="38" xfId="1" applyNumberFormat="1" applyFont="1" applyFill="1" applyBorder="1" applyAlignment="1">
      <alignment horizontal="center" vertical="center"/>
    </xf>
    <xf numFmtId="176" fontId="1" fillId="0" borderId="46" xfId="1" applyNumberFormat="1" applyFont="1" applyFill="1" applyBorder="1" applyAlignment="1">
      <alignment horizontal="center" vertical="center"/>
    </xf>
    <xf numFmtId="176" fontId="1" fillId="0" borderId="81" xfId="3" applyNumberFormat="1" applyFont="1" applyFill="1" applyBorder="1" applyAlignment="1">
      <alignment horizontal="center" vertical="center"/>
    </xf>
    <xf numFmtId="0" fontId="1" fillId="2" borderId="33" xfId="3" applyNumberFormat="1" applyFont="1" applyFill="1" applyBorder="1" applyAlignment="1">
      <alignment horizontal="center" vertical="center"/>
    </xf>
    <xf numFmtId="176" fontId="1" fillId="2" borderId="78" xfId="3" applyNumberFormat="1" applyFont="1" applyFill="1" applyBorder="1" applyAlignment="1">
      <alignment horizontal="center" vertical="center"/>
    </xf>
    <xf numFmtId="178" fontId="1" fillId="5" borderId="52" xfId="2" applyNumberFormat="1" applyFont="1" applyFill="1" applyBorder="1">
      <alignment vertical="center"/>
    </xf>
    <xf numFmtId="0" fontId="1" fillId="0" borderId="18" xfId="2" applyNumberFormat="1" applyFont="1" applyFill="1" applyBorder="1">
      <alignment vertical="center"/>
    </xf>
    <xf numFmtId="176" fontId="1" fillId="0" borderId="45" xfId="1" applyNumberFormat="1" applyFont="1" applyFill="1" applyBorder="1" applyAlignment="1">
      <alignment horizontal="center" vertical="center"/>
    </xf>
    <xf numFmtId="177" fontId="1" fillId="4" borderId="45" xfId="1" applyNumberFormat="1" applyFont="1" applyFill="1" applyBorder="1" applyAlignment="1">
      <alignment horizontal="center" vertical="center"/>
    </xf>
    <xf numFmtId="9" fontId="1" fillId="0" borderId="18" xfId="2" applyFont="1" applyFill="1" applyBorder="1">
      <alignment vertical="center"/>
    </xf>
    <xf numFmtId="9" fontId="11" fillId="0" borderId="52" xfId="2" applyFont="1" applyFill="1" applyBorder="1" applyAlignment="1">
      <alignment vertical="center"/>
    </xf>
    <xf numFmtId="9" fontId="11" fillId="5" borderId="52" xfId="2" applyFont="1" applyFill="1" applyBorder="1" applyAlignment="1">
      <alignment vertical="center"/>
    </xf>
    <xf numFmtId="9" fontId="1" fillId="0" borderId="52" xfId="2" applyFont="1" applyFill="1" applyBorder="1">
      <alignment vertical="center"/>
    </xf>
    <xf numFmtId="9" fontId="1" fillId="0" borderId="32" xfId="2" applyFont="1" applyFill="1" applyBorder="1">
      <alignment vertical="center"/>
    </xf>
    <xf numFmtId="9" fontId="1" fillId="5" borderId="52" xfId="2" applyFont="1" applyFill="1" applyBorder="1">
      <alignment vertical="center"/>
    </xf>
    <xf numFmtId="9" fontId="1" fillId="5" borderId="32" xfId="2" applyFont="1" applyFill="1" applyBorder="1">
      <alignment vertical="center"/>
    </xf>
    <xf numFmtId="176" fontId="1" fillId="0" borderId="42" xfId="1" applyNumberFormat="1" applyFont="1" applyFill="1" applyBorder="1" applyAlignment="1">
      <alignment horizontal="center" vertical="center"/>
    </xf>
    <xf numFmtId="176" fontId="8" fillId="2" borderId="48" xfId="1" applyNumberFormat="1" applyFont="1" applyFill="1" applyBorder="1" applyAlignment="1">
      <alignment horizontal="center" vertical="center"/>
    </xf>
    <xf numFmtId="176" fontId="8" fillId="2" borderId="36" xfId="1" applyNumberFormat="1" applyFont="1" applyFill="1" applyBorder="1" applyAlignment="1">
      <alignment horizontal="center" vertical="center"/>
    </xf>
    <xf numFmtId="176" fontId="8" fillId="2" borderId="35" xfId="1" applyNumberFormat="1" applyFont="1" applyFill="1" applyBorder="1" applyAlignment="1">
      <alignment horizontal="center" vertical="center"/>
    </xf>
    <xf numFmtId="176" fontId="8" fillId="2" borderId="79" xfId="1" applyNumberFormat="1" applyFont="1" applyFill="1" applyBorder="1" applyAlignment="1">
      <alignment horizontal="center" vertical="center"/>
    </xf>
    <xf numFmtId="178" fontId="1" fillId="0" borderId="85" xfId="2" applyNumberFormat="1" applyFont="1" applyFill="1" applyBorder="1">
      <alignment vertical="center"/>
    </xf>
    <xf numFmtId="178" fontId="1" fillId="0" borderId="86" xfId="2" applyNumberFormat="1" applyFont="1" applyFill="1" applyBorder="1">
      <alignment vertical="center"/>
    </xf>
    <xf numFmtId="178" fontId="1" fillId="0" borderId="87" xfId="2" applyNumberFormat="1" applyFont="1" applyFill="1" applyBorder="1">
      <alignment vertical="center"/>
    </xf>
    <xf numFmtId="9" fontId="11" fillId="0" borderId="85" xfId="2" applyFont="1" applyFill="1" applyBorder="1" applyAlignment="1">
      <alignment vertical="center"/>
    </xf>
    <xf numFmtId="9" fontId="11" fillId="0" borderId="86" xfId="2" applyFont="1" applyFill="1" applyBorder="1" applyAlignment="1">
      <alignment vertical="center"/>
    </xf>
    <xf numFmtId="9" fontId="11" fillId="0" borderId="87" xfId="2" applyFont="1" applyFill="1" applyBorder="1" applyAlignment="1">
      <alignment vertical="center"/>
    </xf>
    <xf numFmtId="9" fontId="1" fillId="0" borderId="85" xfId="2" applyFont="1" applyFill="1" applyBorder="1">
      <alignment vertical="center"/>
    </xf>
    <xf numFmtId="9" fontId="1" fillId="0" borderId="86" xfId="2" applyFont="1" applyFill="1" applyBorder="1">
      <alignment vertical="center"/>
    </xf>
    <xf numFmtId="9" fontId="1" fillId="0" borderId="87" xfId="2" applyFont="1" applyFill="1" applyBorder="1">
      <alignment vertical="center"/>
    </xf>
    <xf numFmtId="41" fontId="11" fillId="0" borderId="50" xfId="2" applyNumberFormat="1" applyFont="1" applyFill="1" applyBorder="1" applyAlignment="1">
      <alignment vertical="center"/>
    </xf>
    <xf numFmtId="178" fontId="1" fillId="0" borderId="50" xfId="2" applyNumberFormat="1" applyFont="1" applyFill="1" applyBorder="1">
      <alignment vertical="center"/>
    </xf>
    <xf numFmtId="0" fontId="1" fillId="0" borderId="51" xfId="2" applyNumberFormat="1" applyFont="1" applyFill="1" applyBorder="1">
      <alignment vertical="center"/>
    </xf>
    <xf numFmtId="178" fontId="11" fillId="5" borderId="37" xfId="2" applyNumberFormat="1" applyFont="1" applyFill="1" applyBorder="1" applyAlignment="1">
      <alignment vertical="center"/>
    </xf>
    <xf numFmtId="9" fontId="1" fillId="5" borderId="37" xfId="2" applyFont="1" applyFill="1" applyBorder="1">
      <alignment vertical="center"/>
    </xf>
    <xf numFmtId="9" fontId="1" fillId="5" borderId="21" xfId="2" applyFont="1" applyFill="1" applyBorder="1">
      <alignment vertical="center"/>
    </xf>
    <xf numFmtId="9" fontId="11" fillId="0" borderId="71" xfId="2" applyFont="1" applyFill="1" applyBorder="1" applyAlignment="1">
      <alignment vertical="center"/>
    </xf>
    <xf numFmtId="178" fontId="1" fillId="0" borderId="7" xfId="2" applyNumberFormat="1" applyFont="1" applyFill="1" applyBorder="1">
      <alignment vertical="center"/>
    </xf>
    <xf numFmtId="9" fontId="1" fillId="0" borderId="23" xfId="2" applyFont="1" applyFill="1" applyBorder="1">
      <alignment vertical="center"/>
    </xf>
    <xf numFmtId="9" fontId="11" fillId="0" borderId="54" xfId="2" applyFont="1" applyFill="1" applyBorder="1" applyAlignment="1">
      <alignment vertical="center"/>
    </xf>
    <xf numFmtId="0" fontId="1" fillId="2" borderId="66" xfId="3" applyNumberFormat="1" applyFill="1" applyBorder="1" applyAlignment="1">
      <alignment horizontal="center" vertical="center"/>
    </xf>
    <xf numFmtId="0" fontId="11" fillId="2" borderId="60" xfId="3" applyNumberFormat="1" applyFont="1" applyFill="1" applyBorder="1" applyAlignment="1">
      <alignment horizontal="center" vertical="center"/>
    </xf>
    <xf numFmtId="0" fontId="1" fillId="2" borderId="60" xfId="3" applyNumberFormat="1" applyFill="1" applyBorder="1" applyAlignment="1">
      <alignment horizontal="center" vertical="center"/>
    </xf>
    <xf numFmtId="178" fontId="1" fillId="0" borderId="37" xfId="2" applyNumberFormat="1" applyFont="1" applyFill="1" applyBorder="1">
      <alignment vertical="center"/>
    </xf>
    <xf numFmtId="0" fontId="11" fillId="0" borderId="71" xfId="2" applyNumberFormat="1" applyFont="1" applyFill="1" applyBorder="1" applyAlignment="1">
      <alignment vertical="center"/>
    </xf>
    <xf numFmtId="178" fontId="1" fillId="0" borderId="23" xfId="2" applyNumberFormat="1" applyFont="1" applyFill="1" applyBorder="1">
      <alignment vertical="center"/>
    </xf>
    <xf numFmtId="178" fontId="11" fillId="5" borderId="41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1" fillId="5" borderId="54" xfId="2" applyNumberFormat="1" applyFont="1" applyFill="1" applyBorder="1" applyAlignment="1">
      <alignment vertical="center"/>
    </xf>
    <xf numFmtId="0" fontId="1" fillId="5" borderId="32" xfId="3" applyNumberFormat="1" applyFill="1" applyBorder="1">
      <alignment vertical="center"/>
    </xf>
    <xf numFmtId="0" fontId="1" fillId="2" borderId="66" xfId="3" applyNumberFormat="1" applyFont="1" applyFill="1" applyBorder="1" applyAlignment="1">
      <alignment horizontal="center" vertical="center"/>
    </xf>
    <xf numFmtId="41" fontId="11" fillId="0" borderId="37" xfId="2" applyNumberFormat="1" applyFont="1" applyFill="1" applyBorder="1" applyAlignment="1">
      <alignment vertical="center"/>
    </xf>
    <xf numFmtId="0" fontId="1" fillId="0" borderId="21" xfId="2" applyNumberFormat="1" applyFont="1" applyFill="1" applyBorder="1">
      <alignment vertical="center"/>
    </xf>
    <xf numFmtId="178" fontId="11" fillId="0" borderId="71" xfId="2" applyNumberFormat="1" applyFont="1" applyFill="1" applyBorder="1" applyAlignment="1">
      <alignment vertical="center"/>
    </xf>
    <xf numFmtId="0" fontId="1" fillId="2" borderId="62" xfId="3" applyNumberFormat="1" applyFont="1" applyFill="1" applyBorder="1" applyAlignment="1">
      <alignment horizontal="center" vertical="center"/>
    </xf>
    <xf numFmtId="0" fontId="1" fillId="2" borderId="88" xfId="3" applyNumberFormat="1" applyFont="1" applyFill="1" applyBorder="1" applyAlignment="1">
      <alignment horizontal="center" vertical="center"/>
    </xf>
    <xf numFmtId="0" fontId="1" fillId="2" borderId="89" xfId="3" applyNumberFormat="1" applyFont="1" applyFill="1" applyBorder="1" applyAlignment="1">
      <alignment horizontal="center" vertical="center"/>
    </xf>
    <xf numFmtId="0" fontId="1" fillId="2" borderId="90" xfId="3" applyNumberFormat="1" applyFont="1" applyFill="1" applyBorder="1" applyAlignment="1">
      <alignment horizontal="center" vertical="center"/>
    </xf>
    <xf numFmtId="0" fontId="1" fillId="2" borderId="91" xfId="3" applyNumberFormat="1" applyFont="1" applyFill="1" applyBorder="1" applyAlignment="1">
      <alignment horizontal="center" vertical="center"/>
    </xf>
    <xf numFmtId="0" fontId="1" fillId="2" borderId="92" xfId="3" applyNumberFormat="1" applyFont="1" applyFill="1" applyBorder="1" applyAlignment="1">
      <alignment horizontal="center" vertical="center"/>
    </xf>
    <xf numFmtId="0" fontId="1" fillId="6" borderId="93" xfId="3" applyNumberFormat="1" applyFill="1" applyBorder="1" applyAlignment="1">
      <alignment horizontal="center" vertical="center"/>
    </xf>
    <xf numFmtId="0" fontId="1" fillId="6" borderId="89" xfId="3" applyNumberFormat="1" applyFill="1" applyBorder="1" applyAlignment="1">
      <alignment horizontal="center" vertical="center"/>
    </xf>
    <xf numFmtId="0" fontId="1" fillId="6" borderId="90" xfId="3" applyNumberFormat="1" applyFill="1" applyBorder="1" applyAlignment="1">
      <alignment horizontal="center" vertical="center"/>
    </xf>
    <xf numFmtId="0" fontId="1" fillId="2" borderId="94" xfId="3" applyNumberFormat="1" applyFont="1" applyFill="1" applyBorder="1" applyAlignment="1">
      <alignment horizontal="center" vertical="center"/>
    </xf>
    <xf numFmtId="0" fontId="1" fillId="2" borderId="93" xfId="3" applyNumberFormat="1" applyFont="1" applyFill="1" applyBorder="1" applyAlignment="1">
      <alignment horizontal="center" vertical="center"/>
    </xf>
    <xf numFmtId="0" fontId="0" fillId="2" borderId="84" xfId="0" applyFill="1" applyBorder="1">
      <alignment vertical="center"/>
    </xf>
    <xf numFmtId="0" fontId="0" fillId="0" borderId="84" xfId="0" applyBorder="1">
      <alignment vertical="center"/>
    </xf>
    <xf numFmtId="0" fontId="0" fillId="4" borderId="84" xfId="0" applyFill="1" applyBorder="1">
      <alignment vertical="center"/>
    </xf>
    <xf numFmtId="176" fontId="5" fillId="4" borderId="55" xfId="3" applyNumberFormat="1" applyFont="1" applyFill="1" applyBorder="1" applyAlignment="1">
      <alignment horizontal="center" vertical="center"/>
    </xf>
    <xf numFmtId="176" fontId="5" fillId="4" borderId="56" xfId="1" applyNumberFormat="1" applyFont="1" applyFill="1" applyBorder="1" applyAlignment="1">
      <alignment horizontal="center" vertical="center"/>
    </xf>
    <xf numFmtId="176" fontId="12" fillId="4" borderId="56" xfId="1" applyNumberFormat="1" applyFont="1" applyFill="1" applyBorder="1" applyAlignment="1">
      <alignment horizontal="center" vertical="center"/>
    </xf>
    <xf numFmtId="176" fontId="13" fillId="4" borderId="56" xfId="1" applyNumberFormat="1" applyFont="1" applyFill="1" applyBorder="1" applyAlignment="1">
      <alignment horizontal="center" vertical="center"/>
    </xf>
    <xf numFmtId="176" fontId="12" fillId="4" borderId="55" xfId="1" applyNumberFormat="1" applyFont="1" applyFill="1" applyBorder="1" applyAlignment="1">
      <alignment horizontal="center" vertical="center"/>
    </xf>
    <xf numFmtId="176" fontId="5" fillId="4" borderId="27" xfId="1" applyNumberFormat="1" applyFont="1" applyFill="1" applyBorder="1" applyAlignment="1">
      <alignment horizontal="center" vertical="center"/>
    </xf>
    <xf numFmtId="0" fontId="0" fillId="0" borderId="75" xfId="0" applyBorder="1">
      <alignment vertical="center"/>
    </xf>
    <xf numFmtId="0" fontId="0" fillId="0" borderId="59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74" xfId="0" applyBorder="1">
      <alignment vertical="center"/>
    </xf>
    <xf numFmtId="0" fontId="0" fillId="0" borderId="64" xfId="0" applyBorder="1">
      <alignment vertical="center"/>
    </xf>
    <xf numFmtId="0" fontId="12" fillId="0" borderId="16" xfId="0" applyFont="1" applyBorder="1">
      <alignment vertical="center"/>
    </xf>
    <xf numFmtId="0" fontId="24" fillId="0" borderId="75" xfId="0" applyFont="1" applyBorder="1">
      <alignment vertical="center"/>
    </xf>
    <xf numFmtId="0" fontId="26" fillId="0" borderId="58" xfId="0" applyFont="1" applyBorder="1">
      <alignment vertical="center"/>
    </xf>
    <xf numFmtId="0" fontId="26" fillId="0" borderId="16" xfId="0" applyFont="1" applyBorder="1">
      <alignment vertical="center"/>
    </xf>
    <xf numFmtId="0" fontId="24" fillId="0" borderId="16" xfId="0" applyFont="1" applyBorder="1">
      <alignment vertical="center"/>
    </xf>
    <xf numFmtId="0" fontId="27" fillId="0" borderId="16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71" xfId="0" applyBorder="1">
      <alignment vertical="center"/>
    </xf>
    <xf numFmtId="0" fontId="0" fillId="0" borderId="41" xfId="0" applyBorder="1">
      <alignment vertical="center"/>
    </xf>
    <xf numFmtId="0" fontId="0" fillId="0" borderId="54" xfId="0" applyBorder="1">
      <alignment vertical="center"/>
    </xf>
    <xf numFmtId="0" fontId="12" fillId="0" borderId="19" xfId="0" applyFont="1" applyBorder="1">
      <alignment vertical="center"/>
    </xf>
    <xf numFmtId="0" fontId="8" fillId="0" borderId="16" xfId="0" applyFont="1" applyBorder="1">
      <alignment vertical="center"/>
    </xf>
    <xf numFmtId="176" fontId="1" fillId="7" borderId="34" xfId="3" applyNumberFormat="1" applyFont="1" applyFill="1" applyBorder="1" applyAlignment="1">
      <alignment horizontal="center" vertical="center"/>
    </xf>
    <xf numFmtId="176" fontId="1" fillId="0" borderId="44" xfId="1" applyNumberFormat="1" applyFont="1" applyFill="1" applyBorder="1" applyAlignment="1">
      <alignment horizontal="center" vertical="center"/>
    </xf>
    <xf numFmtId="0" fontId="11" fillId="0" borderId="41" xfId="2" applyNumberFormat="1" applyFont="1" applyFill="1" applyBorder="1" applyAlignment="1">
      <alignment vertical="center"/>
    </xf>
    <xf numFmtId="0" fontId="11" fillId="0" borderId="66" xfId="3" applyNumberFormat="1" applyFont="1" applyFill="1" applyBorder="1" applyAlignment="1">
      <alignment vertical="center"/>
    </xf>
    <xf numFmtId="0" fontId="11" fillId="0" borderId="65" xfId="3" applyNumberFormat="1" applyFont="1" applyFill="1" applyBorder="1" applyAlignment="1">
      <alignment vertical="center"/>
    </xf>
    <xf numFmtId="0" fontId="11" fillId="0" borderId="15" xfId="3" applyNumberFormat="1" applyFont="1" applyFill="1" applyBorder="1" applyAlignment="1">
      <alignment vertical="center"/>
    </xf>
    <xf numFmtId="0" fontId="11" fillId="0" borderId="95" xfId="3" applyNumberFormat="1" applyFont="1" applyFill="1" applyBorder="1" applyAlignment="1">
      <alignment horizontal="left" vertical="center"/>
    </xf>
    <xf numFmtId="0" fontId="11" fillId="0" borderId="96" xfId="3" applyNumberFormat="1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5" fillId="2" borderId="58" xfId="3" applyNumberFormat="1" applyFont="1" applyFill="1" applyBorder="1" applyAlignment="1">
      <alignment horizontal="left" vertical="center"/>
    </xf>
    <xf numFmtId="0" fontId="5" fillId="2" borderId="59" xfId="3" applyNumberFormat="1" applyFont="1" applyFill="1" applyBorder="1" applyAlignment="1">
      <alignment horizontal="left" vertical="center"/>
    </xf>
    <xf numFmtId="0" fontId="5" fillId="2" borderId="19" xfId="3" applyNumberFormat="1" applyFont="1" applyFill="1" applyBorder="1" applyAlignment="1">
      <alignment horizontal="left" vertical="center"/>
    </xf>
    <xf numFmtId="0" fontId="5" fillId="2" borderId="64" xfId="3" applyNumberFormat="1" applyFont="1" applyFill="1" applyBorder="1" applyAlignment="1">
      <alignment horizontal="left" vertical="center"/>
    </xf>
    <xf numFmtId="0" fontId="5" fillId="2" borderId="58" xfId="3" applyNumberFormat="1" applyFont="1" applyFill="1" applyBorder="1" applyAlignment="1">
      <alignment horizontal="left" vertical="center" wrapText="1"/>
    </xf>
    <xf numFmtId="0" fontId="5" fillId="2" borderId="59" xfId="3" applyNumberFormat="1" applyFont="1" applyFill="1" applyBorder="1" applyAlignment="1">
      <alignment horizontal="left" vertical="center" wrapText="1"/>
    </xf>
    <xf numFmtId="0" fontId="5" fillId="2" borderId="16" xfId="3" applyNumberFormat="1" applyFont="1" applyFill="1" applyBorder="1" applyAlignment="1">
      <alignment horizontal="left" vertical="center" wrapText="1"/>
    </xf>
    <xf numFmtId="0" fontId="5" fillId="2" borderId="17" xfId="3" applyNumberFormat="1" applyFont="1" applyFill="1" applyBorder="1" applyAlignment="1">
      <alignment horizontal="left" vertical="center" wrapText="1"/>
    </xf>
    <xf numFmtId="0" fontId="5" fillId="2" borderId="19" xfId="3" applyNumberFormat="1" applyFont="1" applyFill="1" applyBorder="1" applyAlignment="1">
      <alignment horizontal="left" vertical="center" wrapText="1"/>
    </xf>
    <xf numFmtId="0" fontId="5" fillId="2" borderId="64" xfId="3" applyNumberFormat="1" applyFont="1" applyFill="1" applyBorder="1" applyAlignment="1">
      <alignment horizontal="left" vertical="center" wrapText="1"/>
    </xf>
    <xf numFmtId="0" fontId="5" fillId="2" borderId="20" xfId="3" applyNumberFormat="1" applyFont="1" applyFill="1" applyBorder="1" applyAlignment="1">
      <alignment horizontal="center" vertical="center" wrapText="1"/>
    </xf>
    <xf numFmtId="0" fontId="5" fillId="2" borderId="24" xfId="3" applyNumberFormat="1" applyFont="1" applyFill="1" applyBorder="1" applyAlignment="1">
      <alignment horizontal="center" vertical="center" wrapText="1"/>
    </xf>
    <xf numFmtId="0" fontId="5" fillId="2" borderId="26" xfId="3" applyNumberFormat="1" applyFont="1" applyFill="1" applyBorder="1" applyAlignment="1">
      <alignment horizontal="center" vertical="center" wrapText="1"/>
    </xf>
    <xf numFmtId="0" fontId="1" fillId="0" borderId="4" xfId="3" applyNumberFormat="1" applyFill="1" applyBorder="1" applyAlignment="1">
      <alignment horizontal="center" vertical="center"/>
    </xf>
    <xf numFmtId="0" fontId="1" fillId="0" borderId="5" xfId="3" applyNumberFormat="1" applyFill="1" applyBorder="1" applyAlignment="1">
      <alignment horizontal="center" vertical="center"/>
    </xf>
    <xf numFmtId="0" fontId="1" fillId="0" borderId="6" xfId="3" applyNumberFormat="1" applyFill="1" applyBorder="1" applyAlignment="1">
      <alignment horizontal="center" vertical="center"/>
    </xf>
    <xf numFmtId="0" fontId="1" fillId="0" borderId="6" xfId="3" applyNumberFormat="1" applyFont="1" applyFill="1" applyBorder="1" applyAlignment="1">
      <alignment horizontal="center" vertical="center"/>
    </xf>
    <xf numFmtId="0" fontId="1" fillId="0" borderId="5" xfId="3" applyNumberFormat="1" applyFont="1" applyFill="1" applyBorder="1" applyAlignment="1">
      <alignment horizontal="center" vertical="center"/>
    </xf>
    <xf numFmtId="0" fontId="1" fillId="0" borderId="30" xfId="3" applyNumberFormat="1" applyFont="1" applyFill="1" applyBorder="1" applyAlignment="1">
      <alignment horizontal="center" vertical="center"/>
    </xf>
    <xf numFmtId="0" fontId="1" fillId="0" borderId="29" xfId="3" applyNumberFormat="1" applyFont="1" applyFill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left" vertical="center"/>
    </xf>
    <xf numFmtId="0" fontId="11" fillId="0" borderId="67" xfId="3" applyNumberFormat="1" applyFont="1" applyFill="1" applyBorder="1" applyAlignment="1">
      <alignment horizontal="left" vertical="center"/>
    </xf>
    <xf numFmtId="0" fontId="11" fillId="0" borderId="8" xfId="3" applyNumberFormat="1" applyFont="1" applyFill="1" applyBorder="1" applyAlignment="1">
      <alignment horizontal="left" vertical="center"/>
    </xf>
    <xf numFmtId="0" fontId="11" fillId="0" borderId="66" xfId="3" applyNumberFormat="1" applyFont="1" applyFill="1" applyBorder="1" applyAlignment="1">
      <alignment horizontal="left" vertical="center"/>
    </xf>
    <xf numFmtId="0" fontId="11" fillId="0" borderId="65" xfId="3" applyNumberFormat="1" applyFont="1" applyFill="1" applyBorder="1" applyAlignment="1">
      <alignment horizontal="left" vertical="center"/>
    </xf>
    <xf numFmtId="0" fontId="11" fillId="0" borderId="15" xfId="3" applyNumberFormat="1" applyFont="1" applyFill="1" applyBorder="1" applyAlignment="1">
      <alignment horizontal="left" vertical="center"/>
    </xf>
    <xf numFmtId="0" fontId="11" fillId="0" borderId="28" xfId="3" applyNumberFormat="1" applyFont="1" applyFill="1" applyBorder="1" applyAlignment="1">
      <alignment horizontal="left" vertical="center"/>
    </xf>
    <xf numFmtId="0" fontId="11" fillId="0" borderId="31" xfId="3" applyNumberFormat="1" applyFont="1" applyFill="1" applyBorder="1" applyAlignment="1">
      <alignment horizontal="left" vertical="center"/>
    </xf>
    <xf numFmtId="0" fontId="11" fillId="0" borderId="53" xfId="3" applyNumberFormat="1" applyFont="1" applyFill="1" applyBorder="1" applyAlignment="1">
      <alignment horizontal="left" vertical="center"/>
    </xf>
    <xf numFmtId="0" fontId="11" fillId="0" borderId="11" xfId="3" applyNumberFormat="1" applyFont="1" applyFill="1" applyBorder="1" applyAlignment="1">
      <alignment horizontal="left" vertical="center"/>
    </xf>
    <xf numFmtId="0" fontId="11" fillId="0" borderId="43" xfId="3" applyNumberFormat="1" applyFont="1" applyFill="1" applyBorder="1" applyAlignment="1">
      <alignment horizontal="left" vertical="center"/>
    </xf>
    <xf numFmtId="0" fontId="5" fillId="2" borderId="58" xfId="3" applyNumberFormat="1" applyFont="1" applyFill="1" applyBorder="1" applyAlignment="1">
      <alignment horizontal="center" vertical="center" wrapText="1"/>
    </xf>
    <xf numFmtId="0" fontId="5" fillId="2" borderId="16" xfId="3" applyNumberFormat="1" applyFont="1" applyFill="1" applyBorder="1" applyAlignment="1">
      <alignment horizontal="center" vertical="center" wrapText="1"/>
    </xf>
    <xf numFmtId="0" fontId="5" fillId="2" borderId="19" xfId="3" applyNumberFormat="1" applyFont="1" applyFill="1" applyBorder="1" applyAlignment="1">
      <alignment horizontal="center" vertical="center" wrapText="1"/>
    </xf>
    <xf numFmtId="0" fontId="5" fillId="2" borderId="68" xfId="3" applyNumberFormat="1" applyFont="1" applyFill="1" applyBorder="1" applyAlignment="1">
      <alignment horizontal="center" vertical="center" wrapText="1"/>
    </xf>
    <xf numFmtId="0" fontId="5" fillId="2" borderId="25" xfId="3" applyNumberFormat="1" applyFont="1" applyFill="1" applyBorder="1" applyAlignment="1">
      <alignment horizontal="center" vertical="center" wrapText="1"/>
    </xf>
    <xf numFmtId="0" fontId="5" fillId="2" borderId="51" xfId="3" applyNumberFormat="1" applyFont="1" applyFill="1" applyBorder="1" applyAlignment="1">
      <alignment horizontal="center" vertical="center" wrapText="1"/>
    </xf>
    <xf numFmtId="0" fontId="5" fillId="2" borderId="27" xfId="3" applyNumberFormat="1" applyFont="1" applyFill="1" applyBorder="1" applyAlignment="1">
      <alignment horizontal="center" vertical="center" wrapText="1"/>
    </xf>
    <xf numFmtId="0" fontId="11" fillId="0" borderId="4" xfId="3" applyNumberFormat="1" applyFont="1" applyFill="1" applyBorder="1" applyAlignment="1">
      <alignment horizontal="left" vertical="center" wrapText="1"/>
    </xf>
    <xf numFmtId="3" fontId="11" fillId="0" borderId="51" xfId="3" applyNumberFormat="1" applyFont="1" applyFill="1" applyBorder="1" applyAlignment="1">
      <alignment horizontal="center" vertical="center"/>
    </xf>
    <xf numFmtId="0" fontId="11" fillId="0" borderId="27" xfId="3" applyNumberFormat="1" applyFont="1" applyFill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left" vertical="center" wrapText="1"/>
    </xf>
    <xf numFmtId="0" fontId="11" fillId="0" borderId="66" xfId="3" applyNumberFormat="1" applyFont="1" applyFill="1" applyBorder="1" applyAlignment="1">
      <alignment horizontal="center" vertical="center"/>
    </xf>
    <xf numFmtId="0" fontId="11" fillId="0" borderId="65" xfId="3" applyNumberFormat="1" applyFont="1" applyFill="1" applyBorder="1" applyAlignment="1">
      <alignment horizontal="center" vertical="center"/>
    </xf>
    <xf numFmtId="0" fontId="11" fillId="0" borderId="15" xfId="3" applyNumberFormat="1" applyFont="1" applyFill="1" applyBorder="1" applyAlignment="1">
      <alignment horizontal="center" vertical="center"/>
    </xf>
    <xf numFmtId="0" fontId="11" fillId="0" borderId="50" xfId="3" applyNumberFormat="1" applyFont="1" applyFill="1" applyBorder="1" applyAlignment="1">
      <alignment horizontal="center" vertical="center"/>
    </xf>
    <xf numFmtId="0" fontId="11" fillId="0" borderId="63" xfId="3" applyNumberFormat="1" applyFont="1" applyFill="1" applyBorder="1" applyAlignment="1">
      <alignment horizontal="center" vertical="center"/>
    </xf>
    <xf numFmtId="0" fontId="11" fillId="0" borderId="51" xfId="3" applyNumberFormat="1" applyFont="1" applyFill="1" applyBorder="1" applyAlignment="1">
      <alignment horizontal="center" vertical="center"/>
    </xf>
    <xf numFmtId="0" fontId="11" fillId="0" borderId="21" xfId="3" applyNumberFormat="1" applyFont="1" applyFill="1" applyBorder="1" applyAlignment="1">
      <alignment horizontal="center" vertical="center"/>
    </xf>
    <xf numFmtId="0" fontId="1" fillId="0" borderId="62" xfId="3" applyNumberFormat="1" applyFont="1" applyFill="1" applyBorder="1" applyAlignment="1">
      <alignment horizontal="center" vertical="center"/>
    </xf>
    <xf numFmtId="0" fontId="1" fillId="0" borderId="19" xfId="3" applyNumberFormat="1" applyFont="1" applyFill="1" applyBorder="1" applyAlignment="1">
      <alignment horizontal="center" vertical="center"/>
    </xf>
    <xf numFmtId="0" fontId="1" fillId="0" borderId="50" xfId="3" applyNumberFormat="1" applyFont="1" applyFill="1" applyBorder="1" applyAlignment="1">
      <alignment horizontal="center" vertical="center"/>
    </xf>
    <xf numFmtId="0" fontId="1" fillId="0" borderId="56" xfId="3" applyNumberFormat="1" applyFont="1" applyFill="1" applyBorder="1" applyAlignment="1">
      <alignment horizontal="center" vertical="center"/>
    </xf>
    <xf numFmtId="3" fontId="11" fillId="0" borderId="50" xfId="3" applyNumberFormat="1" applyFont="1" applyFill="1" applyBorder="1" applyAlignment="1">
      <alignment horizontal="center" vertical="center"/>
    </xf>
    <xf numFmtId="0" fontId="11" fillId="0" borderId="56" xfId="3" applyNumberFormat="1" applyFont="1" applyFill="1" applyBorder="1" applyAlignment="1">
      <alignment horizontal="center" vertical="center"/>
    </xf>
    <xf numFmtId="0" fontId="5" fillId="2" borderId="20" xfId="3" applyNumberFormat="1" applyFont="1" applyFill="1" applyBorder="1" applyAlignment="1">
      <alignment horizontal="right" vertical="center" wrapText="1"/>
    </xf>
    <xf numFmtId="0" fontId="5" fillId="2" borderId="24" xfId="3" applyNumberFormat="1" applyFont="1" applyFill="1" applyBorder="1" applyAlignment="1">
      <alignment horizontal="right" vertical="center" wrapText="1"/>
    </xf>
    <xf numFmtId="0" fontId="5" fillId="2" borderId="26" xfId="3" applyNumberFormat="1" applyFont="1" applyFill="1" applyBorder="1" applyAlignment="1">
      <alignment horizontal="right" vertical="center" wrapText="1"/>
    </xf>
    <xf numFmtId="0" fontId="1" fillId="2" borderId="22" xfId="3" applyNumberFormat="1" applyFont="1" applyFill="1" applyBorder="1" applyAlignment="1">
      <alignment horizontal="center" vertical="center" wrapText="1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0" borderId="16" xfId="3" applyNumberFormat="1" applyFont="1" applyFill="1" applyBorder="1" applyAlignment="1">
      <alignment horizontal="center"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1" fillId="0" borderId="37" xfId="3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5" fillId="2" borderId="61" xfId="3" applyNumberFormat="1" applyFont="1" applyFill="1" applyBorder="1" applyAlignment="1">
      <alignment horizontal="center" vertical="center"/>
    </xf>
    <xf numFmtId="0" fontId="5" fillId="2" borderId="70" xfId="3" applyNumberFormat="1" applyFont="1" applyFill="1" applyBorder="1" applyAlignment="1">
      <alignment horizontal="center" vertical="center"/>
    </xf>
    <xf numFmtId="0" fontId="5" fillId="2" borderId="57" xfId="3" applyNumberFormat="1" applyFont="1" applyFill="1" applyBorder="1" applyAlignment="1">
      <alignment horizontal="center" vertical="center"/>
    </xf>
    <xf numFmtId="0" fontId="1" fillId="2" borderId="71" xfId="3" applyNumberFormat="1" applyFill="1" applyBorder="1" applyAlignment="1">
      <alignment horizontal="center" vertical="center"/>
    </xf>
    <xf numFmtId="0" fontId="1" fillId="2" borderId="7" xfId="3" applyNumberFormat="1" applyFill="1" applyBorder="1" applyAlignment="1">
      <alignment horizontal="center" vertical="center"/>
    </xf>
    <xf numFmtId="0" fontId="2" fillId="0" borderId="1" xfId="3" applyNumberFormat="1" applyFont="1" applyFill="1" applyBorder="1" applyAlignment="1">
      <alignment horizontal="center" vertical="center"/>
    </xf>
    <xf numFmtId="0" fontId="2" fillId="0" borderId="2" xfId="3" applyNumberFormat="1" applyFont="1" applyFill="1" applyBorder="1" applyAlignment="1">
      <alignment horizontal="center" vertical="center"/>
    </xf>
    <xf numFmtId="0" fontId="2" fillId="0" borderId="3" xfId="3" applyNumberFormat="1" applyFont="1" applyFill="1" applyBorder="1" applyAlignment="1">
      <alignment horizontal="center" vertical="center"/>
    </xf>
    <xf numFmtId="0" fontId="5" fillId="2" borderId="4" xfId="3" applyNumberFormat="1" applyFont="1" applyFill="1" applyBorder="1" applyAlignment="1">
      <alignment horizontal="center" vertical="center"/>
    </xf>
    <xf numFmtId="0" fontId="5" fillId="2" borderId="5" xfId="3" applyNumberFormat="1" applyFont="1" applyFill="1" applyBorder="1" applyAlignment="1">
      <alignment horizontal="center" vertical="center"/>
    </xf>
    <xf numFmtId="0" fontId="5" fillId="0" borderId="6" xfId="3" applyNumberFormat="1" applyFont="1" applyFill="1" applyBorder="1" applyAlignment="1">
      <alignment horizontal="center" vertical="center"/>
    </xf>
    <xf numFmtId="0" fontId="5" fillId="0" borderId="5" xfId="3" applyNumberFormat="1" applyFon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6" xfId="3" applyNumberFormat="1" applyFont="1" applyFill="1" applyBorder="1" applyAlignment="1">
      <alignment horizontal="center" vertical="center"/>
    </xf>
    <xf numFmtId="0" fontId="1" fillId="2" borderId="5" xfId="3" applyNumberFormat="1" applyFill="1" applyBorder="1" applyAlignment="1">
      <alignment horizontal="center" vertical="center"/>
    </xf>
    <xf numFmtId="0" fontId="1" fillId="2" borderId="6" xfId="3" applyNumberFormat="1" applyFill="1" applyBorder="1" applyAlignment="1">
      <alignment horizontal="center" vertical="center"/>
    </xf>
    <xf numFmtId="0" fontId="1" fillId="2" borderId="8" xfId="3" applyNumberFormat="1" applyFill="1" applyBorder="1" applyAlignment="1">
      <alignment horizontal="center" vertical="center"/>
    </xf>
    <xf numFmtId="0" fontId="5" fillId="2" borderId="9" xfId="3" applyNumberFormat="1" applyFont="1" applyFill="1" applyBorder="1" applyAlignment="1">
      <alignment horizontal="center" vertical="center"/>
    </xf>
    <xf numFmtId="0" fontId="5" fillId="2" borderId="10" xfId="3" applyNumberFormat="1" applyFont="1" applyFill="1" applyBorder="1" applyAlignment="1">
      <alignment horizontal="center" vertical="center"/>
    </xf>
    <xf numFmtId="0" fontId="1" fillId="0" borderId="13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41" fontId="5" fillId="4" borderId="13" xfId="3" applyNumberFormat="1" applyFont="1" applyFill="1" applyBorder="1" applyAlignment="1">
      <alignment horizontal="center" vertical="center"/>
    </xf>
    <xf numFmtId="0" fontId="5" fillId="4" borderId="15" xfId="3" applyNumberFormat="1" applyFont="1" applyFill="1" applyBorder="1" applyAlignment="1">
      <alignment horizontal="center" vertical="center"/>
    </xf>
    <xf numFmtId="0" fontId="11" fillId="0" borderId="58" xfId="3" applyNumberFormat="1" applyFont="1" applyFill="1" applyBorder="1" applyAlignment="1">
      <alignment horizontal="center" vertical="center" wrapText="1"/>
    </xf>
    <xf numFmtId="0" fontId="11" fillId="0" borderId="75" xfId="3" applyNumberFormat="1" applyFont="1" applyFill="1" applyBorder="1" applyAlignment="1">
      <alignment horizontal="center" vertical="center" wrapText="1"/>
    </xf>
    <xf numFmtId="0" fontId="11" fillId="0" borderId="59" xfId="3" applyNumberFormat="1" applyFont="1" applyFill="1" applyBorder="1" applyAlignment="1">
      <alignment horizontal="center" vertical="center" wrapText="1"/>
    </xf>
    <xf numFmtId="0" fontId="11" fillId="0" borderId="9" xfId="3" applyNumberFormat="1" applyFont="1" applyFill="1" applyBorder="1" applyAlignment="1">
      <alignment horizontal="center" vertical="center" wrapText="1"/>
    </xf>
    <xf numFmtId="0" fontId="11" fillId="0" borderId="11" xfId="3" applyNumberFormat="1" applyFont="1" applyFill="1" applyBorder="1" applyAlignment="1">
      <alignment horizontal="center" vertical="center" wrapText="1"/>
    </xf>
    <xf numFmtId="0" fontId="11" fillId="0" borderId="43" xfId="3" applyNumberFormat="1" applyFont="1" applyFill="1" applyBorder="1" applyAlignment="1">
      <alignment horizontal="center" vertical="center" wrapText="1"/>
    </xf>
    <xf numFmtId="0" fontId="11" fillId="0" borderId="62" xfId="3" applyNumberFormat="1" applyFont="1" applyFill="1" applyBorder="1" applyAlignment="1">
      <alignment horizontal="left" vertical="center"/>
    </xf>
    <xf numFmtId="0" fontId="11" fillId="0" borderId="95" xfId="3" applyNumberFormat="1" applyFont="1" applyFill="1" applyBorder="1" applyAlignment="1">
      <alignment horizontal="left" vertical="center"/>
    </xf>
    <xf numFmtId="0" fontId="11" fillId="0" borderId="96" xfId="3" applyNumberFormat="1" applyFont="1" applyFill="1" applyBorder="1" applyAlignment="1">
      <alignment horizontal="left" vertical="center"/>
    </xf>
    <xf numFmtId="0" fontId="11" fillId="0" borderId="9" xfId="3" applyNumberFormat="1" applyFont="1" applyFill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center" vertical="center"/>
    </xf>
    <xf numFmtId="0" fontId="11" fillId="0" borderId="43" xfId="3" applyNumberFormat="1" applyFont="1" applyFill="1" applyBorder="1" applyAlignment="1">
      <alignment horizontal="center" vertical="center"/>
    </xf>
    <xf numFmtId="0" fontId="11" fillId="0" borderId="67" xfId="3" applyNumberFormat="1" applyFont="1" applyFill="1" applyBorder="1" applyAlignment="1">
      <alignment horizontal="left" vertical="center" wrapText="1"/>
    </xf>
    <xf numFmtId="0" fontId="11" fillId="0" borderId="66" xfId="3" applyNumberFormat="1" applyFont="1" applyFill="1" applyBorder="1" applyAlignment="1">
      <alignment horizontal="left" vertical="center" wrapText="1"/>
    </xf>
    <xf numFmtId="0" fontId="11" fillId="0" borderId="65" xfId="3" applyNumberFormat="1" applyFont="1" applyFill="1" applyBorder="1" applyAlignment="1">
      <alignment horizontal="left" vertical="center" wrapText="1"/>
    </xf>
    <xf numFmtId="0" fontId="11" fillId="0" borderId="15" xfId="3" applyNumberFormat="1" applyFont="1" applyFill="1" applyBorder="1" applyAlignment="1">
      <alignment horizontal="left" vertical="center" wrapText="1"/>
    </xf>
    <xf numFmtId="0" fontId="11" fillId="0" borderId="8" xfId="3" applyNumberFormat="1" applyFont="1" applyFill="1" applyBorder="1" applyAlignment="1">
      <alignment horizontal="left" vertical="center" wrapText="1"/>
    </xf>
    <xf numFmtId="0" fontId="11" fillId="0" borderId="62" xfId="3" applyNumberFormat="1" applyFont="1" applyFill="1" applyBorder="1" applyAlignment="1">
      <alignment horizontal="center" vertical="center" wrapText="1"/>
    </xf>
    <xf numFmtId="0" fontId="11" fillId="0" borderId="95" xfId="3" applyNumberFormat="1" applyFont="1" applyFill="1" applyBorder="1" applyAlignment="1">
      <alignment horizontal="center" vertical="center" wrapText="1"/>
    </xf>
    <xf numFmtId="0" fontId="11" fillId="0" borderId="96" xfId="3" applyNumberFormat="1" applyFont="1" applyFill="1" applyBorder="1" applyAlignment="1">
      <alignment horizontal="center" vertical="center" wrapText="1"/>
    </xf>
    <xf numFmtId="0" fontId="11" fillId="0" borderId="58" xfId="3" applyNumberFormat="1" applyFont="1" applyFill="1" applyBorder="1" applyAlignment="1">
      <alignment horizontal="left" vertical="center" wrapText="1"/>
    </xf>
    <xf numFmtId="0" fontId="11" fillId="0" borderId="75" xfId="3" applyNumberFormat="1" applyFont="1" applyFill="1" applyBorder="1" applyAlignment="1">
      <alignment horizontal="left" vertical="center" wrapText="1"/>
    </xf>
    <xf numFmtId="0" fontId="11" fillId="0" borderId="59" xfId="3" applyNumberFormat="1" applyFont="1" applyFill="1" applyBorder="1" applyAlignment="1">
      <alignment horizontal="left" vertical="center" wrapText="1"/>
    </xf>
    <xf numFmtId="0" fontId="11" fillId="0" borderId="9" xfId="3" applyNumberFormat="1" applyFont="1" applyFill="1" applyBorder="1" applyAlignment="1">
      <alignment horizontal="left" vertical="center" wrapText="1"/>
    </xf>
    <xf numFmtId="0" fontId="11" fillId="0" borderId="43" xfId="3" applyNumberFormat="1" applyFont="1" applyFill="1" applyBorder="1" applyAlignment="1">
      <alignment horizontal="left" vertical="center" wrapText="1"/>
    </xf>
    <xf numFmtId="0" fontId="5" fillId="2" borderId="59" xfId="3" applyNumberFormat="1" applyFont="1" applyFill="1" applyBorder="1" applyAlignment="1">
      <alignment horizontal="center" vertical="center"/>
    </xf>
    <xf numFmtId="0" fontId="5" fillId="2" borderId="17" xfId="3" applyNumberFormat="1" applyFont="1" applyFill="1" applyBorder="1" applyAlignment="1">
      <alignment horizontal="center" vertical="center"/>
    </xf>
    <xf numFmtId="0" fontId="5" fillId="2" borderId="64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6" xfId="3" applyNumberFormat="1" applyFont="1" applyFill="1" applyBorder="1" applyAlignment="1">
      <alignment horizontal="center" vertical="center" wrapText="1"/>
    </xf>
    <xf numFmtId="0" fontId="5" fillId="2" borderId="83" xfId="3" applyNumberFormat="1" applyFont="1" applyFill="1" applyBorder="1" applyAlignment="1">
      <alignment horizontal="center" vertical="center" wrapText="1"/>
    </xf>
    <xf numFmtId="0" fontId="5" fillId="2" borderId="69" xfId="3" applyNumberFormat="1" applyFont="1" applyFill="1" applyBorder="1" applyAlignment="1">
      <alignment horizontal="center" vertical="center" wrapText="1"/>
    </xf>
    <xf numFmtId="178" fontId="1" fillId="0" borderId="18" xfId="2" applyNumberFormat="1" applyFont="1" applyFill="1" applyBorder="1" applyAlignment="1">
      <alignment vertical="center"/>
    </xf>
    <xf numFmtId="178" fontId="1" fillId="0" borderId="32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" fillId="0" borderId="12" xfId="2" applyNumberFormat="1" applyFont="1" applyFill="1" applyBorder="1" applyAlignment="1">
      <alignment vertical="center"/>
    </xf>
    <xf numFmtId="178" fontId="11" fillId="0" borderId="54" xfId="2" applyNumberFormat="1" applyFont="1" applyFill="1" applyBorder="1" applyAlignment="1">
      <alignment vertical="center"/>
    </xf>
    <xf numFmtId="178" fontId="1" fillId="0" borderId="52" xfId="2" applyNumberFormat="1" applyFont="1" applyFill="1" applyBorder="1" applyAlignment="1">
      <alignment vertical="center"/>
    </xf>
    <xf numFmtId="3" fontId="1" fillId="0" borderId="50" xfId="3" applyNumberFormat="1" applyFont="1" applyFill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쉼표 [0] 2" xfId="4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showGridLines="0" workbookViewId="0">
      <selection activeCell="K27" sqref="K27"/>
    </sheetView>
  </sheetViews>
  <sheetFormatPr defaultRowHeight="16.5" x14ac:dyDescent="0.3"/>
  <cols>
    <col min="9" max="9" width="11.25" customWidth="1"/>
  </cols>
  <sheetData>
    <row r="2" spans="2:13" ht="26.25" x14ac:dyDescent="0.3">
      <c r="B2" s="293" t="s">
        <v>152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</row>
    <row r="3" spans="2:13" ht="17.25" thickBot="1" x14ac:dyDescent="0.35"/>
    <row r="4" spans="2:13" ht="21" thickBot="1" x14ac:dyDescent="0.35">
      <c r="B4" s="271" t="s">
        <v>153</v>
      </c>
      <c r="C4" s="270"/>
      <c r="D4" s="262"/>
      <c r="E4" s="262"/>
      <c r="F4" s="262"/>
      <c r="G4" s="262"/>
      <c r="H4" s="262"/>
      <c r="I4" s="262"/>
      <c r="J4" s="262"/>
      <c r="K4" s="262"/>
      <c r="L4" s="262"/>
      <c r="M4" s="263"/>
    </row>
    <row r="5" spans="2:13" ht="21" customHeight="1" thickBot="1" x14ac:dyDescent="0.35">
      <c r="B5" s="253"/>
      <c r="C5" s="264" t="s">
        <v>138</v>
      </c>
      <c r="D5" s="264"/>
      <c r="E5" s="264"/>
      <c r="F5" s="264"/>
      <c r="G5" s="264"/>
      <c r="H5" s="264"/>
      <c r="I5" s="264"/>
      <c r="J5" s="264"/>
      <c r="K5" s="264"/>
      <c r="L5" s="264"/>
      <c r="M5" s="265"/>
    </row>
    <row r="6" spans="2:13" ht="21" customHeight="1" thickBot="1" x14ac:dyDescent="0.35">
      <c r="B6" s="254"/>
      <c r="C6" s="264" t="s">
        <v>139</v>
      </c>
      <c r="D6" s="264"/>
      <c r="E6" s="264"/>
      <c r="F6" s="264"/>
      <c r="G6" s="264"/>
      <c r="H6" s="264"/>
      <c r="I6" s="264"/>
      <c r="J6" s="264"/>
      <c r="K6" s="264"/>
      <c r="L6" s="264"/>
      <c r="M6" s="265"/>
    </row>
    <row r="7" spans="2:13" ht="21" customHeight="1" thickBot="1" x14ac:dyDescent="0.35">
      <c r="B7" s="255"/>
      <c r="C7" s="264" t="s">
        <v>140</v>
      </c>
      <c r="D7" s="264"/>
      <c r="E7" s="264"/>
      <c r="F7" s="264"/>
      <c r="G7" s="264"/>
      <c r="H7" s="264"/>
      <c r="I7" s="264"/>
      <c r="J7" s="264"/>
      <c r="K7" s="264"/>
      <c r="L7" s="264"/>
      <c r="M7" s="265"/>
    </row>
    <row r="8" spans="2:13" x14ac:dyDescent="0.3">
      <c r="B8" s="266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5"/>
    </row>
    <row r="9" spans="2:13" ht="20.25" x14ac:dyDescent="0.3">
      <c r="B9" s="272" t="s">
        <v>154</v>
      </c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5"/>
    </row>
    <row r="10" spans="2:13" ht="21" customHeight="1" x14ac:dyDescent="0.3">
      <c r="B10" s="274" t="s">
        <v>155</v>
      </c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5"/>
    </row>
    <row r="11" spans="2:13" ht="21" customHeight="1" x14ac:dyDescent="0.3">
      <c r="B11" s="273" t="s">
        <v>156</v>
      </c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5"/>
    </row>
    <row r="12" spans="2:13" x14ac:dyDescent="0.3">
      <c r="B12" s="266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5"/>
    </row>
    <row r="13" spans="2:13" ht="21" customHeight="1" x14ac:dyDescent="0.3">
      <c r="B13" s="274" t="s">
        <v>164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5"/>
    </row>
    <row r="14" spans="2:13" ht="21" customHeight="1" x14ac:dyDescent="0.3">
      <c r="B14" s="273" t="s">
        <v>136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5"/>
    </row>
    <row r="15" spans="2:13" ht="21" customHeight="1" x14ac:dyDescent="0.3">
      <c r="B15" s="266" t="s">
        <v>141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5"/>
    </row>
    <row r="16" spans="2:13" x14ac:dyDescent="0.3">
      <c r="B16" s="266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5"/>
    </row>
    <row r="17" spans="2:13" ht="21" customHeight="1" x14ac:dyDescent="0.3">
      <c r="B17" s="274" t="s">
        <v>157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5"/>
    </row>
    <row r="18" spans="2:13" ht="21" customHeight="1" x14ac:dyDescent="0.3">
      <c r="B18" s="273" t="s">
        <v>136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5"/>
    </row>
    <row r="19" spans="2:13" ht="21" customHeight="1" x14ac:dyDescent="0.3">
      <c r="B19" s="266" t="s">
        <v>137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5"/>
    </row>
    <row r="20" spans="2:13" ht="17.25" thickBot="1" x14ac:dyDescent="0.35">
      <c r="B20" s="266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5"/>
    </row>
    <row r="21" spans="2:13" ht="21" customHeight="1" x14ac:dyDescent="0.3">
      <c r="B21" s="276" t="s">
        <v>142</v>
      </c>
      <c r="C21" s="294" t="s">
        <v>166</v>
      </c>
      <c r="D21" s="294"/>
      <c r="E21" s="294"/>
      <c r="F21" s="294"/>
      <c r="G21" s="294"/>
      <c r="H21" s="294"/>
      <c r="I21" s="295"/>
      <c r="J21" s="275"/>
      <c r="K21" s="264"/>
      <c r="L21" s="264"/>
      <c r="M21" s="265"/>
    </row>
    <row r="22" spans="2:13" ht="21" customHeight="1" x14ac:dyDescent="0.3">
      <c r="B22" s="277" t="s">
        <v>143</v>
      </c>
      <c r="C22" s="289" t="s">
        <v>144</v>
      </c>
      <c r="D22" s="289"/>
      <c r="E22" s="289"/>
      <c r="F22" s="289"/>
      <c r="G22" s="289"/>
      <c r="H22" s="289"/>
      <c r="I22" s="290"/>
      <c r="J22" s="264"/>
      <c r="K22" s="264"/>
      <c r="L22" s="264"/>
      <c r="M22" s="265"/>
    </row>
    <row r="23" spans="2:13" ht="21" customHeight="1" x14ac:dyDescent="0.3">
      <c r="B23" s="277" t="s">
        <v>145</v>
      </c>
      <c r="C23" s="289" t="s">
        <v>146</v>
      </c>
      <c r="D23" s="289"/>
      <c r="E23" s="289"/>
      <c r="F23" s="289"/>
      <c r="G23" s="289"/>
      <c r="H23" s="289"/>
      <c r="I23" s="290"/>
      <c r="J23" s="264"/>
      <c r="K23" s="264"/>
      <c r="L23" s="264"/>
      <c r="M23" s="265"/>
    </row>
    <row r="24" spans="2:13" ht="21" customHeight="1" x14ac:dyDescent="0.3">
      <c r="B24" s="277" t="s">
        <v>147</v>
      </c>
      <c r="C24" s="296" t="s">
        <v>165</v>
      </c>
      <c r="D24" s="297"/>
      <c r="E24" s="297"/>
      <c r="F24" s="297"/>
      <c r="G24" s="297"/>
      <c r="H24" s="297"/>
      <c r="I24" s="298"/>
      <c r="J24" s="264"/>
      <c r="K24" s="264"/>
      <c r="L24" s="264"/>
      <c r="M24" s="265"/>
    </row>
    <row r="25" spans="2:13" ht="21" customHeight="1" x14ac:dyDescent="0.3">
      <c r="B25" s="277" t="s">
        <v>148</v>
      </c>
      <c r="C25" s="289" t="s">
        <v>149</v>
      </c>
      <c r="D25" s="289"/>
      <c r="E25" s="289"/>
      <c r="F25" s="289"/>
      <c r="G25" s="289"/>
      <c r="H25" s="289"/>
      <c r="I25" s="290"/>
      <c r="J25" s="264"/>
      <c r="K25" s="264"/>
      <c r="L25" s="264"/>
      <c r="M25" s="265"/>
    </row>
    <row r="26" spans="2:13" ht="21" customHeight="1" thickBot="1" x14ac:dyDescent="0.35">
      <c r="B26" s="278" t="s">
        <v>150</v>
      </c>
      <c r="C26" s="291" t="s">
        <v>151</v>
      </c>
      <c r="D26" s="291"/>
      <c r="E26" s="291"/>
      <c r="F26" s="291"/>
      <c r="G26" s="291"/>
      <c r="H26" s="291"/>
      <c r="I26" s="292"/>
      <c r="J26" s="264"/>
      <c r="K26" s="264"/>
      <c r="L26" s="264"/>
      <c r="M26" s="265"/>
    </row>
    <row r="27" spans="2:13" x14ac:dyDescent="0.3">
      <c r="B27" s="266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5"/>
    </row>
    <row r="28" spans="2:13" ht="21" customHeight="1" x14ac:dyDescent="0.3">
      <c r="B28" s="269" t="s">
        <v>158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5"/>
    </row>
    <row r="29" spans="2:13" ht="21" customHeight="1" x14ac:dyDescent="0.3">
      <c r="B29" s="269" t="s">
        <v>159</v>
      </c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5"/>
    </row>
    <row r="30" spans="2:13" ht="18" customHeight="1" x14ac:dyDescent="0.3">
      <c r="B30" s="280" t="s">
        <v>160</v>
      </c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5"/>
    </row>
    <row r="31" spans="2:13" ht="21" customHeight="1" thickBot="1" x14ac:dyDescent="0.35">
      <c r="B31" s="279" t="s">
        <v>161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8"/>
    </row>
  </sheetData>
  <mergeCells count="7">
    <mergeCell ref="C25:I25"/>
    <mergeCell ref="C26:I26"/>
    <mergeCell ref="B2:L2"/>
    <mergeCell ref="C22:I22"/>
    <mergeCell ref="C23:I23"/>
    <mergeCell ref="C21:I21"/>
    <mergeCell ref="C24:I2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86"/>
  <sheetViews>
    <sheetView topLeftCell="A61" zoomScale="90" zoomScaleNormal="90" workbookViewId="0">
      <selection activeCell="H46" sqref="H4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0" width="6.625" style="2" customWidth="1"/>
    <col min="11" max="16384" width="9" style="2"/>
  </cols>
  <sheetData>
    <row r="1" spans="1:10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  <c r="J1" s="1"/>
    </row>
    <row r="2" spans="1:10" x14ac:dyDescent="0.3">
      <c r="A2" s="375" t="s">
        <v>1</v>
      </c>
      <c r="B2" s="376"/>
      <c r="C2" s="377" t="s">
        <v>167</v>
      </c>
      <c r="D2" s="378"/>
      <c r="E2" s="371" t="s">
        <v>77</v>
      </c>
      <c r="F2" s="380" t="s">
        <v>2</v>
      </c>
      <c r="G2" s="381"/>
      <c r="H2" s="382" t="s">
        <v>76</v>
      </c>
      <c r="I2" s="383"/>
      <c r="J2" s="3"/>
    </row>
    <row r="3" spans="1:10" x14ac:dyDescent="0.3">
      <c r="A3" s="384" t="s">
        <v>3</v>
      </c>
      <c r="B3" s="385"/>
      <c r="C3" s="4" t="s">
        <v>185</v>
      </c>
      <c r="D3" s="5" t="s">
        <v>4</v>
      </c>
      <c r="E3" s="379"/>
      <c r="F3" s="386" t="s">
        <v>168</v>
      </c>
      <c r="G3" s="387"/>
      <c r="H3" s="388">
        <f>G11</f>
        <v>1915800</v>
      </c>
      <c r="I3" s="389"/>
      <c r="J3" s="3"/>
    </row>
    <row r="4" spans="1:10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  <c r="J4" s="3"/>
    </row>
    <row r="5" spans="1:10" x14ac:dyDescent="0.3">
      <c r="A5" s="7"/>
      <c r="B5" s="8"/>
      <c r="C5" s="8"/>
      <c r="D5" s="9"/>
      <c r="E5" s="10" t="s">
        <v>5</v>
      </c>
      <c r="F5" s="11" t="s">
        <v>6</v>
      </c>
      <c r="G5" s="12" t="s">
        <v>7</v>
      </c>
      <c r="H5" s="10" t="s">
        <v>8</v>
      </c>
      <c r="I5" s="13" t="s">
        <v>9</v>
      </c>
      <c r="J5" s="3"/>
    </row>
    <row r="6" spans="1:10" x14ac:dyDescent="0.3">
      <c r="A6" s="7"/>
      <c r="B6" s="8"/>
      <c r="C6" s="8"/>
      <c r="D6" s="9"/>
      <c r="E6" s="14" t="s">
        <v>169</v>
      </c>
      <c r="F6" s="15" t="s">
        <v>170</v>
      </c>
      <c r="G6" s="16" t="s">
        <v>171</v>
      </c>
      <c r="H6" s="17">
        <v>0.4</v>
      </c>
      <c r="I6" s="18">
        <v>0.38</v>
      </c>
      <c r="J6" s="3"/>
    </row>
    <row r="7" spans="1:10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  <c r="J7" s="3"/>
    </row>
    <row r="8" spans="1:10" ht="18" customHeight="1" thickBot="1" x14ac:dyDescent="0.35">
      <c r="A8" s="105"/>
      <c r="B8" s="106"/>
      <c r="C8" s="106"/>
      <c r="D8" s="106"/>
      <c r="E8" s="106"/>
      <c r="F8" s="106"/>
      <c r="G8" s="106"/>
      <c r="H8" s="106"/>
      <c r="I8" s="6"/>
      <c r="J8" s="3"/>
    </row>
    <row r="9" spans="1:10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  <c r="J9" s="3"/>
    </row>
    <row r="10" spans="1:10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  <c r="J10" s="3"/>
    </row>
    <row r="11" spans="1:10" ht="17.25" thickBot="1" x14ac:dyDescent="0.35">
      <c r="A11" s="314"/>
      <c r="B11" s="369"/>
      <c r="C11" s="101">
        <v>1759400</v>
      </c>
      <c r="D11" s="102">
        <v>137</v>
      </c>
      <c r="E11" s="109">
        <f>SUM(E55:I56)</f>
        <v>156400</v>
      </c>
      <c r="F11" s="109">
        <f>SUM(E53:I54)</f>
        <v>9</v>
      </c>
      <c r="G11" s="110">
        <f>C11+E11</f>
        <v>1915800</v>
      </c>
      <c r="H11" s="110">
        <f>D11+F11</f>
        <v>146</v>
      </c>
      <c r="I11" s="111">
        <f>G11/H11</f>
        <v>13121.917808219177</v>
      </c>
      <c r="J11" s="3"/>
    </row>
    <row r="12" spans="1:10" ht="30" customHeight="1" x14ac:dyDescent="0.3">
      <c r="A12" s="357" t="s">
        <v>14</v>
      </c>
      <c r="B12" s="20" t="s">
        <v>15</v>
      </c>
      <c r="C12" s="98">
        <v>9</v>
      </c>
      <c r="D12" s="99" t="s">
        <v>17</v>
      </c>
      <c r="E12" s="99" t="s">
        <v>18</v>
      </c>
      <c r="F12" s="360" t="s">
        <v>19</v>
      </c>
      <c r="G12" s="361"/>
      <c r="H12" s="98" t="s">
        <v>20</v>
      </c>
      <c r="I12" s="100" t="s">
        <v>21</v>
      </c>
      <c r="J12" s="3" t="s">
        <v>22</v>
      </c>
    </row>
    <row r="13" spans="1:10" ht="17.25" customHeight="1" x14ac:dyDescent="0.3">
      <c r="A13" s="358"/>
      <c r="B13" s="21" t="s">
        <v>23</v>
      </c>
      <c r="C13" s="22">
        <v>19</v>
      </c>
      <c r="D13" s="23"/>
      <c r="E13" s="22"/>
      <c r="F13" s="24"/>
      <c r="G13" s="25"/>
      <c r="H13" s="23">
        <v>1</v>
      </c>
      <c r="I13" s="26">
        <f>C13-D13-D14*1/2-E13-E14*1/2+F13-H13-H14*1/2-I14*1/2</f>
        <v>16.5</v>
      </c>
      <c r="J13" s="3"/>
    </row>
    <row r="14" spans="1:10" ht="17.25" customHeight="1" x14ac:dyDescent="0.3">
      <c r="A14" s="358"/>
      <c r="B14" s="27" t="s">
        <v>24</v>
      </c>
      <c r="C14" s="28"/>
      <c r="D14" s="29">
        <v>1</v>
      </c>
      <c r="E14" s="30">
        <v>1</v>
      </c>
      <c r="F14" s="31"/>
      <c r="G14" s="25"/>
      <c r="H14" s="29">
        <v>1</v>
      </c>
      <c r="I14" s="32"/>
      <c r="J14" s="3"/>
    </row>
    <row r="15" spans="1:10" ht="17.25" customHeight="1" x14ac:dyDescent="0.3">
      <c r="A15" s="358"/>
      <c r="B15" s="27" t="s">
        <v>25</v>
      </c>
      <c r="C15" s="33">
        <v>19</v>
      </c>
      <c r="D15" s="29"/>
      <c r="E15" s="30"/>
      <c r="F15" s="34"/>
      <c r="G15" s="25"/>
      <c r="H15" s="29">
        <v>4</v>
      </c>
      <c r="I15" s="35">
        <f>C15-D15-D16*1/2-E15-E16*1/2+F15-H15-H16*1/2-I16*1/2</f>
        <v>14.5</v>
      </c>
      <c r="J15" s="3"/>
    </row>
    <row r="16" spans="1:10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  <c r="J16" s="3"/>
    </row>
    <row r="17" spans="1:10" ht="17.25" customHeight="1" x14ac:dyDescent="0.3">
      <c r="A17" s="358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</v>
      </c>
      <c r="J17" s="3"/>
    </row>
    <row r="18" spans="1:10" ht="17.25" customHeight="1" x14ac:dyDescent="0.3">
      <c r="A18" s="358"/>
      <c r="B18" s="27" t="s">
        <v>28</v>
      </c>
      <c r="C18" s="28"/>
      <c r="D18" s="29"/>
      <c r="E18" s="30">
        <v>1</v>
      </c>
      <c r="F18" s="31"/>
      <c r="G18" s="25"/>
      <c r="H18" s="29">
        <v>1</v>
      </c>
      <c r="I18" s="36"/>
      <c r="J18" s="3"/>
    </row>
    <row r="19" spans="1:10" ht="17.25" customHeight="1" x14ac:dyDescent="0.3">
      <c r="A19" s="358"/>
      <c r="B19" s="27" t="s">
        <v>29</v>
      </c>
      <c r="C19" s="33">
        <v>13</v>
      </c>
      <c r="D19" s="29"/>
      <c r="E19" s="30">
        <v>1</v>
      </c>
      <c r="F19" s="34"/>
      <c r="G19" s="25"/>
      <c r="H19" s="29"/>
      <c r="I19" s="35">
        <f>C19-D19-D20*1/2-E19-E20*1/2+F19-H19-H20*1/2-I20*1/2</f>
        <v>11.5</v>
      </c>
      <c r="J19" s="3"/>
    </row>
    <row r="20" spans="1:10" ht="17.25" customHeight="1" x14ac:dyDescent="0.3">
      <c r="A20" s="358"/>
      <c r="B20" s="27" t="s">
        <v>30</v>
      </c>
      <c r="C20" s="28"/>
      <c r="D20" s="29">
        <v>1</v>
      </c>
      <c r="E20" s="30"/>
      <c r="F20" s="31"/>
      <c r="G20" s="25"/>
      <c r="H20" s="29"/>
      <c r="I20" s="38"/>
      <c r="J20" s="3"/>
    </row>
    <row r="21" spans="1:10" ht="17.25" customHeight="1" x14ac:dyDescent="0.3">
      <c r="A21" s="358"/>
      <c r="B21" s="39" t="s">
        <v>31</v>
      </c>
      <c r="C21" s="40">
        <v>59</v>
      </c>
      <c r="D21" s="41"/>
      <c r="E21" s="42">
        <v>2</v>
      </c>
      <c r="F21" s="43"/>
      <c r="G21" s="44"/>
      <c r="H21" s="43">
        <v>1</v>
      </c>
      <c r="I21" s="45">
        <f t="shared" ref="I21:I29" si="0">C21-D21-E21+F21-H21</f>
        <v>56</v>
      </c>
      <c r="J21" s="3"/>
    </row>
    <row r="22" spans="1:10" ht="17.25" customHeight="1" x14ac:dyDescent="0.3">
      <c r="A22" s="358"/>
      <c r="B22" s="21" t="s">
        <v>32</v>
      </c>
      <c r="C22" s="46">
        <v>47</v>
      </c>
      <c r="D22" s="23">
        <v>2</v>
      </c>
      <c r="E22" s="47">
        <v>7</v>
      </c>
      <c r="F22" s="48"/>
      <c r="G22" s="25"/>
      <c r="H22" s="48">
        <v>10</v>
      </c>
      <c r="I22" s="49">
        <f t="shared" si="0"/>
        <v>28</v>
      </c>
      <c r="J22" s="3"/>
    </row>
    <row r="23" spans="1:10" ht="17.25" customHeight="1" x14ac:dyDescent="0.3">
      <c r="A23" s="358"/>
      <c r="B23" s="27" t="s">
        <v>33</v>
      </c>
      <c r="C23" s="33">
        <v>130</v>
      </c>
      <c r="D23" s="29"/>
      <c r="E23" s="50">
        <v>2</v>
      </c>
      <c r="F23" s="51"/>
      <c r="G23" s="25"/>
      <c r="H23" s="51">
        <v>10</v>
      </c>
      <c r="I23" s="52">
        <f>C23-D23-D24-E23-E24+F23+F24-H23-H24-I24</f>
        <v>100</v>
      </c>
      <c r="J23" s="3"/>
    </row>
    <row r="24" spans="1:10" ht="17.25" customHeight="1" x14ac:dyDescent="0.3">
      <c r="A24" s="358"/>
      <c r="B24" s="19" t="s">
        <v>34</v>
      </c>
      <c r="C24" s="53"/>
      <c r="D24" s="41"/>
      <c r="E24" s="42">
        <v>1</v>
      </c>
      <c r="F24" s="43"/>
      <c r="G24" s="113"/>
      <c r="H24" s="43">
        <v>17</v>
      </c>
      <c r="I24" s="54"/>
      <c r="J24" s="3"/>
    </row>
    <row r="25" spans="1:10" ht="17.25" customHeight="1" x14ac:dyDescent="0.3">
      <c r="A25" s="358"/>
      <c r="B25" s="21" t="s">
        <v>35</v>
      </c>
      <c r="C25" s="46">
        <v>22</v>
      </c>
      <c r="D25" s="23"/>
      <c r="E25" s="47">
        <v>1</v>
      </c>
      <c r="F25" s="48"/>
      <c r="G25" s="112"/>
      <c r="H25" s="48">
        <v>1</v>
      </c>
      <c r="I25" s="49">
        <f t="shared" si="0"/>
        <v>20</v>
      </c>
      <c r="J25" s="3"/>
    </row>
    <row r="26" spans="1:10" ht="17.25" customHeight="1" x14ac:dyDescent="0.3">
      <c r="A26" s="358"/>
      <c r="B26" s="19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  <c r="J26" s="3"/>
    </row>
    <row r="27" spans="1:10" ht="17.25" customHeight="1" x14ac:dyDescent="0.3">
      <c r="A27" s="358"/>
      <c r="B27" s="21" t="s">
        <v>37</v>
      </c>
      <c r="C27" s="46">
        <v>20</v>
      </c>
      <c r="D27" s="23"/>
      <c r="E27" s="47"/>
      <c r="F27" s="48"/>
      <c r="G27" s="112"/>
      <c r="H27" s="48">
        <v>6</v>
      </c>
      <c r="I27" s="49">
        <f t="shared" si="0"/>
        <v>14</v>
      </c>
      <c r="J27" s="3"/>
    </row>
    <row r="28" spans="1:10" ht="17.25" customHeight="1" x14ac:dyDescent="0.3">
      <c r="A28" s="358"/>
      <c r="B28" s="19" t="s">
        <v>38</v>
      </c>
      <c r="C28" s="55">
        <v>28</v>
      </c>
      <c r="D28" s="41"/>
      <c r="E28" s="42">
        <v>1</v>
      </c>
      <c r="F28" s="43"/>
      <c r="G28" s="113"/>
      <c r="H28" s="43">
        <v>1</v>
      </c>
      <c r="I28" s="45">
        <f t="shared" si="0"/>
        <v>26</v>
      </c>
      <c r="J28" s="3"/>
    </row>
    <row r="29" spans="1:10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  <c r="J29" s="3"/>
    </row>
    <row r="30" spans="1:10" ht="17.25" customHeight="1" x14ac:dyDescent="0.3">
      <c r="A30" s="358"/>
      <c r="B30" s="56" t="s">
        <v>40</v>
      </c>
      <c r="C30" s="57">
        <v>62</v>
      </c>
      <c r="D30" s="29"/>
      <c r="E30" s="50"/>
      <c r="F30" s="51"/>
      <c r="G30" s="25"/>
      <c r="H30" s="51">
        <v>13</v>
      </c>
      <c r="I30" s="52">
        <f>C30-D30-D31-E30-E31+F30+F31-H30-H31-I31</f>
        <v>49</v>
      </c>
      <c r="J30" s="3"/>
    </row>
    <row r="31" spans="1:10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  <c r="J31" s="3"/>
    </row>
    <row r="32" spans="1:10" ht="17.25" customHeight="1" x14ac:dyDescent="0.3">
      <c r="A32" s="358"/>
      <c r="B32" s="179" t="s">
        <v>116</v>
      </c>
      <c r="C32" s="184"/>
      <c r="D32" s="23"/>
      <c r="E32" s="47"/>
      <c r="F32" s="48"/>
      <c r="G32" s="116"/>
      <c r="H32" s="207"/>
      <c r="I32" s="187"/>
      <c r="J32" s="3"/>
    </row>
    <row r="33" spans="1:10" ht="17.25" customHeight="1" x14ac:dyDescent="0.3">
      <c r="A33" s="358"/>
      <c r="B33" s="179" t="s">
        <v>118</v>
      </c>
      <c r="C33" s="185"/>
      <c r="D33" s="29"/>
      <c r="E33" s="50"/>
      <c r="F33" s="51"/>
      <c r="G33" s="25"/>
      <c r="H33" s="206"/>
      <c r="I33" s="188"/>
      <c r="J33" s="3"/>
    </row>
    <row r="34" spans="1:10" ht="17.25" customHeight="1" x14ac:dyDescent="0.3">
      <c r="A34" s="358"/>
      <c r="B34" s="179" t="s">
        <v>120</v>
      </c>
      <c r="C34" s="186"/>
      <c r="D34" s="60"/>
      <c r="E34" s="61"/>
      <c r="F34" s="62"/>
      <c r="G34" s="113"/>
      <c r="H34" s="205"/>
      <c r="I34" s="189"/>
      <c r="J34" s="3"/>
    </row>
    <row r="35" spans="1:10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/>
      <c r="J35" s="3"/>
    </row>
    <row r="36" spans="1:10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  <c r="J36" s="3"/>
    </row>
    <row r="37" spans="1:10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  <c r="J37" s="3"/>
    </row>
    <row r="38" spans="1:10" ht="17.25" customHeight="1" x14ac:dyDescent="0.3">
      <c r="A38" s="358"/>
      <c r="B38" s="178" t="s">
        <v>130</v>
      </c>
      <c r="C38" s="185"/>
      <c r="D38" s="29"/>
      <c r="E38" s="50"/>
      <c r="F38" s="51"/>
      <c r="G38" s="25"/>
      <c r="H38" s="51"/>
      <c r="I38" s="195"/>
      <c r="J38" s="3"/>
    </row>
    <row r="39" spans="1:10" ht="17.25" customHeight="1" x14ac:dyDescent="0.3">
      <c r="A39" s="358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  <c r="J39" s="3"/>
    </row>
    <row r="40" spans="1:10" ht="17.25" customHeight="1" x14ac:dyDescent="0.3">
      <c r="A40" s="358"/>
      <c r="B40" s="178" t="s">
        <v>132</v>
      </c>
      <c r="C40" s="185"/>
      <c r="D40" s="29"/>
      <c r="E40" s="50"/>
      <c r="F40" s="51"/>
      <c r="G40" s="25"/>
      <c r="H40" s="51"/>
      <c r="I40" s="195"/>
      <c r="J40" s="3"/>
    </row>
    <row r="41" spans="1:10" ht="17.25" customHeight="1" x14ac:dyDescent="0.3">
      <c r="A41" s="358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  <c r="J41" s="3"/>
    </row>
    <row r="42" spans="1:10" ht="17.25" customHeight="1" x14ac:dyDescent="0.3">
      <c r="A42" s="358"/>
      <c r="B42" s="178" t="s">
        <v>134</v>
      </c>
      <c r="C42" s="185"/>
      <c r="D42" s="29"/>
      <c r="E42" s="50"/>
      <c r="F42" s="51"/>
      <c r="G42" s="25"/>
      <c r="H42" s="51"/>
      <c r="I42" s="195"/>
      <c r="J42" s="3"/>
    </row>
    <row r="43" spans="1:10" ht="17.25" customHeight="1" x14ac:dyDescent="0.3">
      <c r="A43" s="358"/>
      <c r="B43" s="178" t="s">
        <v>112</v>
      </c>
      <c r="C43" s="185"/>
      <c r="D43" s="29"/>
      <c r="E43" s="50"/>
      <c r="F43" s="51"/>
      <c r="G43" s="25"/>
      <c r="H43" s="206"/>
      <c r="I43" s="195"/>
      <c r="J43" s="3"/>
    </row>
    <row r="44" spans="1:10" ht="17.25" customHeight="1" x14ac:dyDescent="0.3">
      <c r="A44" s="358"/>
      <c r="B44" s="178" t="s">
        <v>124</v>
      </c>
      <c r="C44" s="185"/>
      <c r="D44" s="29"/>
      <c r="E44" s="50"/>
      <c r="F44" s="51"/>
      <c r="G44" s="25"/>
      <c r="H44" s="206"/>
      <c r="I44" s="195"/>
      <c r="J44" s="3"/>
    </row>
    <row r="45" spans="1:10" ht="17.25" customHeight="1" x14ac:dyDescent="0.3">
      <c r="A45" s="358"/>
      <c r="B45" s="164" t="s">
        <v>114</v>
      </c>
      <c r="C45" s="186"/>
      <c r="D45" s="60"/>
      <c r="E45" s="61"/>
      <c r="F45" s="62"/>
      <c r="G45" s="113"/>
      <c r="H45" s="205"/>
      <c r="I45" s="204"/>
      <c r="J45" s="3"/>
    </row>
    <row r="46" spans="1:10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>
        <v>3</v>
      </c>
      <c r="I46" s="49">
        <f t="shared" ref="I46:I48" si="2">C46-D46-E46+F46-H46</f>
        <v>9</v>
      </c>
      <c r="J46" s="3"/>
    </row>
    <row r="47" spans="1:10" ht="17.25" customHeight="1" x14ac:dyDescent="0.3">
      <c r="A47" s="358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2"/>
        <v>8</v>
      </c>
      <c r="J47" s="3"/>
    </row>
    <row r="48" spans="1:10" ht="17.25" customHeight="1" x14ac:dyDescent="0.3">
      <c r="A48" s="358"/>
      <c r="B48" s="56" t="s">
        <v>122</v>
      </c>
      <c r="C48" s="117"/>
      <c r="D48" s="29"/>
      <c r="E48" s="50"/>
      <c r="F48" s="51"/>
      <c r="G48" s="25"/>
      <c r="H48" s="51"/>
      <c r="I48" s="52">
        <f t="shared" si="2"/>
        <v>0</v>
      </c>
      <c r="J48" s="3"/>
    </row>
    <row r="49" spans="1:11" ht="17.25" customHeight="1" x14ac:dyDescent="0.3">
      <c r="A49" s="358"/>
      <c r="B49" s="179" t="s">
        <v>126</v>
      </c>
      <c r="C49" s="192"/>
      <c r="D49" s="180"/>
      <c r="E49" s="181"/>
      <c r="F49" s="182"/>
      <c r="G49" s="183"/>
      <c r="H49" s="208"/>
      <c r="I49" s="195"/>
      <c r="J49" s="3"/>
    </row>
    <row r="50" spans="1:11" ht="17.25" customHeight="1" x14ac:dyDescent="0.3">
      <c r="A50" s="358"/>
      <c r="B50" s="58" t="s">
        <v>128</v>
      </c>
      <c r="C50" s="59"/>
      <c r="D50" s="60"/>
      <c r="E50" s="61"/>
      <c r="F50" s="62"/>
      <c r="G50" s="113"/>
      <c r="H50" s="205"/>
      <c r="I50" s="63"/>
      <c r="J50" s="3"/>
    </row>
    <row r="51" spans="1:11" ht="17.25" customHeight="1" thickBot="1" x14ac:dyDescent="0.35">
      <c r="A51" s="359"/>
      <c r="B51" s="64" t="s">
        <v>42</v>
      </c>
      <c r="C51" s="256">
        <f>SUM(C13:C50)</f>
        <v>502</v>
      </c>
      <c r="D51" s="257">
        <f>SUM(D13:D46)</f>
        <v>4</v>
      </c>
      <c r="E51" s="258">
        <f>SUM(E13:E49)</f>
        <v>18</v>
      </c>
      <c r="F51" s="258">
        <f>SUM(F13:F46)</f>
        <v>0</v>
      </c>
      <c r="G51" s="259" t="s">
        <v>22</v>
      </c>
      <c r="H51" s="260">
        <f>SUM(H13:H46)</f>
        <v>69</v>
      </c>
      <c r="I51" s="261">
        <f>SUM(I13:I46)</f>
        <v>406.5</v>
      </c>
      <c r="J51" s="3"/>
    </row>
    <row r="52" spans="1:11" s="76" customFormat="1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91</v>
      </c>
      <c r="G52" s="74" t="s">
        <v>44</v>
      </c>
      <c r="H52" s="74" t="s">
        <v>103</v>
      </c>
      <c r="I52" s="75" t="s">
        <v>104</v>
      </c>
      <c r="J52" s="3"/>
    </row>
    <row r="53" spans="1:11" s="76" customFormat="1" ht="17.25" customHeight="1" x14ac:dyDescent="0.3">
      <c r="A53" s="308"/>
      <c r="B53" s="309"/>
      <c r="C53" s="351" t="s">
        <v>74</v>
      </c>
      <c r="D53" s="353"/>
      <c r="E53" s="347">
        <v>2</v>
      </c>
      <c r="F53" s="347">
        <v>2</v>
      </c>
      <c r="G53" s="347">
        <v>4</v>
      </c>
      <c r="H53" s="347"/>
      <c r="I53" s="349">
        <v>1</v>
      </c>
      <c r="J53" s="173"/>
      <c r="K53" s="2"/>
    </row>
    <row r="54" spans="1:11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  <c r="J54" s="3"/>
      <c r="K54" s="2"/>
    </row>
    <row r="55" spans="1:11" s="76" customFormat="1" ht="17.25" customHeight="1" x14ac:dyDescent="0.3">
      <c r="A55" s="308"/>
      <c r="B55" s="309"/>
      <c r="C55" s="351" t="s">
        <v>75</v>
      </c>
      <c r="D55" s="353"/>
      <c r="E55" s="355">
        <v>41400</v>
      </c>
      <c r="F55" s="355">
        <v>38700</v>
      </c>
      <c r="G55" s="355">
        <v>38100</v>
      </c>
      <c r="H55" s="347"/>
      <c r="I55" s="341">
        <v>38200</v>
      </c>
      <c r="J55" s="3"/>
      <c r="K55" s="2"/>
    </row>
    <row r="56" spans="1:11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  <c r="J56" s="3"/>
      <c r="K56" s="2"/>
    </row>
    <row r="57" spans="1:11" s="76" customFormat="1" ht="17.25" customHeight="1" x14ac:dyDescent="0.3">
      <c r="A57" s="306" t="s">
        <v>45</v>
      </c>
      <c r="B57" s="307"/>
      <c r="C57" s="343" t="s">
        <v>183</v>
      </c>
      <c r="D57" s="331"/>
      <c r="E57" s="331"/>
      <c r="F57" s="331"/>
      <c r="G57" s="331"/>
      <c r="H57" s="331"/>
      <c r="I57" s="332"/>
      <c r="J57" s="3"/>
      <c r="K57" s="2"/>
    </row>
    <row r="58" spans="1:11" s="76" customFormat="1" ht="17.25" customHeight="1" x14ac:dyDescent="0.3">
      <c r="A58" s="308"/>
      <c r="B58" s="309"/>
      <c r="C58" s="326" t="s">
        <v>184</v>
      </c>
      <c r="D58" s="326"/>
      <c r="E58" s="326"/>
      <c r="F58" s="326"/>
      <c r="G58" s="326"/>
      <c r="H58" s="326"/>
      <c r="I58" s="327"/>
      <c r="J58" s="77"/>
      <c r="K58" s="2"/>
    </row>
    <row r="59" spans="1:11" s="76" customFormat="1" ht="17.25" customHeight="1" x14ac:dyDescent="0.3">
      <c r="A59" s="308"/>
      <c r="B59" s="309"/>
      <c r="C59" s="325" t="s">
        <v>182</v>
      </c>
      <c r="D59" s="326"/>
      <c r="E59" s="326"/>
      <c r="F59" s="326"/>
      <c r="G59" s="326"/>
      <c r="H59" s="326"/>
      <c r="I59" s="327"/>
      <c r="J59" s="3"/>
      <c r="K59" s="2"/>
    </row>
    <row r="60" spans="1:11" s="76" customFormat="1" ht="17.25" customHeight="1" thickBot="1" x14ac:dyDescent="0.35">
      <c r="A60" s="310"/>
      <c r="B60" s="311"/>
      <c r="C60" s="329"/>
      <c r="D60" s="329"/>
      <c r="E60" s="329"/>
      <c r="F60" s="329"/>
      <c r="G60" s="329"/>
      <c r="H60" s="329"/>
      <c r="I60" s="330"/>
      <c r="J60" s="3"/>
      <c r="K60" s="2"/>
    </row>
    <row r="61" spans="1:11" s="76" customFormat="1" ht="33.75" customHeight="1" x14ac:dyDescent="0.3">
      <c r="A61" s="306" t="s">
        <v>73</v>
      </c>
      <c r="B61" s="307"/>
      <c r="C61" s="340" t="s">
        <v>172</v>
      </c>
      <c r="D61" s="323"/>
      <c r="E61" s="323"/>
      <c r="F61" s="323"/>
      <c r="G61" s="323"/>
      <c r="H61" s="323"/>
      <c r="I61" s="324"/>
      <c r="J61" s="3"/>
      <c r="K61" s="2"/>
    </row>
    <row r="62" spans="1:11" s="76" customFormat="1" ht="17.25" customHeight="1" x14ac:dyDescent="0.3">
      <c r="A62" s="308"/>
      <c r="B62" s="309"/>
      <c r="C62" s="344"/>
      <c r="D62" s="345"/>
      <c r="E62" s="345"/>
      <c r="F62" s="345"/>
      <c r="G62" s="345"/>
      <c r="H62" s="345"/>
      <c r="I62" s="346"/>
      <c r="J62" s="3"/>
      <c r="K62" s="2"/>
    </row>
    <row r="63" spans="1:11" s="76" customFormat="1" ht="17.25" customHeight="1" x14ac:dyDescent="0.3">
      <c r="A63" s="308"/>
      <c r="B63" s="309"/>
      <c r="C63" s="344"/>
      <c r="D63" s="345"/>
      <c r="E63" s="345"/>
      <c r="F63" s="345"/>
      <c r="G63" s="345"/>
      <c r="H63" s="345"/>
      <c r="I63" s="346"/>
      <c r="J63" s="3"/>
      <c r="K63" s="2"/>
    </row>
    <row r="64" spans="1:11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  <c r="J64" s="3"/>
      <c r="K64" s="2"/>
    </row>
    <row r="65" spans="1:11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  <c r="J65" s="3"/>
      <c r="K65" s="2"/>
    </row>
    <row r="66" spans="1:11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  <c r="J66" s="3"/>
      <c r="K66" s="2"/>
    </row>
    <row r="67" spans="1:11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  <c r="J67" s="3"/>
      <c r="K67" s="2"/>
    </row>
    <row r="68" spans="1:11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  <c r="J68" s="3"/>
      <c r="K68" s="2"/>
    </row>
    <row r="69" spans="1:11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  <c r="J69" s="3"/>
      <c r="K69" s="2"/>
    </row>
    <row r="70" spans="1:11" s="76" customFormat="1" ht="17.25" customHeight="1" x14ac:dyDescent="0.3">
      <c r="A70" s="306" t="s">
        <v>49</v>
      </c>
      <c r="B70" s="307"/>
      <c r="C70" s="331" t="s">
        <v>179</v>
      </c>
      <c r="D70" s="331"/>
      <c r="E70" s="331"/>
      <c r="F70" s="331"/>
      <c r="G70" s="331"/>
      <c r="H70" s="331"/>
      <c r="I70" s="332"/>
      <c r="J70" s="3"/>
      <c r="K70" s="2"/>
    </row>
    <row r="71" spans="1:11" s="76" customFormat="1" ht="17.25" customHeight="1" x14ac:dyDescent="0.3">
      <c r="A71" s="308"/>
      <c r="B71" s="309"/>
      <c r="C71" s="331" t="s">
        <v>181</v>
      </c>
      <c r="D71" s="331"/>
      <c r="E71" s="331"/>
      <c r="F71" s="331"/>
      <c r="G71" s="331"/>
      <c r="H71" s="331"/>
      <c r="I71" s="332"/>
      <c r="J71" s="3"/>
      <c r="K71" s="2"/>
    </row>
    <row r="72" spans="1:11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  <c r="J72" s="3"/>
      <c r="K72" s="2"/>
    </row>
    <row r="73" spans="1:11" s="76" customFormat="1" ht="17.25" customHeight="1" x14ac:dyDescent="0.3">
      <c r="A73" s="306" t="s">
        <v>50</v>
      </c>
      <c r="B73" s="307"/>
      <c r="C73" s="322" t="s">
        <v>180</v>
      </c>
      <c r="D73" s="323"/>
      <c r="E73" s="323"/>
      <c r="F73" s="323"/>
      <c r="G73" s="323"/>
      <c r="H73" s="323"/>
      <c r="I73" s="324"/>
      <c r="J73" s="3"/>
      <c r="K73" s="2"/>
    </row>
    <row r="74" spans="1:11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  <c r="J74" s="3"/>
      <c r="K74" s="2"/>
    </row>
    <row r="75" spans="1:11" s="76" customFormat="1" ht="17.25" customHeight="1" x14ac:dyDescent="0.3">
      <c r="A75" s="306" t="s">
        <v>51</v>
      </c>
      <c r="B75" s="307"/>
      <c r="C75" s="78" t="s">
        <v>94</v>
      </c>
      <c r="D75" s="79" t="s">
        <v>95</v>
      </c>
      <c r="E75" s="79" t="s">
        <v>96</v>
      </c>
      <c r="F75" s="79" t="s">
        <v>97</v>
      </c>
      <c r="G75" s="79" t="s">
        <v>98</v>
      </c>
      <c r="H75" s="79" t="s">
        <v>99</v>
      </c>
      <c r="I75" s="80" t="s">
        <v>100</v>
      </c>
      <c r="J75" s="3"/>
      <c r="K75" s="2"/>
    </row>
    <row r="76" spans="1:11" s="76" customFormat="1" ht="17.25" customHeight="1" x14ac:dyDescent="0.3">
      <c r="A76" s="81"/>
      <c r="B76" s="82" t="s">
        <v>59</v>
      </c>
      <c r="C76" s="83" t="s">
        <v>174</v>
      </c>
      <c r="D76" s="136"/>
      <c r="E76" s="136"/>
      <c r="F76" s="136"/>
      <c r="G76" s="136"/>
      <c r="H76" s="136"/>
      <c r="I76" s="137"/>
      <c r="J76" s="84"/>
      <c r="K76" s="2"/>
    </row>
    <row r="77" spans="1:11" s="76" customFormat="1" ht="17.25" customHeight="1" thickBot="1" x14ac:dyDescent="0.35">
      <c r="A77" s="85"/>
      <c r="B77" s="86" t="s">
        <v>60</v>
      </c>
      <c r="C77" s="87" t="s">
        <v>173</v>
      </c>
      <c r="D77" s="88"/>
      <c r="E77" s="88"/>
      <c r="F77" s="88"/>
      <c r="G77" s="88"/>
      <c r="H77" s="88"/>
      <c r="I77" s="89"/>
      <c r="J77" s="84"/>
      <c r="K77" s="2"/>
    </row>
    <row r="78" spans="1:11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101</v>
      </c>
      <c r="H78" s="319"/>
      <c r="I78" s="90" t="s">
        <v>65</v>
      </c>
      <c r="J78" s="91"/>
    </row>
    <row r="79" spans="1:11" s="76" customFormat="1" ht="17.25" customHeight="1" thickBot="1" x14ac:dyDescent="0.35">
      <c r="A79" s="304"/>
      <c r="B79" s="305"/>
      <c r="C79" s="92">
        <v>0.25</v>
      </c>
      <c r="D79" s="93" t="s">
        <v>175</v>
      </c>
      <c r="E79" s="94">
        <v>0.8125</v>
      </c>
      <c r="F79" s="93" t="s">
        <v>176</v>
      </c>
      <c r="G79" s="320" t="s">
        <v>177</v>
      </c>
      <c r="H79" s="321"/>
      <c r="I79" s="95" t="s">
        <v>178</v>
      </c>
      <c r="J79" s="96"/>
    </row>
    <row r="80" spans="1:11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  <c r="J80" s="2"/>
    </row>
    <row r="81" spans="11:11" ht="17.25" customHeight="1" x14ac:dyDescent="0.3">
      <c r="K81" s="76"/>
    </row>
    <row r="82" spans="11:11" ht="17.25" customHeight="1" x14ac:dyDescent="0.3">
      <c r="K82" s="130"/>
    </row>
    <row r="83" spans="11:11" ht="17.25" customHeight="1" x14ac:dyDescent="0.3">
      <c r="K83" s="130"/>
    </row>
    <row r="84" spans="11:11" ht="17.25" customHeight="1" x14ac:dyDescent="0.3"/>
    <row r="85" spans="11:11" ht="17.25" customHeight="1" x14ac:dyDescent="0.3"/>
    <row r="86" spans="11:11" ht="17.25" customHeight="1" x14ac:dyDescent="0.3">
      <c r="K86" s="129"/>
    </row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B9:B11"/>
    <mergeCell ref="C9:D9"/>
    <mergeCell ref="E9:F9"/>
    <mergeCell ref="G9:H9"/>
    <mergeCell ref="A12:A51"/>
    <mergeCell ref="F12:G12"/>
    <mergeCell ref="A52:B56"/>
    <mergeCell ref="C53:C54"/>
    <mergeCell ref="D53:D54"/>
    <mergeCell ref="E53:E54"/>
    <mergeCell ref="F53:F54"/>
    <mergeCell ref="G53:G54"/>
    <mergeCell ref="H53:H54"/>
    <mergeCell ref="I53:I54"/>
    <mergeCell ref="C55:C56"/>
    <mergeCell ref="D55:D56"/>
    <mergeCell ref="E55:E56"/>
    <mergeCell ref="F55:F56"/>
    <mergeCell ref="G55:G56"/>
    <mergeCell ref="H55:H56"/>
    <mergeCell ref="C60:I60"/>
    <mergeCell ref="C61:I61"/>
    <mergeCell ref="C64:I64"/>
    <mergeCell ref="I55:I56"/>
    <mergeCell ref="C57:I57"/>
    <mergeCell ref="C58:I58"/>
    <mergeCell ref="C59:I59"/>
    <mergeCell ref="C62:I62"/>
    <mergeCell ref="C63:I63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H80:I80"/>
    <mergeCell ref="I9:I10"/>
    <mergeCell ref="A78:B79"/>
    <mergeCell ref="A70:B72"/>
    <mergeCell ref="A61:B64"/>
    <mergeCell ref="A57:B60"/>
    <mergeCell ref="A9:A11"/>
    <mergeCell ref="C78:D78"/>
    <mergeCell ref="E78:F78"/>
    <mergeCell ref="G78:H78"/>
    <mergeCell ref="G79:H79"/>
    <mergeCell ref="A73:B74"/>
    <mergeCell ref="C73:I73"/>
    <mergeCell ref="C74:I74"/>
    <mergeCell ref="A75:B75"/>
    <mergeCell ref="C69:I6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colBreaks count="1" manualBreakCount="1">
    <brk id="8" max="58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opLeftCell="A46" zoomScale="90" zoomScaleNormal="90" workbookViewId="0">
      <selection activeCell="C57" sqref="C57:I5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187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188</v>
      </c>
      <c r="D3" s="5" t="s">
        <v>4</v>
      </c>
      <c r="E3" s="379"/>
      <c r="F3" s="386" t="s">
        <v>175</v>
      </c>
      <c r="G3" s="387"/>
      <c r="H3" s="388">
        <f>G11+'1일'!H3:I3</f>
        <v>4323400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189</v>
      </c>
      <c r="F6" s="15" t="s">
        <v>190</v>
      </c>
      <c r="G6" s="16" t="s">
        <v>186</v>
      </c>
      <c r="H6" s="17">
        <v>0.43</v>
      </c>
      <c r="I6" s="18">
        <v>0.4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1953300</v>
      </c>
      <c r="D11" s="102">
        <v>152</v>
      </c>
      <c r="E11" s="109">
        <f>SUM(E55:I56)</f>
        <v>454300</v>
      </c>
      <c r="F11" s="109">
        <f>SUM(E53:I54)</f>
        <v>14</v>
      </c>
      <c r="G11" s="110">
        <f>C11+E11</f>
        <v>2407600</v>
      </c>
      <c r="H11" s="110">
        <f>D11+F11</f>
        <v>166</v>
      </c>
      <c r="I11" s="111">
        <f>G11/H11</f>
        <v>14503.614457831325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19</v>
      </c>
      <c r="D15" s="29"/>
      <c r="E15" s="30"/>
      <c r="F15" s="34"/>
      <c r="G15" s="25"/>
      <c r="H15" s="29"/>
      <c r="I15" s="35">
        <f>C15-D15-D16*1/2-E15-E16*1/2+F15-H15-H16*1/2-I16*1/2</f>
        <v>18.5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65</v>
      </c>
      <c r="D17" s="29"/>
      <c r="E17" s="30">
        <v>1</v>
      </c>
      <c r="F17" s="34"/>
      <c r="G17" s="118"/>
      <c r="H17" s="29"/>
      <c r="I17" s="37">
        <f>C17-D17-D18*1/2-E17-E18*1/2+F17-H17-H18*1/2-I18*1/2</f>
        <v>64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12.5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58</v>
      </c>
      <c r="D21" s="41"/>
      <c r="E21" s="42">
        <v>1</v>
      </c>
      <c r="F21" s="43"/>
      <c r="G21" s="44"/>
      <c r="H21" s="43">
        <v>6</v>
      </c>
      <c r="I21" s="45">
        <f t="shared" ref="I21:I48" si="0">C21-D21-E21+F21-H21</f>
        <v>51</v>
      </c>
    </row>
    <row r="22" spans="1:9" ht="17.25" customHeight="1" x14ac:dyDescent="0.3">
      <c r="A22" s="358"/>
      <c r="B22" s="21" t="s">
        <v>32</v>
      </c>
      <c r="C22" s="46">
        <v>26</v>
      </c>
      <c r="D22" s="23"/>
      <c r="E22" s="47">
        <v>1</v>
      </c>
      <c r="F22" s="48"/>
      <c r="G22" s="25"/>
      <c r="H22" s="48">
        <v>3</v>
      </c>
      <c r="I22" s="49">
        <f t="shared" si="0"/>
        <v>22</v>
      </c>
    </row>
    <row r="23" spans="1:9" ht="17.25" customHeight="1" x14ac:dyDescent="0.3">
      <c r="A23" s="358"/>
      <c r="B23" s="27" t="s">
        <v>33</v>
      </c>
      <c r="C23" s="33">
        <v>150</v>
      </c>
      <c r="D23" s="29"/>
      <c r="E23" s="50">
        <v>4</v>
      </c>
      <c r="F23" s="51"/>
      <c r="G23" s="25"/>
      <c r="H23" s="51">
        <v>11</v>
      </c>
      <c r="I23" s="52">
        <f>C23-D23-D24-E23-E24+F23+F24-H23-H24-I24</f>
        <v>131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>
        <v>3</v>
      </c>
      <c r="I24" s="54"/>
    </row>
    <row r="25" spans="1:9" ht="17.25" customHeight="1" x14ac:dyDescent="0.3">
      <c r="A25" s="358"/>
      <c r="B25" s="21" t="s">
        <v>35</v>
      </c>
      <c r="C25" s="46">
        <v>25</v>
      </c>
      <c r="D25" s="23"/>
      <c r="E25" s="47">
        <v>2</v>
      </c>
      <c r="F25" s="48"/>
      <c r="G25" s="112"/>
      <c r="H25" s="48">
        <v>7</v>
      </c>
      <c r="I25" s="49">
        <f t="shared" si="0"/>
        <v>16</v>
      </c>
    </row>
    <row r="26" spans="1:9" ht="17.25" customHeight="1" x14ac:dyDescent="0.3">
      <c r="A26" s="358"/>
      <c r="B26" s="160" t="s">
        <v>36</v>
      </c>
      <c r="C26" s="55">
        <v>21</v>
      </c>
      <c r="D26" s="41"/>
      <c r="E26" s="42"/>
      <c r="F26" s="43"/>
      <c r="G26" s="113"/>
      <c r="H26" s="43"/>
      <c r="I26" s="45">
        <f t="shared" si="0"/>
        <v>21</v>
      </c>
    </row>
    <row r="27" spans="1:9" ht="17.25" customHeight="1" x14ac:dyDescent="0.3">
      <c r="A27" s="358"/>
      <c r="B27" s="21" t="s">
        <v>37</v>
      </c>
      <c r="C27" s="46">
        <v>23</v>
      </c>
      <c r="D27" s="23"/>
      <c r="E27" s="47">
        <v>2</v>
      </c>
      <c r="F27" s="48"/>
      <c r="G27" s="112"/>
      <c r="H27" s="48">
        <v>7</v>
      </c>
      <c r="I27" s="49">
        <f t="shared" si="0"/>
        <v>14</v>
      </c>
    </row>
    <row r="28" spans="1:9" ht="17.25" customHeight="1" x14ac:dyDescent="0.3">
      <c r="A28" s="358"/>
      <c r="B28" s="160" t="s">
        <v>38</v>
      </c>
      <c r="C28" s="55">
        <v>34</v>
      </c>
      <c r="D28" s="41"/>
      <c r="E28" s="42">
        <v>3</v>
      </c>
      <c r="F28" s="43"/>
      <c r="G28" s="113"/>
      <c r="H28" s="43">
        <v>8</v>
      </c>
      <c r="I28" s="45">
        <f t="shared" si="0"/>
        <v>23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62</v>
      </c>
      <c r="D30" s="29"/>
      <c r="E30" s="50">
        <v>1</v>
      </c>
      <c r="F30" s="51"/>
      <c r="G30" s="25"/>
      <c r="H30" s="51"/>
      <c r="I30" s="52">
        <f>C30-D30-D31-E30-E31+F30+F31-H30-H31-I31</f>
        <v>60</v>
      </c>
    </row>
    <row r="31" spans="1:9" ht="17.25" customHeight="1" x14ac:dyDescent="0.3">
      <c r="A31" s="358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5</v>
      </c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>
        <v>12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>
        <v>2</v>
      </c>
      <c r="F36" s="124"/>
      <c r="G36" s="112"/>
      <c r="H36" s="124"/>
      <c r="I36" s="52">
        <f>C36-D36-E36+F36-H36</f>
        <v>18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23</v>
      </c>
      <c r="D46" s="23"/>
      <c r="E46" s="47"/>
      <c r="F46" s="48"/>
      <c r="G46" s="116"/>
      <c r="H46" s="48">
        <v>3</v>
      </c>
      <c r="I46" s="49">
        <f t="shared" si="0"/>
        <v>20</v>
      </c>
    </row>
    <row r="47" spans="1:9" ht="17.25" customHeight="1" x14ac:dyDescent="0.3">
      <c r="A47" s="358"/>
      <c r="B47" s="120" t="s">
        <v>88</v>
      </c>
      <c r="C47" s="121">
        <v>9</v>
      </c>
      <c r="D47" s="122"/>
      <c r="E47" s="123"/>
      <c r="F47" s="124"/>
      <c r="G47" s="112"/>
      <c r="H47" s="124">
        <v>1</v>
      </c>
      <c r="I47" s="52">
        <f t="shared" si="0"/>
        <v>8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571</v>
      </c>
      <c r="D51" s="66">
        <f>SUM(D13:D46)</f>
        <v>0</v>
      </c>
      <c r="E51" s="67">
        <f>SUM(E13:E46)</f>
        <v>22</v>
      </c>
      <c r="F51" s="67">
        <f>SUM(F13:F46)</f>
        <v>0</v>
      </c>
      <c r="G51" s="68" t="s">
        <v>22</v>
      </c>
      <c r="H51" s="69">
        <f>SUM(H13:H46)</f>
        <v>48</v>
      </c>
      <c r="I51" s="70">
        <f>SUM(I13:I46)</f>
        <v>511.5</v>
      </c>
    </row>
    <row r="52" spans="1:10" s="76" customFormat="1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08"/>
      <c r="B53" s="309"/>
      <c r="C53" s="351" t="s">
        <v>74</v>
      </c>
      <c r="D53" s="353"/>
      <c r="E53" s="347">
        <v>3</v>
      </c>
      <c r="F53" s="347">
        <v>1</v>
      </c>
      <c r="G53" s="347">
        <v>8</v>
      </c>
      <c r="H53" s="347"/>
      <c r="I53" s="349">
        <v>2</v>
      </c>
      <c r="J53" s="175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58500</v>
      </c>
      <c r="F55" s="355">
        <v>21200</v>
      </c>
      <c r="G55" s="355">
        <v>123400</v>
      </c>
      <c r="H55" s="347"/>
      <c r="I55" s="341">
        <v>251200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221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203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205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204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195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201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44" t="s">
        <v>202</v>
      </c>
      <c r="D63" s="345"/>
      <c r="E63" s="345"/>
      <c r="F63" s="345"/>
      <c r="G63" s="345"/>
      <c r="H63" s="345"/>
      <c r="I63" s="346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191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192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193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 t="s">
        <v>194</v>
      </c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196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197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198</v>
      </c>
      <c r="E79" s="94">
        <v>0.8125</v>
      </c>
      <c r="F79" s="93" t="s">
        <v>199</v>
      </c>
      <c r="G79" s="320" t="s">
        <v>200</v>
      </c>
      <c r="H79" s="321"/>
      <c r="I79" s="95" t="s">
        <v>200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H80:I80"/>
    <mergeCell ref="A75:B75"/>
    <mergeCell ref="A78:B79"/>
    <mergeCell ref="C78:D78"/>
    <mergeCell ref="E78:F78"/>
    <mergeCell ref="G78:H78"/>
    <mergeCell ref="G79:H79"/>
    <mergeCell ref="A61:B64"/>
    <mergeCell ref="C61:I61"/>
    <mergeCell ref="A73:B74"/>
    <mergeCell ref="C73:I73"/>
    <mergeCell ref="C74:I74"/>
    <mergeCell ref="A70:B72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C69:I69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C62:I62"/>
    <mergeCell ref="C63:I63"/>
    <mergeCell ref="A57:B60"/>
    <mergeCell ref="C57:I57"/>
    <mergeCell ref="C58:I58"/>
    <mergeCell ref="C59:I59"/>
    <mergeCell ref="C60:I60"/>
    <mergeCell ref="I9:I10"/>
    <mergeCell ref="A12:A51"/>
    <mergeCell ref="F12:G12"/>
    <mergeCell ref="A52:B56"/>
    <mergeCell ref="C53:C54"/>
    <mergeCell ref="D53:D54"/>
    <mergeCell ref="E53:E54"/>
    <mergeCell ref="F53:F54"/>
    <mergeCell ref="G53:G54"/>
    <mergeCell ref="H53:H54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opLeftCell="A61" zoomScale="90" zoomScaleNormal="90" workbookViewId="0">
      <selection activeCell="C67" sqref="C67:I6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206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218</v>
      </c>
      <c r="D3" s="5" t="s">
        <v>4</v>
      </c>
      <c r="E3" s="379"/>
      <c r="F3" s="386" t="s">
        <v>207</v>
      </c>
      <c r="G3" s="387"/>
      <c r="H3" s="388">
        <f>G11+'2일'!H3:I3</f>
        <v>6274900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208</v>
      </c>
      <c r="F6" s="15" t="s">
        <v>209</v>
      </c>
      <c r="G6" s="16" t="s">
        <v>210</v>
      </c>
      <c r="H6" s="17">
        <v>0.45</v>
      </c>
      <c r="I6" s="18">
        <v>0.38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1398500</v>
      </c>
      <c r="D11" s="102">
        <v>103</v>
      </c>
      <c r="E11" s="109">
        <f>SUM(E55:I56)</f>
        <v>553000</v>
      </c>
      <c r="F11" s="109">
        <f>SUM(E53:I54)</f>
        <v>12</v>
      </c>
      <c r="G11" s="110">
        <f>C11+E11</f>
        <v>1951500</v>
      </c>
      <c r="H11" s="110">
        <f>D11+F11</f>
        <v>115</v>
      </c>
      <c r="I11" s="111">
        <f>G11/H11</f>
        <v>16969.565217391304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14</v>
      </c>
      <c r="D15" s="29"/>
      <c r="E15" s="30">
        <v>1</v>
      </c>
      <c r="F15" s="34"/>
      <c r="G15" s="25"/>
      <c r="H15" s="29"/>
      <c r="I15" s="35">
        <f>C15-D15-D16*1/2-E15-E16*1/2+F15-H15-H16*1/2-I16*1/2</f>
        <v>12.5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9</v>
      </c>
      <c r="D19" s="29"/>
      <c r="E19" s="30"/>
      <c r="F19" s="34"/>
      <c r="G19" s="25"/>
      <c r="H19" s="29">
        <v>1</v>
      </c>
      <c r="I19" s="35">
        <f>C19-D19-D20*1/2-E19-E20*1/2+F19-H19-H20*1/2-I20*1/2</f>
        <v>7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>
        <v>1</v>
      </c>
      <c r="I20" s="38"/>
    </row>
    <row r="21" spans="1:9" ht="17.25" customHeight="1" x14ac:dyDescent="0.3">
      <c r="A21" s="358"/>
      <c r="B21" s="39" t="s">
        <v>31</v>
      </c>
      <c r="C21" s="40">
        <v>49</v>
      </c>
      <c r="D21" s="41"/>
      <c r="E21" s="42">
        <v>4</v>
      </c>
      <c r="F21" s="43"/>
      <c r="G21" s="44"/>
      <c r="H21" s="43"/>
      <c r="I21" s="45">
        <f t="shared" ref="I21:I48" si="0">C21-D21-E21+F21-H21</f>
        <v>45</v>
      </c>
    </row>
    <row r="22" spans="1:9" ht="17.25" customHeight="1" x14ac:dyDescent="0.3">
      <c r="A22" s="358"/>
      <c r="B22" s="21" t="s">
        <v>32</v>
      </c>
      <c r="C22" s="46">
        <v>24</v>
      </c>
      <c r="D22" s="23"/>
      <c r="E22" s="47"/>
      <c r="F22" s="48"/>
      <c r="G22" s="25"/>
      <c r="H22" s="48">
        <v>7</v>
      </c>
      <c r="I22" s="49">
        <f t="shared" si="0"/>
        <v>17</v>
      </c>
    </row>
    <row r="23" spans="1:9" ht="17.25" customHeight="1" x14ac:dyDescent="0.3">
      <c r="A23" s="358"/>
      <c r="B23" s="27" t="s">
        <v>33</v>
      </c>
      <c r="C23" s="33">
        <v>78</v>
      </c>
      <c r="D23" s="29"/>
      <c r="E23" s="50">
        <v>1</v>
      </c>
      <c r="F23" s="51"/>
      <c r="G23" s="25"/>
      <c r="H23" s="51">
        <v>3</v>
      </c>
      <c r="I23" s="52">
        <f>C23-D23-D24-E23-E24+F23+F24-H23-H24-I24</f>
        <v>73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25</v>
      </c>
      <c r="D25" s="23"/>
      <c r="E25" s="47">
        <v>1</v>
      </c>
      <c r="F25" s="48"/>
      <c r="G25" s="112"/>
      <c r="H25" s="48">
        <v>12</v>
      </c>
      <c r="I25" s="49">
        <f t="shared" si="0"/>
        <v>12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>
        <v>1</v>
      </c>
      <c r="F26" s="43"/>
      <c r="G26" s="113"/>
      <c r="H26" s="43">
        <v>4</v>
      </c>
      <c r="I26" s="45">
        <f t="shared" si="0"/>
        <v>17</v>
      </c>
    </row>
    <row r="27" spans="1:9" ht="17.25" customHeight="1" x14ac:dyDescent="0.3">
      <c r="A27" s="358"/>
      <c r="B27" s="21" t="s">
        <v>37</v>
      </c>
      <c r="C27" s="46">
        <v>22</v>
      </c>
      <c r="D27" s="23"/>
      <c r="E27" s="47"/>
      <c r="F27" s="48"/>
      <c r="G27" s="112"/>
      <c r="H27" s="48">
        <v>4</v>
      </c>
      <c r="I27" s="49">
        <f t="shared" si="0"/>
        <v>18</v>
      </c>
    </row>
    <row r="28" spans="1:9" ht="17.25" customHeight="1" x14ac:dyDescent="0.3">
      <c r="A28" s="358"/>
      <c r="B28" s="160" t="s">
        <v>38</v>
      </c>
      <c r="C28" s="55">
        <v>32</v>
      </c>
      <c r="D28" s="41"/>
      <c r="E28" s="42">
        <v>2</v>
      </c>
      <c r="F28" s="43"/>
      <c r="G28" s="113"/>
      <c r="H28" s="43">
        <v>14</v>
      </c>
      <c r="I28" s="45">
        <f t="shared" si="0"/>
        <v>16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62</v>
      </c>
      <c r="D30" s="29"/>
      <c r="E30" s="50"/>
      <c r="F30" s="51"/>
      <c r="G30" s="25"/>
      <c r="H30" s="51"/>
      <c r="I30" s="52">
        <f>C30-D30-D31-E30-E31+F30+F31-H30-H31-I31</f>
        <v>62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15</v>
      </c>
      <c r="D36" s="122"/>
      <c r="E36" s="123"/>
      <c r="F36" s="124"/>
      <c r="G36" s="112"/>
      <c r="H36" s="124">
        <v>1</v>
      </c>
      <c r="I36" s="52">
        <f>C36-D36-E36+F36-H36</f>
        <v>14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8</v>
      </c>
      <c r="D46" s="23"/>
      <c r="E46" s="47"/>
      <c r="F46" s="48"/>
      <c r="G46" s="116"/>
      <c r="H46" s="48">
        <v>2</v>
      </c>
      <c r="I46" s="49">
        <f t="shared" si="0"/>
        <v>6</v>
      </c>
    </row>
    <row r="47" spans="1:9" ht="17.25" customHeight="1" x14ac:dyDescent="0.3">
      <c r="A47" s="358"/>
      <c r="B47" s="120" t="s">
        <v>88</v>
      </c>
      <c r="C47" s="121">
        <v>7</v>
      </c>
      <c r="D47" s="122"/>
      <c r="E47" s="123"/>
      <c r="F47" s="124"/>
      <c r="G47" s="112"/>
      <c r="H47" s="124"/>
      <c r="I47" s="52">
        <f t="shared" si="0"/>
        <v>7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406</v>
      </c>
      <c r="D51" s="66">
        <f>SUM(D13:D46)</f>
        <v>0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49</v>
      </c>
      <c r="I51" s="70">
        <f>SUM(I13:I46)</f>
        <v>337</v>
      </c>
    </row>
    <row r="52" spans="1:10" s="76" customFormat="1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08"/>
      <c r="B53" s="309"/>
      <c r="C53" s="351" t="s">
        <v>74</v>
      </c>
      <c r="D53" s="353">
        <v>1</v>
      </c>
      <c r="E53" s="347">
        <v>4</v>
      </c>
      <c r="F53" s="347">
        <v>2</v>
      </c>
      <c r="G53" s="347">
        <v>5</v>
      </c>
      <c r="H53" s="347"/>
      <c r="I53" s="349">
        <v>1</v>
      </c>
      <c r="J53" s="175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>
        <v>63600</v>
      </c>
      <c r="E55" s="355">
        <v>85200</v>
      </c>
      <c r="F55" s="355">
        <v>50400</v>
      </c>
      <c r="G55" s="355">
        <v>117400</v>
      </c>
      <c r="H55" s="347"/>
      <c r="I55" s="341">
        <v>300000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222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223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224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225</v>
      </c>
      <c r="D60" s="329"/>
      <c r="E60" s="329"/>
      <c r="F60" s="329"/>
      <c r="G60" s="329"/>
      <c r="H60" s="329"/>
      <c r="I60" s="330"/>
    </row>
    <row r="61" spans="1:10" s="76" customFormat="1" ht="33" customHeight="1" x14ac:dyDescent="0.3">
      <c r="A61" s="306" t="s">
        <v>73</v>
      </c>
      <c r="B61" s="307"/>
      <c r="C61" s="340" t="s">
        <v>211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44"/>
      <c r="D62" s="345"/>
      <c r="E62" s="345"/>
      <c r="F62" s="345"/>
      <c r="G62" s="345"/>
      <c r="H62" s="345"/>
      <c r="I62" s="346"/>
    </row>
    <row r="63" spans="1:10" s="76" customFormat="1" ht="17.25" customHeight="1" x14ac:dyDescent="0.3">
      <c r="A63" s="308"/>
      <c r="B63" s="309"/>
      <c r="C63" s="344"/>
      <c r="D63" s="345"/>
      <c r="E63" s="345"/>
      <c r="F63" s="345"/>
      <c r="G63" s="345"/>
      <c r="H63" s="345"/>
      <c r="I63" s="346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220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217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 t="s">
        <v>219</v>
      </c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/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212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213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214</v>
      </c>
      <c r="E79" s="94">
        <v>0.77083333333333337</v>
      </c>
      <c r="F79" s="93" t="s">
        <v>215</v>
      </c>
      <c r="G79" s="320" t="s">
        <v>216</v>
      </c>
      <c r="H79" s="321"/>
      <c r="I79" s="95" t="s">
        <v>216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H80:I80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72:I72"/>
    <mergeCell ref="A73:B74"/>
    <mergeCell ref="C73:I73"/>
    <mergeCell ref="C74:I74"/>
    <mergeCell ref="A65:A69"/>
    <mergeCell ref="B65:B66"/>
    <mergeCell ref="C65:I65"/>
    <mergeCell ref="C66:I66"/>
    <mergeCell ref="B67:B69"/>
    <mergeCell ref="C67:I67"/>
    <mergeCell ref="C68:I68"/>
    <mergeCell ref="C69:I69"/>
    <mergeCell ref="A61:B64"/>
    <mergeCell ref="C61:I61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A57:B60"/>
    <mergeCell ref="C57:I57"/>
    <mergeCell ref="C58:I58"/>
    <mergeCell ref="C59:I59"/>
    <mergeCell ref="C60:I60"/>
    <mergeCell ref="E9:F9"/>
    <mergeCell ref="G9:H9"/>
    <mergeCell ref="I9:I10"/>
    <mergeCell ref="F12:G12"/>
    <mergeCell ref="A52:B56"/>
    <mergeCell ref="C53:C54"/>
    <mergeCell ref="D53:D54"/>
    <mergeCell ref="E53:E54"/>
    <mergeCell ref="F53:F54"/>
    <mergeCell ref="G53:G54"/>
    <mergeCell ref="H53:H54"/>
    <mergeCell ref="A12:A51"/>
    <mergeCell ref="C62:I62"/>
    <mergeCell ref="C63:I63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C64" sqref="C64:I6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226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227</v>
      </c>
      <c r="D3" s="5" t="s">
        <v>4</v>
      </c>
      <c r="E3" s="379"/>
      <c r="F3" s="386" t="s">
        <v>228</v>
      </c>
      <c r="G3" s="387"/>
      <c r="H3" s="388">
        <f>G11+'3일'!H3:I3</f>
        <v>8121000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229</v>
      </c>
      <c r="F6" s="15" t="s">
        <v>230</v>
      </c>
      <c r="G6" s="16" t="s">
        <v>231</v>
      </c>
      <c r="H6" s="17">
        <v>0.64</v>
      </c>
      <c r="I6" s="18">
        <v>0.38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1637500</v>
      </c>
      <c r="D11" s="102">
        <v>124</v>
      </c>
      <c r="E11" s="109">
        <f>SUM(E55:I56)</f>
        <v>208600</v>
      </c>
      <c r="F11" s="109">
        <f>SUM(E53:I54)</f>
        <v>6</v>
      </c>
      <c r="G11" s="110">
        <f>C11+E11</f>
        <v>1846100</v>
      </c>
      <c r="H11" s="110">
        <f>D11+F11</f>
        <v>130</v>
      </c>
      <c r="I11" s="111">
        <f>G11/H11</f>
        <v>14200.76923076923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/>
      <c r="F13" s="24"/>
      <c r="G13" s="25"/>
      <c r="H13" s="23">
        <v>2</v>
      </c>
      <c r="I13" s="26">
        <f>C13-D13-D14*1/2-E13-E14*1/2+F13-H13-H14*1/2-I14*1/2</f>
        <v>17.5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19</v>
      </c>
      <c r="D15" s="29"/>
      <c r="E15" s="30"/>
      <c r="F15" s="34"/>
      <c r="G15" s="25"/>
      <c r="H15" s="29">
        <v>6</v>
      </c>
      <c r="I15" s="35">
        <f>C15-D15-D16*1/2-E15-E16*1/2+F15-H15-H16*1/2-I16*1/2</f>
        <v>13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12</v>
      </c>
      <c r="D19" s="29"/>
      <c r="E19" s="30">
        <v>2</v>
      </c>
      <c r="F19" s="34"/>
      <c r="G19" s="25"/>
      <c r="H19" s="29">
        <v>2</v>
      </c>
      <c r="I19" s="35">
        <f>C19-D19-D20*1/2-E19-E20*1/2+F19-H19-H20*1/2-I20*1/2</f>
        <v>8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55</v>
      </c>
      <c r="D21" s="41"/>
      <c r="E21" s="42"/>
      <c r="F21" s="43"/>
      <c r="G21" s="44"/>
      <c r="H21" s="43">
        <v>3</v>
      </c>
      <c r="I21" s="45">
        <f t="shared" ref="I21:I48" si="0">C21-D21-E21+F21-H21</f>
        <v>52</v>
      </c>
    </row>
    <row r="22" spans="1:9" ht="17.25" customHeight="1" x14ac:dyDescent="0.3">
      <c r="A22" s="358"/>
      <c r="B22" s="21" t="s">
        <v>32</v>
      </c>
      <c r="C22" s="46">
        <v>24</v>
      </c>
      <c r="D22" s="23"/>
      <c r="E22" s="47"/>
      <c r="F22" s="48"/>
      <c r="G22" s="25"/>
      <c r="H22" s="48">
        <v>4</v>
      </c>
      <c r="I22" s="49">
        <f t="shared" si="0"/>
        <v>20</v>
      </c>
    </row>
    <row r="23" spans="1:9" ht="17.25" customHeight="1" x14ac:dyDescent="0.3">
      <c r="A23" s="358"/>
      <c r="B23" s="27" t="s">
        <v>33</v>
      </c>
      <c r="C23" s="33">
        <v>137</v>
      </c>
      <c r="D23" s="29"/>
      <c r="E23" s="50">
        <v>4</v>
      </c>
      <c r="F23" s="51"/>
      <c r="G23" s="25"/>
      <c r="H23" s="51">
        <v>24</v>
      </c>
      <c r="I23" s="52">
        <f>C23-D23-D24-E23-E24+F23+F24-H23-H24-I24</f>
        <v>102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>
        <v>6</v>
      </c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>
        <v>2</v>
      </c>
      <c r="F25" s="48"/>
      <c r="G25" s="112"/>
      <c r="H25" s="48"/>
      <c r="I25" s="49">
        <f t="shared" si="0"/>
        <v>22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28</v>
      </c>
      <c r="D27" s="23"/>
      <c r="E27" s="47"/>
      <c r="F27" s="48"/>
      <c r="G27" s="112"/>
      <c r="H27" s="48">
        <v>13</v>
      </c>
      <c r="I27" s="49">
        <f t="shared" si="0"/>
        <v>15</v>
      </c>
    </row>
    <row r="28" spans="1:9" ht="17.25" customHeight="1" x14ac:dyDescent="0.3">
      <c r="A28" s="358"/>
      <c r="B28" s="160" t="s">
        <v>38</v>
      </c>
      <c r="C28" s="55">
        <v>36</v>
      </c>
      <c r="D28" s="41"/>
      <c r="E28" s="42"/>
      <c r="F28" s="43"/>
      <c r="G28" s="113"/>
      <c r="H28" s="43">
        <v>19</v>
      </c>
      <c r="I28" s="45">
        <f t="shared" si="0"/>
        <v>17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62</v>
      </c>
      <c r="D30" s="29"/>
      <c r="E30" s="50"/>
      <c r="F30" s="51"/>
      <c r="G30" s="25"/>
      <c r="H30" s="51">
        <v>22</v>
      </c>
      <c r="I30" s="52">
        <f>C30-D30-D31-E30-E31+F30+F31-H30-H31-I31</f>
        <v>40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>
        <v>19</v>
      </c>
    </row>
    <row r="36" spans="1:9" ht="17.25" customHeight="1" x14ac:dyDescent="0.3">
      <c r="A36" s="358"/>
      <c r="B36" s="153" t="s">
        <v>80</v>
      </c>
      <c r="C36" s="121">
        <v>21</v>
      </c>
      <c r="D36" s="122"/>
      <c r="E36" s="123">
        <v>2</v>
      </c>
      <c r="F36" s="124"/>
      <c r="G36" s="112"/>
      <c r="H36" s="124">
        <v>9</v>
      </c>
      <c r="I36" s="52">
        <f>C36-D36-E36+F36-H36</f>
        <v>10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15</v>
      </c>
      <c r="D46" s="23"/>
      <c r="E46" s="47"/>
      <c r="F46" s="48"/>
      <c r="G46" s="116"/>
      <c r="H46" s="48">
        <v>5</v>
      </c>
      <c r="I46" s="49">
        <f t="shared" si="0"/>
        <v>10</v>
      </c>
    </row>
    <row r="47" spans="1:9" ht="17.25" customHeight="1" x14ac:dyDescent="0.3">
      <c r="A47" s="358"/>
      <c r="B47" s="120" t="s">
        <v>88</v>
      </c>
      <c r="C47" s="121">
        <v>8</v>
      </c>
      <c r="D47" s="122"/>
      <c r="E47" s="123"/>
      <c r="F47" s="124"/>
      <c r="G47" s="112"/>
      <c r="H47" s="124">
        <v>2</v>
      </c>
      <c r="I47" s="52">
        <f t="shared" si="0"/>
        <v>6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504</v>
      </c>
      <c r="D51" s="66">
        <f>SUM(D13:D46)</f>
        <v>0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115</v>
      </c>
      <c r="I51" s="70">
        <f>SUM(I13:I46)</f>
        <v>391.5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1</v>
      </c>
      <c r="F53" s="347">
        <v>1</v>
      </c>
      <c r="G53" s="347">
        <v>3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18800</v>
      </c>
      <c r="F55" s="355">
        <v>19300</v>
      </c>
      <c r="G55" s="355">
        <v>26500</v>
      </c>
      <c r="H55" s="347"/>
      <c r="I55" s="341">
        <v>144000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243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244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245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246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90" t="s">
        <v>240</v>
      </c>
      <c r="D61" s="391"/>
      <c r="E61" s="391"/>
      <c r="F61" s="391"/>
      <c r="G61" s="391"/>
      <c r="H61" s="391"/>
      <c r="I61" s="392"/>
    </row>
    <row r="62" spans="1:10" s="76" customFormat="1" ht="17.25" customHeight="1" x14ac:dyDescent="0.3">
      <c r="A62" s="308"/>
      <c r="B62" s="309"/>
      <c r="C62" s="393"/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08"/>
      <c r="B63" s="309"/>
      <c r="C63" s="344" t="s">
        <v>241</v>
      </c>
      <c r="D63" s="345"/>
      <c r="E63" s="345"/>
      <c r="F63" s="345"/>
      <c r="G63" s="345"/>
      <c r="H63" s="345"/>
      <c r="I63" s="346"/>
    </row>
    <row r="64" spans="1:10" s="76" customFormat="1" ht="17.25" customHeight="1" thickBot="1" x14ac:dyDescent="0.35">
      <c r="A64" s="310"/>
      <c r="B64" s="311"/>
      <c r="C64" s="329" t="s">
        <v>242</v>
      </c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/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232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 t="s">
        <v>233</v>
      </c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234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235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236</v>
      </c>
      <c r="E79" s="94">
        <v>0.8125</v>
      </c>
      <c r="F79" s="93" t="s">
        <v>237</v>
      </c>
      <c r="G79" s="320" t="s">
        <v>238</v>
      </c>
      <c r="H79" s="321"/>
      <c r="I79" s="95" t="s">
        <v>239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E55" sqref="E55:E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247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248</v>
      </c>
      <c r="D3" s="5" t="s">
        <v>4</v>
      </c>
      <c r="E3" s="379"/>
      <c r="F3" s="386" t="s">
        <v>249</v>
      </c>
      <c r="G3" s="387"/>
      <c r="H3" s="388">
        <f>G11+'4일'!H3:I3</f>
        <v>11024900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250</v>
      </c>
      <c r="F6" s="15" t="s">
        <v>251</v>
      </c>
      <c r="G6" s="16" t="s">
        <v>252</v>
      </c>
      <c r="H6" s="17">
        <v>0.49</v>
      </c>
      <c r="I6" s="18">
        <v>0.38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2683600</v>
      </c>
      <c r="D11" s="102">
        <v>193</v>
      </c>
      <c r="E11" s="109">
        <f>SUM(E55:I56)</f>
        <v>220300</v>
      </c>
      <c r="F11" s="109">
        <f>SUM(E53:I54)</f>
        <v>15</v>
      </c>
      <c r="G11" s="110">
        <f>C11+E11</f>
        <v>2903900</v>
      </c>
      <c r="H11" s="110">
        <f>D11+F11</f>
        <v>208</v>
      </c>
      <c r="I11" s="111">
        <f>G11/H11</f>
        <v>13961.057692307691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28</v>
      </c>
      <c r="D13" s="23"/>
      <c r="E13" s="22">
        <v>1</v>
      </c>
      <c r="F13" s="24"/>
      <c r="G13" s="25"/>
      <c r="H13" s="23"/>
      <c r="I13" s="26">
        <f>C13-D13-D14*1/2-E13-E14*1/2+F13-H13-H14*1/2-I14*1/2</f>
        <v>27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24</v>
      </c>
      <c r="D15" s="29"/>
      <c r="E15" s="30"/>
      <c r="F15" s="34"/>
      <c r="G15" s="25"/>
      <c r="H15" s="29"/>
      <c r="I15" s="35">
        <f>C15-D15-D16*1/2-E15-E16*1/2+F15-H15-H16*1/2-I16*1/2</f>
        <v>23.5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27</v>
      </c>
      <c r="D17" s="29"/>
      <c r="E17" s="30"/>
      <c r="F17" s="34"/>
      <c r="G17" s="118"/>
      <c r="H17" s="29"/>
      <c r="I17" s="37">
        <f>C17-D17-D18*1/2-E17-E18*1/2+F17-H17-H18*1/2-I18*1/2</f>
        <v>26.5</v>
      </c>
    </row>
    <row r="18" spans="1:9" ht="17.25" customHeight="1" x14ac:dyDescent="0.3">
      <c r="A18" s="358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12.5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82</v>
      </c>
      <c r="D21" s="41"/>
      <c r="E21" s="42">
        <v>3</v>
      </c>
      <c r="F21" s="43"/>
      <c r="G21" s="44"/>
      <c r="H21" s="43"/>
      <c r="I21" s="45">
        <f t="shared" ref="I21:I48" si="0">C21-D21-E21+F21-H21</f>
        <v>79</v>
      </c>
    </row>
    <row r="22" spans="1:9" ht="17.25" customHeight="1" x14ac:dyDescent="0.3">
      <c r="A22" s="358"/>
      <c r="B22" s="21" t="s">
        <v>32</v>
      </c>
      <c r="C22" s="46">
        <v>32</v>
      </c>
      <c r="D22" s="23"/>
      <c r="E22" s="47"/>
      <c r="F22" s="48"/>
      <c r="G22" s="25"/>
      <c r="H22" s="48"/>
      <c r="I22" s="49">
        <f t="shared" si="0"/>
        <v>32</v>
      </c>
    </row>
    <row r="23" spans="1:9" ht="17.25" customHeight="1" x14ac:dyDescent="0.3">
      <c r="A23" s="358"/>
      <c r="B23" s="27" t="s">
        <v>33</v>
      </c>
      <c r="C23" s="33">
        <v>165</v>
      </c>
      <c r="D23" s="29"/>
      <c r="E23" s="50">
        <v>3</v>
      </c>
      <c r="F23" s="51"/>
      <c r="G23" s="25"/>
      <c r="H23" s="51">
        <v>10</v>
      </c>
      <c r="I23" s="52">
        <f>C23-D23-D24-E23-E24+F23+F24-H23-H24-I24</f>
        <v>150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25</v>
      </c>
      <c r="D25" s="23"/>
      <c r="E25" s="47"/>
      <c r="F25" s="48"/>
      <c r="G25" s="112"/>
      <c r="H25" s="48">
        <v>4</v>
      </c>
      <c r="I25" s="49">
        <f t="shared" si="0"/>
        <v>21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24</v>
      </c>
      <c r="D27" s="23">
        <v>1</v>
      </c>
      <c r="E27" s="47"/>
      <c r="F27" s="48"/>
      <c r="G27" s="112"/>
      <c r="H27" s="48"/>
      <c r="I27" s="49">
        <f t="shared" si="0"/>
        <v>23</v>
      </c>
    </row>
    <row r="28" spans="1:9" ht="17.25" customHeight="1" x14ac:dyDescent="0.3">
      <c r="A28" s="358"/>
      <c r="B28" s="160" t="s">
        <v>38</v>
      </c>
      <c r="C28" s="55">
        <v>33</v>
      </c>
      <c r="D28" s="41"/>
      <c r="E28" s="42"/>
      <c r="F28" s="43"/>
      <c r="G28" s="113"/>
      <c r="H28" s="43"/>
      <c r="I28" s="45">
        <f t="shared" si="0"/>
        <v>33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84</v>
      </c>
      <c r="D30" s="29"/>
      <c r="E30" s="50">
        <v>1</v>
      </c>
      <c r="F30" s="51"/>
      <c r="G30" s="25"/>
      <c r="H30" s="51">
        <v>8</v>
      </c>
      <c r="I30" s="52">
        <f>C30-D30-D31-E30-E31+F30+F31-H30-H31-I31</f>
        <v>73</v>
      </c>
    </row>
    <row r="31" spans="1:9" ht="17.25" customHeight="1" x14ac:dyDescent="0.3">
      <c r="A31" s="358"/>
      <c r="B31" s="58" t="s">
        <v>41</v>
      </c>
      <c r="C31" s="59"/>
      <c r="D31" s="60"/>
      <c r="E31" s="61">
        <v>2</v>
      </c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3</v>
      </c>
      <c r="F35" s="48"/>
      <c r="G35" s="116"/>
      <c r="H35" s="48"/>
      <c r="I35" s="282">
        <v>21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58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607</v>
      </c>
      <c r="D51" s="66">
        <f>SUM(D13:D46)</f>
        <v>1</v>
      </c>
      <c r="E51" s="67">
        <f>SUM(E13:E46)</f>
        <v>19</v>
      </c>
      <c r="F51" s="67">
        <f>SUM(F13:F46)</f>
        <v>0</v>
      </c>
      <c r="G51" s="68" t="s">
        <v>22</v>
      </c>
      <c r="H51" s="69">
        <f>SUM(H13:H46)</f>
        <v>22</v>
      </c>
      <c r="I51" s="70">
        <f>SUM(I13:I46)</f>
        <v>582.5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3</v>
      </c>
      <c r="F53" s="347"/>
      <c r="G53" s="347">
        <v>11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70100</v>
      </c>
      <c r="F55" s="355"/>
      <c r="G55" s="355">
        <v>111600</v>
      </c>
      <c r="H55" s="347"/>
      <c r="I55" s="341">
        <v>38600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265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268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267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266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90" t="s">
        <v>260</v>
      </c>
      <c r="D61" s="391"/>
      <c r="E61" s="391"/>
      <c r="F61" s="391"/>
      <c r="G61" s="391"/>
      <c r="H61" s="391"/>
      <c r="I61" s="392"/>
    </row>
    <row r="62" spans="1:10" s="76" customFormat="1" ht="17.25" customHeight="1" x14ac:dyDescent="0.3">
      <c r="A62" s="308"/>
      <c r="B62" s="309"/>
      <c r="C62" s="393"/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08"/>
      <c r="B63" s="309"/>
      <c r="C63" s="344"/>
      <c r="D63" s="345"/>
      <c r="E63" s="345"/>
      <c r="F63" s="345"/>
      <c r="G63" s="345"/>
      <c r="H63" s="345"/>
      <c r="I63" s="346"/>
    </row>
    <row r="64" spans="1:10" s="76" customFormat="1" ht="17.25" customHeight="1" thickBot="1" x14ac:dyDescent="0.35">
      <c r="A64" s="310"/>
      <c r="B64" s="311"/>
      <c r="C64" s="329" t="s">
        <v>262</v>
      </c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 t="s">
        <v>263</v>
      </c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253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254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 t="s">
        <v>264</v>
      </c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261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255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256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257</v>
      </c>
      <c r="E79" s="94">
        <v>0.8125</v>
      </c>
      <c r="F79" s="93" t="s">
        <v>258</v>
      </c>
      <c r="G79" s="320" t="s">
        <v>259</v>
      </c>
      <c r="H79" s="321"/>
      <c r="I79" s="95" t="s">
        <v>259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0" zoomScale="90" zoomScaleNormal="90" workbookViewId="0">
      <selection activeCell="J63" sqref="J6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271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273</v>
      </c>
      <c r="D3" s="5" t="s">
        <v>4</v>
      </c>
      <c r="E3" s="379"/>
      <c r="F3" s="386" t="s">
        <v>272</v>
      </c>
      <c r="G3" s="387"/>
      <c r="H3" s="388">
        <f>G11+'5일'!H3:I3</f>
        <v>12739500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274</v>
      </c>
      <c r="F6" s="15" t="s">
        <v>270</v>
      </c>
      <c r="G6" s="16" t="s">
        <v>269</v>
      </c>
      <c r="H6" s="17">
        <v>0.3</v>
      </c>
      <c r="I6" s="18">
        <v>0.35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1569700</v>
      </c>
      <c r="D11" s="102">
        <v>107</v>
      </c>
      <c r="E11" s="109">
        <f>SUM(E55:I56)</f>
        <v>144900</v>
      </c>
      <c r="F11" s="109">
        <f>SUM(E53:I54)</f>
        <v>8</v>
      </c>
      <c r="G11" s="110">
        <f>C11+E11</f>
        <v>1714600</v>
      </c>
      <c r="H11" s="110">
        <f>D11+F11</f>
        <v>115</v>
      </c>
      <c r="I11" s="111">
        <f>G11/H11</f>
        <v>14909.565217391304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19</v>
      </c>
      <c r="D13" s="23"/>
      <c r="E13" s="22"/>
      <c r="F13" s="24"/>
      <c r="G13" s="25"/>
      <c r="H13" s="23">
        <v>1</v>
      </c>
      <c r="I13" s="26">
        <f>C13-D13-D14*1/2-E13-E14*1/2+F13-H13-H14*1/2-I14*1/2</f>
        <v>17.5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19</v>
      </c>
      <c r="D15" s="29"/>
      <c r="E15" s="30"/>
      <c r="F15" s="34"/>
      <c r="G15" s="25"/>
      <c r="H15" s="29">
        <v>5</v>
      </c>
      <c r="I15" s="35">
        <f>C15-D15-D16*1/2-E15-E16*1/2+F15-H15-H16*1/2-I16*1/2</f>
        <v>13.5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16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12</v>
      </c>
      <c r="D19" s="29"/>
      <c r="E19" s="30"/>
      <c r="F19" s="34"/>
      <c r="G19" s="25"/>
      <c r="H19" s="29">
        <v>2</v>
      </c>
      <c r="I19" s="35">
        <f>C19-D19-D20*1/2-E19-E20*1/2+F19-H19-H20*1/2-I20*1/2</f>
        <v>10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62</v>
      </c>
      <c r="D21" s="41"/>
      <c r="E21" s="42">
        <v>2</v>
      </c>
      <c r="F21" s="43"/>
      <c r="G21" s="44"/>
      <c r="H21" s="43">
        <v>5</v>
      </c>
      <c r="I21" s="45">
        <f t="shared" ref="I21:I48" si="0">C21-D21-E21+F21-H21</f>
        <v>55</v>
      </c>
    </row>
    <row r="22" spans="1:9" ht="17.25" customHeight="1" x14ac:dyDescent="0.3">
      <c r="A22" s="358"/>
      <c r="B22" s="21" t="s">
        <v>32</v>
      </c>
      <c r="C22" s="46">
        <v>29</v>
      </c>
      <c r="D22" s="23"/>
      <c r="E22" s="47">
        <v>3</v>
      </c>
      <c r="F22" s="48"/>
      <c r="G22" s="25"/>
      <c r="H22" s="48">
        <v>2</v>
      </c>
      <c r="I22" s="49">
        <f t="shared" si="0"/>
        <v>24</v>
      </c>
    </row>
    <row r="23" spans="1:9" ht="17.25" customHeight="1" x14ac:dyDescent="0.3">
      <c r="A23" s="358"/>
      <c r="B23" s="27" t="s">
        <v>33</v>
      </c>
      <c r="C23" s="33">
        <v>113</v>
      </c>
      <c r="D23" s="29"/>
      <c r="E23" s="50">
        <v>4</v>
      </c>
      <c r="F23" s="51"/>
      <c r="G23" s="25"/>
      <c r="H23" s="51">
        <v>20</v>
      </c>
      <c r="I23" s="52">
        <f>C23-D23-D24-E23-E24+F23+F24-H23-H24-I24</f>
        <v>65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3</v>
      </c>
      <c r="F24" s="43"/>
      <c r="G24" s="113"/>
      <c r="H24" s="43">
        <v>21</v>
      </c>
      <c r="I24" s="54"/>
    </row>
    <row r="25" spans="1:9" ht="17.25" customHeight="1" x14ac:dyDescent="0.3">
      <c r="A25" s="358"/>
      <c r="B25" s="21" t="s">
        <v>35</v>
      </c>
      <c r="C25" s="46">
        <v>26</v>
      </c>
      <c r="D25" s="23"/>
      <c r="E25" s="47">
        <v>1</v>
      </c>
      <c r="F25" s="48"/>
      <c r="G25" s="112"/>
      <c r="H25" s="48">
        <v>9</v>
      </c>
      <c r="I25" s="49">
        <f t="shared" si="0"/>
        <v>16</v>
      </c>
    </row>
    <row r="26" spans="1:9" ht="17.25" customHeight="1" x14ac:dyDescent="0.3">
      <c r="A26" s="358"/>
      <c r="B26" s="160" t="s">
        <v>36</v>
      </c>
      <c r="C26" s="55">
        <v>21</v>
      </c>
      <c r="D26" s="41"/>
      <c r="E26" s="42"/>
      <c r="F26" s="43"/>
      <c r="G26" s="113"/>
      <c r="H26" s="43"/>
      <c r="I26" s="45">
        <f t="shared" si="0"/>
        <v>21</v>
      </c>
    </row>
    <row r="27" spans="1:9" ht="17.25" customHeight="1" x14ac:dyDescent="0.3">
      <c r="A27" s="358"/>
      <c r="B27" s="21" t="s">
        <v>37</v>
      </c>
      <c r="C27" s="46">
        <v>18</v>
      </c>
      <c r="D27" s="23"/>
      <c r="E27" s="47"/>
      <c r="F27" s="48"/>
      <c r="G27" s="112"/>
      <c r="H27" s="48"/>
      <c r="I27" s="49">
        <f t="shared" si="0"/>
        <v>18</v>
      </c>
    </row>
    <row r="28" spans="1:9" ht="17.25" customHeight="1" x14ac:dyDescent="0.3">
      <c r="A28" s="358"/>
      <c r="B28" s="160" t="s">
        <v>38</v>
      </c>
      <c r="C28" s="55">
        <v>30</v>
      </c>
      <c r="D28" s="41"/>
      <c r="E28" s="42"/>
      <c r="F28" s="43"/>
      <c r="G28" s="113"/>
      <c r="H28" s="43">
        <v>19</v>
      </c>
      <c r="I28" s="45">
        <f t="shared" si="0"/>
        <v>11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58"/>
      <c r="B30" s="56" t="s">
        <v>40</v>
      </c>
      <c r="C30" s="57">
        <v>79</v>
      </c>
      <c r="D30" s="29"/>
      <c r="E30" s="50">
        <v>1</v>
      </c>
      <c r="F30" s="51"/>
      <c r="G30" s="25"/>
      <c r="H30" s="51">
        <v>38</v>
      </c>
      <c r="I30" s="52">
        <f>C30-D30-D31-E30-E31+F30+F31-H30-H31-I31</f>
        <v>40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2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>
        <v>4</v>
      </c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>
        <v>7</v>
      </c>
      <c r="I46" s="49">
        <f t="shared" si="0"/>
        <v>5</v>
      </c>
    </row>
    <row r="47" spans="1:9" ht="17.25" customHeight="1" x14ac:dyDescent="0.3">
      <c r="A47" s="358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490</v>
      </c>
      <c r="D51" s="66">
        <f>SUM(D13:D46)</f>
        <v>0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130</v>
      </c>
      <c r="I51" s="70">
        <f>SUM(I13:I46)</f>
        <v>342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/>
      <c r="F53" s="347">
        <v>1</v>
      </c>
      <c r="G53" s="347">
        <v>7</v>
      </c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/>
      <c r="F55" s="355">
        <v>18600</v>
      </c>
      <c r="G55" s="355">
        <v>126300</v>
      </c>
      <c r="H55" s="347"/>
      <c r="I55" s="341"/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316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288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289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290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275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285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287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 t="s">
        <v>283</v>
      </c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 t="s">
        <v>284</v>
      </c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282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286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/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276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277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278</v>
      </c>
      <c r="E79" s="94">
        <v>0.77083333333333337</v>
      </c>
      <c r="F79" s="93" t="s">
        <v>279</v>
      </c>
      <c r="G79" s="320" t="s">
        <v>280</v>
      </c>
      <c r="H79" s="321"/>
      <c r="I79" s="95" t="s">
        <v>281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8" zoomScale="90" zoomScaleNormal="90" workbookViewId="0">
      <selection activeCell="J57" sqref="J5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291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292</v>
      </c>
      <c r="D3" s="5" t="s">
        <v>4</v>
      </c>
      <c r="E3" s="379"/>
      <c r="F3" s="386" t="s">
        <v>293</v>
      </c>
      <c r="G3" s="387"/>
      <c r="H3" s="388">
        <f>G11+'6일'!H3:I3</f>
        <v>14316400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294</v>
      </c>
      <c r="F6" s="15" t="s">
        <v>295</v>
      </c>
      <c r="G6" s="16" t="s">
        <v>305</v>
      </c>
      <c r="H6" s="17">
        <v>0.47</v>
      </c>
      <c r="I6" s="18">
        <v>0.38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1317200</v>
      </c>
      <c r="D11" s="102">
        <v>87</v>
      </c>
      <c r="E11" s="109">
        <f>SUM(E55:I56)</f>
        <v>259700</v>
      </c>
      <c r="F11" s="109">
        <f>SUM(E53:I54)</f>
        <v>13</v>
      </c>
      <c r="G11" s="110">
        <f>C11+E11</f>
        <v>1576900</v>
      </c>
      <c r="H11" s="110">
        <f>D11+F11</f>
        <v>100</v>
      </c>
      <c r="I11" s="111">
        <f>G11/H11</f>
        <v>15769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18</v>
      </c>
      <c r="D13" s="23"/>
      <c r="E13" s="22"/>
      <c r="F13" s="24"/>
      <c r="G13" s="25"/>
      <c r="H13" s="23">
        <v>3</v>
      </c>
      <c r="I13" s="26">
        <f>C13-D13-D14*1/2-E13-E14*1/2+F13-H13-H14*1/2-I14*1/2</f>
        <v>15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13</v>
      </c>
      <c r="D15" s="29"/>
      <c r="E15" s="30">
        <v>1</v>
      </c>
      <c r="F15" s="34"/>
      <c r="G15" s="25"/>
      <c r="H15" s="29"/>
      <c r="I15" s="35">
        <f>C15-D15-D16*1/2-E15-E16*1/2+F15-H15-H16*1/2-I16*1/2</f>
        <v>12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16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10</v>
      </c>
      <c r="D19" s="29"/>
      <c r="E19" s="30">
        <v>2</v>
      </c>
      <c r="F19" s="34"/>
      <c r="G19" s="25"/>
      <c r="H19" s="29"/>
      <c r="I19" s="35">
        <f>C19-D19-D20*1/2-E19-E20*1/2+F19-H19-H20*1/2-I20*1/2</f>
        <v>8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36</v>
      </c>
      <c r="D21" s="41"/>
      <c r="E21" s="42">
        <v>2</v>
      </c>
      <c r="F21" s="43"/>
      <c r="G21" s="44"/>
      <c r="H21" s="43"/>
      <c r="I21" s="45">
        <f t="shared" ref="I21:I48" si="0">C21-D21-E21+F21-H21</f>
        <v>34</v>
      </c>
    </row>
    <row r="22" spans="1:9" ht="17.25" customHeight="1" x14ac:dyDescent="0.3">
      <c r="A22" s="358"/>
      <c r="B22" s="21" t="s">
        <v>32</v>
      </c>
      <c r="C22" s="46">
        <v>17</v>
      </c>
      <c r="D22" s="23"/>
      <c r="E22" s="47"/>
      <c r="F22" s="48"/>
      <c r="G22" s="25"/>
      <c r="H22" s="48"/>
      <c r="I22" s="49">
        <f t="shared" si="0"/>
        <v>17</v>
      </c>
    </row>
    <row r="23" spans="1:9" ht="17.25" customHeight="1" x14ac:dyDescent="0.3">
      <c r="A23" s="358"/>
      <c r="B23" s="27" t="s">
        <v>33</v>
      </c>
      <c r="C23" s="33">
        <v>92</v>
      </c>
      <c r="D23" s="29"/>
      <c r="E23" s="50">
        <v>3</v>
      </c>
      <c r="F23" s="51"/>
      <c r="G23" s="25"/>
      <c r="H23" s="51">
        <v>16</v>
      </c>
      <c r="I23" s="52">
        <f>C23-D23-D24-E23-E24+F23+F24-H23-H24-I24</f>
        <v>60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2</v>
      </c>
      <c r="F24" s="43"/>
      <c r="G24" s="113"/>
      <c r="H24" s="43">
        <v>11</v>
      </c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/>
      <c r="F25" s="48"/>
      <c r="G25" s="112"/>
      <c r="H25" s="48">
        <v>3</v>
      </c>
      <c r="I25" s="49">
        <f t="shared" si="0"/>
        <v>21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21</v>
      </c>
      <c r="D27" s="23"/>
      <c r="E27" s="47"/>
      <c r="F27" s="48"/>
      <c r="G27" s="112"/>
      <c r="H27" s="48">
        <v>4</v>
      </c>
      <c r="I27" s="49">
        <f t="shared" si="0"/>
        <v>17</v>
      </c>
    </row>
    <row r="28" spans="1:9" ht="17.25" customHeight="1" x14ac:dyDescent="0.3">
      <c r="A28" s="358"/>
      <c r="B28" s="160" t="s">
        <v>38</v>
      </c>
      <c r="C28" s="55">
        <v>26</v>
      </c>
      <c r="D28" s="41"/>
      <c r="E28" s="42"/>
      <c r="F28" s="43"/>
      <c r="G28" s="113"/>
      <c r="H28" s="43">
        <v>16</v>
      </c>
      <c r="I28" s="45">
        <f t="shared" si="0"/>
        <v>10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63</v>
      </c>
      <c r="D30" s="29">
        <v>10</v>
      </c>
      <c r="E30" s="50"/>
      <c r="F30" s="51"/>
      <c r="G30" s="25"/>
      <c r="H30" s="51">
        <v>5</v>
      </c>
      <c r="I30" s="52">
        <f>C30-D30-D31-E30-E31+F30+F31-H30-H31-I31</f>
        <v>45</v>
      </c>
    </row>
    <row r="31" spans="1:9" ht="17.25" customHeight="1" x14ac:dyDescent="0.3">
      <c r="A31" s="358"/>
      <c r="B31" s="58" t="s">
        <v>41</v>
      </c>
      <c r="C31" s="59"/>
      <c r="D31" s="60"/>
      <c r="E31" s="61">
        <v>3</v>
      </c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4</v>
      </c>
    </row>
    <row r="34" spans="1:9" ht="17.25" customHeight="1" x14ac:dyDescent="0.3">
      <c r="A34" s="358"/>
      <c r="B34" s="179" t="s">
        <v>121</v>
      </c>
      <c r="C34" s="186"/>
      <c r="D34" s="60">
        <v>2</v>
      </c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>
        <v>10</v>
      </c>
      <c r="E35" s="47">
        <v>8</v>
      </c>
      <c r="F35" s="48" t="s">
        <v>306</v>
      </c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10</v>
      </c>
      <c r="D36" s="122"/>
      <c r="E36" s="123">
        <v>1</v>
      </c>
      <c r="F36" s="124"/>
      <c r="G36" s="112"/>
      <c r="H36" s="124"/>
      <c r="I36" s="52">
        <f>C36-D36-E36+F36-H36</f>
        <v>9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>
        <v>4</v>
      </c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6</v>
      </c>
      <c r="D46" s="23"/>
      <c r="E46" s="47"/>
      <c r="F46" s="48"/>
      <c r="G46" s="116"/>
      <c r="H46" s="48">
        <v>1</v>
      </c>
      <c r="I46" s="49">
        <f t="shared" si="0"/>
        <v>5</v>
      </c>
    </row>
    <row r="47" spans="1:9" ht="17.25" customHeight="1" x14ac:dyDescent="0.3">
      <c r="A47" s="358"/>
      <c r="B47" s="120" t="s">
        <v>88</v>
      </c>
      <c r="C47" s="121">
        <v>5</v>
      </c>
      <c r="D47" s="122"/>
      <c r="E47" s="123"/>
      <c r="F47" s="124"/>
      <c r="G47" s="112"/>
      <c r="H47" s="124">
        <v>2</v>
      </c>
      <c r="I47" s="52">
        <f t="shared" si="0"/>
        <v>3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384</v>
      </c>
      <c r="D51" s="66">
        <f>SUM(D13:D46)</f>
        <v>22</v>
      </c>
      <c r="E51" s="67">
        <f>SUM(E13:E46)</f>
        <v>22</v>
      </c>
      <c r="F51" s="67">
        <f>SUM(F13:F46)</f>
        <v>0</v>
      </c>
      <c r="G51" s="68" t="s">
        <v>22</v>
      </c>
      <c r="H51" s="69">
        <f>SUM(H13:H46)</f>
        <v>59</v>
      </c>
      <c r="I51" s="70">
        <f>SUM(I13:I46)</f>
        <v>304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2</v>
      </c>
      <c r="F53" s="347">
        <v>4</v>
      </c>
      <c r="G53" s="347">
        <v>7</v>
      </c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41300</v>
      </c>
      <c r="F55" s="355">
        <v>127300</v>
      </c>
      <c r="G55" s="355">
        <v>91100</v>
      </c>
      <c r="H55" s="347"/>
      <c r="I55" s="341"/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311</v>
      </c>
      <c r="D57" s="331"/>
      <c r="E57" s="331"/>
      <c r="F57" s="331"/>
      <c r="G57" s="331"/>
      <c r="H57" s="331"/>
      <c r="I57" s="332"/>
      <c r="J57" s="76" t="s">
        <v>332</v>
      </c>
    </row>
    <row r="58" spans="1:10" s="76" customFormat="1" ht="17.25" customHeight="1" x14ac:dyDescent="0.3">
      <c r="A58" s="308"/>
      <c r="B58" s="309"/>
      <c r="C58" s="326" t="s">
        <v>312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314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315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296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96" t="s">
        <v>307</v>
      </c>
      <c r="D62" s="397"/>
      <c r="E62" s="397"/>
      <c r="F62" s="397"/>
      <c r="G62" s="397"/>
      <c r="H62" s="397"/>
      <c r="I62" s="398"/>
    </row>
    <row r="63" spans="1:10" s="76" customFormat="1" ht="17.25" customHeight="1" x14ac:dyDescent="0.3">
      <c r="A63" s="308"/>
      <c r="B63" s="309"/>
      <c r="C63" s="399" t="s">
        <v>308</v>
      </c>
      <c r="D63" s="400"/>
      <c r="E63" s="400"/>
      <c r="F63" s="400"/>
      <c r="G63" s="400"/>
      <c r="H63" s="400"/>
      <c r="I63" s="401"/>
    </row>
    <row r="64" spans="1:10" s="76" customFormat="1" ht="17.25" customHeight="1" thickBot="1" x14ac:dyDescent="0.35">
      <c r="A64" s="310"/>
      <c r="B64" s="311"/>
      <c r="C64" s="329" t="s">
        <v>313</v>
      </c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 t="s">
        <v>304</v>
      </c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 t="s">
        <v>309</v>
      </c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297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310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298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299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3" t="s">
        <v>299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300</v>
      </c>
      <c r="E79" s="94">
        <v>0.77083333333333337</v>
      </c>
      <c r="F79" s="93" t="s">
        <v>301</v>
      </c>
      <c r="G79" s="320" t="s">
        <v>302</v>
      </c>
      <c r="H79" s="321"/>
      <c r="I79" s="95" t="s">
        <v>303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6" zoomScale="90" zoomScaleNormal="90" workbookViewId="0">
      <selection activeCell="H47" sqref="H4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105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317</v>
      </c>
      <c r="D3" s="5" t="s">
        <v>4</v>
      </c>
      <c r="E3" s="379"/>
      <c r="F3" s="386" t="s">
        <v>318</v>
      </c>
      <c r="G3" s="387"/>
      <c r="H3" s="388">
        <f>G11+'7일'!H3:I3</f>
        <v>16236900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319</v>
      </c>
      <c r="F6" s="15" t="s">
        <v>320</v>
      </c>
      <c r="G6" s="16" t="s">
        <v>321</v>
      </c>
      <c r="H6" s="17">
        <v>0.4</v>
      </c>
      <c r="I6" s="18">
        <v>0.34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1819300</v>
      </c>
      <c r="D11" s="102">
        <v>136</v>
      </c>
      <c r="E11" s="109">
        <f>SUM(E55:I56)</f>
        <v>101200</v>
      </c>
      <c r="F11" s="109">
        <f>SUM(E53:I54)</f>
        <v>4</v>
      </c>
      <c r="G11" s="110">
        <f>C11+E11</f>
        <v>1920500</v>
      </c>
      <c r="H11" s="110">
        <f>D11+F11</f>
        <v>140</v>
      </c>
      <c r="I11" s="111">
        <f>G11/H11</f>
        <v>13717.857142857143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18</v>
      </c>
      <c r="D13" s="23"/>
      <c r="E13" s="22">
        <v>1</v>
      </c>
      <c r="F13" s="24"/>
      <c r="G13" s="25"/>
      <c r="H13" s="23"/>
      <c r="I13" s="26">
        <f>C13-D13-D14*1/2-E13-E14*1/2+F13-H13-H14*1/2-I14*1/2</f>
        <v>17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21</v>
      </c>
      <c r="D15" s="29"/>
      <c r="E15" s="30"/>
      <c r="F15" s="34"/>
      <c r="G15" s="25"/>
      <c r="H15" s="29"/>
      <c r="I15" s="35">
        <f>C15-D15-D16*1/2-E15-E16*1/2+F15-H15-H16*1/2-I16*1/2</f>
        <v>21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12</v>
      </c>
      <c r="D19" s="29"/>
      <c r="E19" s="30"/>
      <c r="F19" s="34"/>
      <c r="G19" s="25"/>
      <c r="H19" s="29">
        <v>2</v>
      </c>
      <c r="I19" s="35">
        <f>C19-D19-D20*1/2-E19-E20*1/2+F19-H19-H20*1/2-I20*1/2</f>
        <v>9.5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58"/>
      <c r="B21" s="39" t="s">
        <v>31</v>
      </c>
      <c r="C21" s="40">
        <v>57</v>
      </c>
      <c r="D21" s="41"/>
      <c r="E21" s="42">
        <v>4</v>
      </c>
      <c r="F21" s="43"/>
      <c r="G21" s="44"/>
      <c r="H21" s="43">
        <v>3</v>
      </c>
      <c r="I21" s="45">
        <f t="shared" ref="I21:I48" si="0">C21-D21-E21+F21-H21</f>
        <v>50</v>
      </c>
    </row>
    <row r="22" spans="1:9" ht="17.25" customHeight="1" x14ac:dyDescent="0.3">
      <c r="A22" s="358"/>
      <c r="B22" s="21" t="s">
        <v>32</v>
      </c>
      <c r="C22" s="46">
        <v>30</v>
      </c>
      <c r="D22" s="23"/>
      <c r="E22" s="47">
        <v>2</v>
      </c>
      <c r="F22" s="48"/>
      <c r="G22" s="25"/>
      <c r="H22" s="48">
        <v>6</v>
      </c>
      <c r="I22" s="49">
        <f t="shared" si="0"/>
        <v>22</v>
      </c>
    </row>
    <row r="23" spans="1:9" ht="17.25" customHeight="1" x14ac:dyDescent="0.3">
      <c r="A23" s="358"/>
      <c r="B23" s="27" t="s">
        <v>33</v>
      </c>
      <c r="C23" s="33">
        <v>136</v>
      </c>
      <c r="D23" s="29"/>
      <c r="E23" s="50">
        <v>8</v>
      </c>
      <c r="F23" s="51"/>
      <c r="G23" s="25"/>
      <c r="H23" s="51">
        <v>19</v>
      </c>
      <c r="I23" s="52">
        <f>C23-D23-D24-E23-E24+F23+F24-H23-H24-I24</f>
        <v>87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4</v>
      </c>
      <c r="F24" s="43"/>
      <c r="G24" s="113"/>
      <c r="H24" s="43">
        <v>18</v>
      </c>
      <c r="I24" s="54"/>
    </row>
    <row r="25" spans="1:9" ht="17.25" customHeight="1" x14ac:dyDescent="0.3">
      <c r="A25" s="358"/>
      <c r="B25" s="21" t="s">
        <v>35</v>
      </c>
      <c r="C25" s="46">
        <v>25</v>
      </c>
      <c r="D25" s="23"/>
      <c r="E25" s="47"/>
      <c r="F25" s="48"/>
      <c r="G25" s="112"/>
      <c r="H25" s="48">
        <v>5</v>
      </c>
      <c r="I25" s="49">
        <f t="shared" si="0"/>
        <v>20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>
        <v>1</v>
      </c>
      <c r="F26" s="43"/>
      <c r="G26" s="113"/>
      <c r="H26" s="43"/>
      <c r="I26" s="45">
        <f t="shared" si="0"/>
        <v>21</v>
      </c>
    </row>
    <row r="27" spans="1:9" ht="17.25" customHeight="1" x14ac:dyDescent="0.3">
      <c r="A27" s="358"/>
      <c r="B27" s="21" t="s">
        <v>37</v>
      </c>
      <c r="C27" s="46">
        <v>19</v>
      </c>
      <c r="D27" s="23"/>
      <c r="E27" s="47"/>
      <c r="F27" s="48"/>
      <c r="G27" s="112"/>
      <c r="H27" s="48">
        <v>1</v>
      </c>
      <c r="I27" s="49">
        <f t="shared" si="0"/>
        <v>18</v>
      </c>
    </row>
    <row r="28" spans="1:9" ht="17.25" customHeight="1" x14ac:dyDescent="0.3">
      <c r="A28" s="358"/>
      <c r="B28" s="160" t="s">
        <v>38</v>
      </c>
      <c r="C28" s="55">
        <v>26</v>
      </c>
      <c r="D28" s="41"/>
      <c r="E28" s="42"/>
      <c r="F28" s="43"/>
      <c r="G28" s="113"/>
      <c r="H28" s="43">
        <v>7</v>
      </c>
      <c r="I28" s="45">
        <f t="shared" si="0"/>
        <v>19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63</v>
      </c>
      <c r="D30" s="29"/>
      <c r="E30" s="50"/>
      <c r="F30" s="51"/>
      <c r="G30" s="25"/>
      <c r="H30" s="51"/>
      <c r="I30" s="52">
        <f>C30-D30-D31-E30-E31+F30+F31-H30-H31-I31</f>
        <v>63</v>
      </c>
    </row>
    <row r="31" spans="1:9" ht="17.25" customHeight="1" x14ac:dyDescent="0.3">
      <c r="A31" s="358"/>
      <c r="B31" s="58" t="s">
        <v>41</v>
      </c>
      <c r="C31" s="59">
        <v>5</v>
      </c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10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10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  <c r="J34" s="2" t="s">
        <v>339</v>
      </c>
    </row>
    <row r="35" spans="1:10" ht="17.25" customHeight="1" x14ac:dyDescent="0.3">
      <c r="A35" s="358"/>
      <c r="B35" s="191" t="s">
        <v>79</v>
      </c>
      <c r="C35" s="281"/>
      <c r="D35" s="23"/>
      <c r="E35" s="47">
        <v>2</v>
      </c>
      <c r="F35" s="48"/>
      <c r="G35" s="116"/>
      <c r="H35" s="48"/>
      <c r="I35" s="282"/>
    </row>
    <row r="36" spans="1:10" ht="17.25" customHeight="1" x14ac:dyDescent="0.3">
      <c r="A36" s="358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10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10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10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10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10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10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10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10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10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10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10" ht="17.25" customHeight="1" x14ac:dyDescent="0.3">
      <c r="A47" s="358"/>
      <c r="B47" s="120" t="s">
        <v>88</v>
      </c>
      <c r="C47" s="121">
        <v>5</v>
      </c>
      <c r="D47" s="122"/>
      <c r="E47" s="123"/>
      <c r="F47" s="124"/>
      <c r="G47" s="112"/>
      <c r="H47" s="124"/>
      <c r="I47" s="52">
        <f t="shared" si="0"/>
        <v>5</v>
      </c>
    </row>
    <row r="48" spans="1:10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492</v>
      </c>
      <c r="D51" s="66">
        <f>SUM(D13:D46)</f>
        <v>0</v>
      </c>
      <c r="E51" s="67">
        <f>SUM(E13:E46)</f>
        <v>24</v>
      </c>
      <c r="F51" s="67">
        <f>SUM(F13:F46)</f>
        <v>0</v>
      </c>
      <c r="G51" s="68" t="s">
        <v>22</v>
      </c>
      <c r="H51" s="69">
        <f>SUM(H13:H46)</f>
        <v>62</v>
      </c>
      <c r="I51" s="70">
        <f>SUM(I13:I46)</f>
        <v>401.5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1</v>
      </c>
      <c r="F53" s="347">
        <v>2</v>
      </c>
      <c r="G53" s="347"/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18400</v>
      </c>
      <c r="F55" s="355">
        <v>44600</v>
      </c>
      <c r="G55" s="355"/>
      <c r="H55" s="347"/>
      <c r="I55" s="341">
        <v>38200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333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335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336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337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329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284" t="s">
        <v>330</v>
      </c>
      <c r="D62" s="285"/>
      <c r="E62" s="285"/>
      <c r="F62" s="285"/>
      <c r="G62" s="285"/>
      <c r="H62" s="285"/>
      <c r="I62" s="286"/>
    </row>
    <row r="63" spans="1:10" s="76" customFormat="1" ht="17.25" customHeight="1" x14ac:dyDescent="0.3">
      <c r="A63" s="308"/>
      <c r="B63" s="309"/>
      <c r="C63" s="325" t="s">
        <v>331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 t="s">
        <v>338</v>
      </c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334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328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322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323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324</v>
      </c>
      <c r="E79" s="94">
        <v>0.8125</v>
      </c>
      <c r="F79" s="93" t="s">
        <v>325</v>
      </c>
      <c r="G79" s="320" t="s">
        <v>326</v>
      </c>
      <c r="H79" s="321"/>
      <c r="I79" s="95" t="s">
        <v>327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70"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340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341</v>
      </c>
      <c r="D3" s="5" t="s">
        <v>4</v>
      </c>
      <c r="E3" s="379"/>
      <c r="F3" s="386" t="s">
        <v>342</v>
      </c>
      <c r="G3" s="387"/>
      <c r="H3" s="388">
        <f>G11+'8일'!H3:I3</f>
        <v>18695500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343</v>
      </c>
      <c r="F6" s="15" t="s">
        <v>344</v>
      </c>
      <c r="G6" s="16" t="s">
        <v>345</v>
      </c>
      <c r="H6" s="17">
        <v>0.42</v>
      </c>
      <c r="I6" s="18">
        <v>0.41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2220800</v>
      </c>
      <c r="D11" s="102">
        <v>147</v>
      </c>
      <c r="E11" s="109">
        <f>SUM(E55:I56)</f>
        <v>237800</v>
      </c>
      <c r="F11" s="109">
        <f>SUM(E53:I54)</f>
        <v>9</v>
      </c>
      <c r="G11" s="110">
        <f>C11+E11</f>
        <v>2458600</v>
      </c>
      <c r="H11" s="110">
        <f>D11+F11</f>
        <v>156</v>
      </c>
      <c r="I11" s="111">
        <f>G11/H11</f>
        <v>15760.25641025641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20</v>
      </c>
      <c r="D15" s="29"/>
      <c r="E15" s="30"/>
      <c r="F15" s="34"/>
      <c r="G15" s="25"/>
      <c r="H15" s="29"/>
      <c r="I15" s="35">
        <f>C15-D15-D16*1/2-E15-E16*1/2+F15-H15-H16*1/2-I16*1/2</f>
        <v>20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60</v>
      </c>
      <c r="D21" s="41"/>
      <c r="E21" s="42">
        <v>2</v>
      </c>
      <c r="F21" s="43"/>
      <c r="G21" s="44"/>
      <c r="H21" s="43"/>
      <c r="I21" s="45">
        <f t="shared" ref="I21:I48" si="0">C21-D21-E21+F21-H21</f>
        <v>58</v>
      </c>
    </row>
    <row r="22" spans="1:9" ht="17.25" customHeight="1" x14ac:dyDescent="0.3">
      <c r="A22" s="358"/>
      <c r="B22" s="21" t="s">
        <v>32</v>
      </c>
      <c r="C22" s="46">
        <v>25</v>
      </c>
      <c r="D22" s="23"/>
      <c r="E22" s="47">
        <v>3</v>
      </c>
      <c r="F22" s="48"/>
      <c r="G22" s="25"/>
      <c r="H22" s="48"/>
      <c r="I22" s="49">
        <f t="shared" si="0"/>
        <v>22</v>
      </c>
    </row>
    <row r="23" spans="1:9" ht="17.25" customHeight="1" x14ac:dyDescent="0.3">
      <c r="A23" s="358"/>
      <c r="B23" s="27" t="s">
        <v>33</v>
      </c>
      <c r="C23" s="33">
        <v>121</v>
      </c>
      <c r="D23" s="29"/>
      <c r="E23" s="50">
        <v>3</v>
      </c>
      <c r="F23" s="51"/>
      <c r="G23" s="25"/>
      <c r="H23" s="51"/>
      <c r="I23" s="52">
        <f>C23-D23-D24-E23-E24+F23+F24-H23-H24-I24</f>
        <v>118</v>
      </c>
    </row>
    <row r="24" spans="1:9" ht="17.25" customHeight="1" x14ac:dyDescent="0.3">
      <c r="A24" s="358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/>
      <c r="F25" s="48"/>
      <c r="G25" s="112"/>
      <c r="H25" s="48">
        <v>3</v>
      </c>
      <c r="I25" s="49">
        <f t="shared" si="0"/>
        <v>21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30</v>
      </c>
      <c r="D27" s="23"/>
      <c r="E27" s="47">
        <v>1</v>
      </c>
      <c r="F27" s="48"/>
      <c r="G27" s="112"/>
      <c r="H27" s="48"/>
      <c r="I27" s="49">
        <f t="shared" si="0"/>
        <v>29</v>
      </c>
    </row>
    <row r="28" spans="1:9" ht="17.25" customHeight="1" x14ac:dyDescent="0.3">
      <c r="A28" s="358"/>
      <c r="B28" s="160" t="s">
        <v>38</v>
      </c>
      <c r="C28" s="55">
        <v>34</v>
      </c>
      <c r="D28" s="41"/>
      <c r="E28" s="42">
        <v>1</v>
      </c>
      <c r="F28" s="43"/>
      <c r="G28" s="113"/>
      <c r="H28" s="43">
        <v>15</v>
      </c>
      <c r="I28" s="45">
        <f t="shared" si="0"/>
        <v>18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62</v>
      </c>
      <c r="D30" s="29"/>
      <c r="E30" s="50"/>
      <c r="F30" s="51"/>
      <c r="G30" s="25"/>
      <c r="H30" s="51"/>
      <c r="I30" s="52">
        <f>C30-D30-D31-E30-E31+F30+F31-H30-H31-I31</f>
        <v>62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4</v>
      </c>
      <c r="F35" s="48"/>
      <c r="G35" s="116"/>
      <c r="H35" s="48"/>
      <c r="I35" s="282">
        <v>27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26</v>
      </c>
      <c r="D46" s="23"/>
      <c r="E46" s="47"/>
      <c r="F46" s="48"/>
      <c r="G46" s="116"/>
      <c r="H46" s="48">
        <v>2</v>
      </c>
      <c r="I46" s="49">
        <f t="shared" si="0"/>
        <v>24</v>
      </c>
    </row>
    <row r="47" spans="1:9" ht="17.25" customHeight="1" x14ac:dyDescent="0.3">
      <c r="A47" s="358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503</v>
      </c>
      <c r="D51" s="66">
        <f>SUM(D13:D46)</f>
        <v>0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20</v>
      </c>
      <c r="I51" s="70">
        <f>SUM(I13:I46)</f>
        <v>494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1</v>
      </c>
      <c r="F53" s="347"/>
      <c r="G53" s="347">
        <v>7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22500</v>
      </c>
      <c r="F55" s="355"/>
      <c r="G55" s="355">
        <v>64100</v>
      </c>
      <c r="H55" s="347"/>
      <c r="I55" s="341">
        <v>151200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356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359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360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361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353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354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358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 t="s">
        <v>355</v>
      </c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357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346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347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348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349</v>
      </c>
      <c r="E79" s="94">
        <v>0.8125</v>
      </c>
      <c r="F79" s="93" t="s">
        <v>350</v>
      </c>
      <c r="G79" s="320" t="s">
        <v>351</v>
      </c>
      <c r="H79" s="321"/>
      <c r="I79" s="95" t="s">
        <v>352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6" zoomScale="90" zoomScaleNormal="90" workbookViewId="0">
      <selection activeCell="C62" sqref="C62:I62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362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375</v>
      </c>
      <c r="D3" s="5" t="s">
        <v>4</v>
      </c>
      <c r="E3" s="379"/>
      <c r="F3" s="386" t="s">
        <v>363</v>
      </c>
      <c r="G3" s="387"/>
      <c r="H3" s="388">
        <f>G11+'9일'!H3:I3</f>
        <v>20770700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364</v>
      </c>
      <c r="F6" s="15" t="s">
        <v>365</v>
      </c>
      <c r="G6" s="16" t="s">
        <v>366</v>
      </c>
      <c r="H6" s="17">
        <v>0.5</v>
      </c>
      <c r="I6" s="18">
        <v>0.41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1861900</v>
      </c>
      <c r="D11" s="102">
        <v>150</v>
      </c>
      <c r="E11" s="109">
        <f>SUM(E55:I56)</f>
        <v>213300</v>
      </c>
      <c r="F11" s="109">
        <f>SUM(E53:I54)</f>
        <v>14</v>
      </c>
      <c r="G11" s="110">
        <f>C11+E11</f>
        <v>2075200</v>
      </c>
      <c r="H11" s="110">
        <f>D11+F11</f>
        <v>164</v>
      </c>
      <c r="I11" s="111">
        <f>G11/H11</f>
        <v>12653.658536585366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16</v>
      </c>
      <c r="D15" s="29"/>
      <c r="E15" s="30"/>
      <c r="F15" s="34"/>
      <c r="G15" s="25"/>
      <c r="H15" s="29"/>
      <c r="I15" s="35">
        <f>C15-D15-D16*1/2-E15-E16*1/2+F15-H15-H16*1/2-I16*1/2</f>
        <v>16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15.5</v>
      </c>
    </row>
    <row r="18" spans="1:9" ht="17.25" customHeight="1" x14ac:dyDescent="0.3">
      <c r="A18" s="358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51</v>
      </c>
      <c r="D21" s="41"/>
      <c r="E21" s="42">
        <v>2</v>
      </c>
      <c r="F21" s="43"/>
      <c r="G21" s="44"/>
      <c r="H21" s="43"/>
      <c r="I21" s="45">
        <f t="shared" ref="I21:I48" si="0">C21-D21-E21+F21-H21</f>
        <v>49</v>
      </c>
    </row>
    <row r="22" spans="1:9" ht="17.25" customHeight="1" x14ac:dyDescent="0.3">
      <c r="A22" s="358"/>
      <c r="B22" s="21" t="s">
        <v>32</v>
      </c>
      <c r="C22" s="46">
        <v>28</v>
      </c>
      <c r="D22" s="23"/>
      <c r="E22" s="47"/>
      <c r="F22" s="48"/>
      <c r="G22" s="25"/>
      <c r="H22" s="48"/>
      <c r="I22" s="49">
        <f t="shared" si="0"/>
        <v>28</v>
      </c>
    </row>
    <row r="23" spans="1:9" ht="17.25" customHeight="1" x14ac:dyDescent="0.3">
      <c r="A23" s="358"/>
      <c r="B23" s="27" t="s">
        <v>33</v>
      </c>
      <c r="C23" s="33">
        <v>140</v>
      </c>
      <c r="D23" s="29"/>
      <c r="E23" s="50">
        <v>3</v>
      </c>
      <c r="F23" s="51"/>
      <c r="G23" s="25"/>
      <c r="H23" s="51"/>
      <c r="I23" s="52">
        <f>C23-D23-D24-E23-E24+F23+F24-H23-H24-I24</f>
        <v>135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26</v>
      </c>
      <c r="D25" s="23"/>
      <c r="E25" s="47"/>
      <c r="F25" s="48"/>
      <c r="G25" s="112"/>
      <c r="H25" s="48"/>
      <c r="I25" s="49">
        <f t="shared" si="0"/>
        <v>26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15</v>
      </c>
      <c r="D27" s="23"/>
      <c r="E27" s="47"/>
      <c r="F27" s="48"/>
      <c r="G27" s="112"/>
      <c r="H27" s="48"/>
      <c r="I27" s="49">
        <f t="shared" si="0"/>
        <v>15</v>
      </c>
    </row>
    <row r="28" spans="1:9" ht="17.25" customHeight="1" x14ac:dyDescent="0.3">
      <c r="A28" s="358"/>
      <c r="B28" s="160" t="s">
        <v>38</v>
      </c>
      <c r="C28" s="55">
        <v>22</v>
      </c>
      <c r="D28" s="41"/>
      <c r="E28" s="42"/>
      <c r="F28" s="43"/>
      <c r="G28" s="113"/>
      <c r="H28" s="43"/>
      <c r="I28" s="45">
        <f t="shared" si="0"/>
        <v>22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58"/>
      <c r="B30" s="56" t="s">
        <v>40</v>
      </c>
      <c r="C30" s="57">
        <v>62</v>
      </c>
      <c r="D30" s="29"/>
      <c r="E30" s="50">
        <v>1</v>
      </c>
      <c r="F30" s="51"/>
      <c r="G30" s="25"/>
      <c r="H30" s="51"/>
      <c r="I30" s="52">
        <f>C30-D30-D31-E30-E31+F30+F31-H30-H31-I31</f>
        <v>61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>
        <v>4</v>
      </c>
      <c r="F35" s="48"/>
      <c r="G35" s="116"/>
      <c r="H35" s="48"/>
      <c r="I35" s="282">
        <v>19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>
        <v>2</v>
      </c>
      <c r="F36" s="124"/>
      <c r="G36" s="112"/>
      <c r="H36" s="124"/>
      <c r="I36" s="52">
        <f>C36-D36-E36+F36-H36</f>
        <v>18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>
        <v>1</v>
      </c>
      <c r="I46" s="49">
        <f t="shared" si="0"/>
        <v>11</v>
      </c>
    </row>
    <row r="47" spans="1:9" ht="17.25" customHeight="1" x14ac:dyDescent="0.3">
      <c r="A47" s="358"/>
      <c r="B47" s="120" t="s">
        <v>88</v>
      </c>
      <c r="C47" s="121">
        <v>9</v>
      </c>
      <c r="D47" s="122"/>
      <c r="E47" s="123"/>
      <c r="F47" s="124"/>
      <c r="G47" s="112"/>
      <c r="H47" s="124">
        <v>3</v>
      </c>
      <c r="I47" s="52">
        <f t="shared" si="0"/>
        <v>6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474</v>
      </c>
      <c r="D51" s="66">
        <f>SUM(D13:D46)</f>
        <v>0</v>
      </c>
      <c r="E51" s="67">
        <f>SUM(E13:E46)</f>
        <v>16</v>
      </c>
      <c r="F51" s="67">
        <f>SUM(F13:F46)</f>
        <v>0</v>
      </c>
      <c r="G51" s="68" t="s">
        <v>22</v>
      </c>
      <c r="H51" s="69">
        <f>SUM(H13:H46)</f>
        <v>2</v>
      </c>
      <c r="I51" s="70">
        <f>SUM(I13:I46)</f>
        <v>471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4</v>
      </c>
      <c r="F53" s="347">
        <v>1</v>
      </c>
      <c r="G53" s="347">
        <v>8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86200</v>
      </c>
      <c r="F55" s="355">
        <v>18000</v>
      </c>
      <c r="G55" s="355">
        <v>58700</v>
      </c>
      <c r="H55" s="347"/>
      <c r="I55" s="341">
        <v>50400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387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378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379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380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374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376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377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 t="s">
        <v>382</v>
      </c>
      <c r="D64" s="329"/>
      <c r="E64" s="329"/>
      <c r="F64" s="329"/>
      <c r="G64" s="329"/>
      <c r="H64" s="329"/>
      <c r="I64" s="330"/>
    </row>
    <row r="65" spans="1:9" s="76" customFormat="1" ht="35.25" customHeight="1" x14ac:dyDescent="0.3">
      <c r="A65" s="333" t="s">
        <v>46</v>
      </c>
      <c r="B65" s="336" t="s">
        <v>47</v>
      </c>
      <c r="C65" s="402" t="s">
        <v>367</v>
      </c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 t="s">
        <v>368</v>
      </c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 t="s">
        <v>381</v>
      </c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369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373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372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370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371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383</v>
      </c>
      <c r="E79" s="94">
        <v>0.8125</v>
      </c>
      <c r="F79" s="93" t="s">
        <v>384</v>
      </c>
      <c r="G79" s="320" t="s">
        <v>385</v>
      </c>
      <c r="H79" s="321"/>
      <c r="I79" s="95" t="s">
        <v>386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7" zoomScale="90" zoomScaleNormal="90" workbookViewId="0">
      <selection activeCell="H14" sqref="H1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388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389</v>
      </c>
      <c r="D3" s="5" t="s">
        <v>4</v>
      </c>
      <c r="E3" s="379"/>
      <c r="F3" s="386" t="s">
        <v>390</v>
      </c>
      <c r="G3" s="387"/>
      <c r="H3" s="388">
        <f>G11+'10일'!H3:I3</f>
        <v>22991300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391</v>
      </c>
      <c r="F6" s="15" t="s">
        <v>392</v>
      </c>
      <c r="G6" s="16" t="s">
        <v>393</v>
      </c>
      <c r="H6" s="17">
        <v>0.41</v>
      </c>
      <c r="I6" s="18">
        <v>0.47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1909200</v>
      </c>
      <c r="D11" s="102">
        <v>145</v>
      </c>
      <c r="E11" s="109">
        <f>SUM(E55:I56)</f>
        <v>311400</v>
      </c>
      <c r="F11" s="109">
        <f>SUM(E53:I54)</f>
        <v>10</v>
      </c>
      <c r="G11" s="110">
        <f>C11+E11</f>
        <v>2220600</v>
      </c>
      <c r="H11" s="110">
        <f>D11+F11</f>
        <v>155</v>
      </c>
      <c r="I11" s="111">
        <f>G11/H11</f>
        <v>14326.451612903225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/>
      <c r="F13" s="24"/>
      <c r="G13" s="25"/>
      <c r="H13" s="23">
        <v>1</v>
      </c>
      <c r="I13" s="26">
        <f>C13-D13-D14*1/2-E13-E14*1/2+F13-H13-H14*1/2-I14*1/2</f>
        <v>18.5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17.5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15.5</v>
      </c>
    </row>
    <row r="18" spans="1:9" ht="17.25" customHeight="1" x14ac:dyDescent="0.3">
      <c r="A18" s="358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>
        <v>2</v>
      </c>
      <c r="E19" s="30"/>
      <c r="F19" s="34"/>
      <c r="G19" s="25"/>
      <c r="H19" s="29"/>
      <c r="I19" s="35">
        <f>C19-D19-D20*1/2-E19-E20*1/2+F19-H19-H20*1/2-I20*1/2</f>
        <v>10</v>
      </c>
    </row>
    <row r="20" spans="1:9" ht="17.25" customHeight="1" x14ac:dyDescent="0.3">
      <c r="A20" s="358"/>
      <c r="B20" s="27" t="s">
        <v>30</v>
      </c>
      <c r="C20" s="28"/>
      <c r="D20" s="29">
        <v>1</v>
      </c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60</v>
      </c>
      <c r="D21" s="41"/>
      <c r="E21" s="42">
        <v>3</v>
      </c>
      <c r="F21" s="43"/>
      <c r="G21" s="44"/>
      <c r="H21" s="43"/>
      <c r="I21" s="45">
        <f t="shared" ref="I21:I48" si="0">C21-D21-E21+F21-H21</f>
        <v>57</v>
      </c>
    </row>
    <row r="22" spans="1:9" ht="17.25" customHeight="1" x14ac:dyDescent="0.3">
      <c r="A22" s="358"/>
      <c r="B22" s="21" t="s">
        <v>32</v>
      </c>
      <c r="C22" s="46">
        <v>25</v>
      </c>
      <c r="D22" s="23"/>
      <c r="E22" s="47"/>
      <c r="F22" s="48"/>
      <c r="G22" s="25"/>
      <c r="H22" s="48"/>
      <c r="I22" s="49">
        <f t="shared" si="0"/>
        <v>25</v>
      </c>
    </row>
    <row r="23" spans="1:9" ht="17.25" customHeight="1" x14ac:dyDescent="0.3">
      <c r="A23" s="358"/>
      <c r="B23" s="27" t="s">
        <v>33</v>
      </c>
      <c r="C23" s="33">
        <v>158</v>
      </c>
      <c r="D23" s="29"/>
      <c r="E23" s="50">
        <v>3</v>
      </c>
      <c r="F23" s="51"/>
      <c r="G23" s="25"/>
      <c r="H23" s="51"/>
      <c r="I23" s="52">
        <f>C23-D23-D24-E23-E24+F23+F24-H23-H24-I24</f>
        <v>155</v>
      </c>
    </row>
    <row r="24" spans="1:9" ht="17.25" customHeight="1" x14ac:dyDescent="0.3">
      <c r="A24" s="358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26</v>
      </c>
      <c r="D25" s="23"/>
      <c r="E25" s="47">
        <v>2</v>
      </c>
      <c r="F25" s="48"/>
      <c r="G25" s="112"/>
      <c r="H25" s="48"/>
      <c r="I25" s="49">
        <f t="shared" si="0"/>
        <v>24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22</v>
      </c>
      <c r="D27" s="23"/>
      <c r="E27" s="47"/>
      <c r="F27" s="48"/>
      <c r="G27" s="112"/>
      <c r="H27" s="48"/>
      <c r="I27" s="49">
        <f t="shared" si="0"/>
        <v>22</v>
      </c>
    </row>
    <row r="28" spans="1:9" ht="17.25" customHeight="1" x14ac:dyDescent="0.3">
      <c r="A28" s="358"/>
      <c r="B28" s="160" t="s">
        <v>38</v>
      </c>
      <c r="C28" s="55">
        <v>33</v>
      </c>
      <c r="D28" s="41">
        <v>2</v>
      </c>
      <c r="E28" s="42"/>
      <c r="F28" s="43"/>
      <c r="G28" s="113"/>
      <c r="H28" s="43"/>
      <c r="I28" s="45">
        <f t="shared" si="0"/>
        <v>31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61</v>
      </c>
      <c r="D30" s="29">
        <v>6</v>
      </c>
      <c r="E30" s="50"/>
      <c r="F30" s="51"/>
      <c r="G30" s="25"/>
      <c r="H30" s="51"/>
      <c r="I30" s="52">
        <f>C30-D30-D31-E30-E31+F30+F31-H30-H31-I31</f>
        <v>55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22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21</v>
      </c>
      <c r="D46" s="23"/>
      <c r="E46" s="47"/>
      <c r="F46" s="48"/>
      <c r="G46" s="116"/>
      <c r="H46" s="48">
        <v>4</v>
      </c>
      <c r="I46" s="49">
        <f t="shared" si="0"/>
        <v>17</v>
      </c>
    </row>
    <row r="47" spans="1:9" ht="17.25" customHeight="1" x14ac:dyDescent="0.3">
      <c r="A47" s="358"/>
      <c r="B47" s="120" t="s">
        <v>88</v>
      </c>
      <c r="C47" s="121">
        <v>8</v>
      </c>
      <c r="D47" s="122"/>
      <c r="E47" s="123"/>
      <c r="F47" s="124"/>
      <c r="G47" s="112"/>
      <c r="H47" s="124">
        <v>1</v>
      </c>
      <c r="I47" s="52">
        <f t="shared" si="0"/>
        <v>7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528</v>
      </c>
      <c r="D51" s="66">
        <f>SUM(D13:D46)</f>
        <v>11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5</v>
      </c>
      <c r="I51" s="70">
        <f>SUM(I13:I46)</f>
        <v>517.5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3</v>
      </c>
      <c r="F53" s="347">
        <v>2</v>
      </c>
      <c r="G53" s="347">
        <v>4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67400</v>
      </c>
      <c r="F55" s="355">
        <v>60800</v>
      </c>
      <c r="G55" s="355">
        <v>39200</v>
      </c>
      <c r="H55" s="347"/>
      <c r="I55" s="341">
        <v>144000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405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407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408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406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402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284" t="s">
        <v>403</v>
      </c>
      <c r="D62" s="285"/>
      <c r="E62" s="285"/>
      <c r="F62" s="285"/>
      <c r="G62" s="285"/>
      <c r="H62" s="285"/>
      <c r="I62" s="286"/>
    </row>
    <row r="63" spans="1:10" s="76" customFormat="1" ht="17.25" customHeight="1" x14ac:dyDescent="0.3">
      <c r="A63" s="308"/>
      <c r="B63" s="309"/>
      <c r="C63" s="325" t="s">
        <v>404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 t="s">
        <v>410</v>
      </c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401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409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394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395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396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397</v>
      </c>
      <c r="E79" s="94">
        <v>0.8125</v>
      </c>
      <c r="F79" s="93" t="s">
        <v>398</v>
      </c>
      <c r="G79" s="320" t="s">
        <v>399</v>
      </c>
      <c r="H79" s="321"/>
      <c r="I79" s="95" t="s">
        <v>400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7" zoomScale="90" zoomScaleNormal="90" workbookViewId="0">
      <selection activeCell="C79" sqref="C7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411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413</v>
      </c>
      <c r="D3" s="5" t="s">
        <v>4</v>
      </c>
      <c r="E3" s="379"/>
      <c r="F3" s="386" t="s">
        <v>412</v>
      </c>
      <c r="G3" s="387"/>
      <c r="H3" s="388">
        <f>G11+'11일'!H3:I3</f>
        <v>25733300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416</v>
      </c>
      <c r="F6" s="15" t="s">
        <v>415</v>
      </c>
      <c r="G6" s="16" t="s">
        <v>414</v>
      </c>
      <c r="H6" s="17">
        <v>0.42</v>
      </c>
      <c r="I6" s="18">
        <v>0.45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2540800</v>
      </c>
      <c r="D11" s="102">
        <v>192</v>
      </c>
      <c r="E11" s="109">
        <f>SUM(E55:I56)</f>
        <v>201200</v>
      </c>
      <c r="F11" s="109">
        <f>SUM(E53:I54)</f>
        <v>10</v>
      </c>
      <c r="G11" s="110">
        <f>C11+E11</f>
        <v>2742000</v>
      </c>
      <c r="H11" s="110">
        <f>D11+F11</f>
        <v>202</v>
      </c>
      <c r="I11" s="111">
        <f>G11/H11</f>
        <v>13574.257425742575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30</v>
      </c>
      <c r="D13" s="23"/>
      <c r="E13" s="22">
        <v>1</v>
      </c>
      <c r="F13" s="24"/>
      <c r="G13" s="25"/>
      <c r="H13" s="23">
        <v>2</v>
      </c>
      <c r="I13" s="26">
        <f>C13-D13-D14*1/2-E13-E14*1/2+F13-H13-H14*1/2-I14*1/2</f>
        <v>27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31</v>
      </c>
      <c r="D15" s="29"/>
      <c r="E15" s="30">
        <v>1</v>
      </c>
      <c r="F15" s="34"/>
      <c r="G15" s="25"/>
      <c r="H15" s="29">
        <v>15</v>
      </c>
      <c r="I15" s="35">
        <f>C15-D15-D16*1/2-E15-E16*1/2+F15-H15-H16*1/2-I16*1/2</f>
        <v>15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19</v>
      </c>
      <c r="D17" s="29"/>
      <c r="E17" s="30">
        <v>1</v>
      </c>
      <c r="F17" s="34"/>
      <c r="G17" s="118"/>
      <c r="H17" s="29">
        <v>1</v>
      </c>
      <c r="I17" s="37">
        <f>C17-D17-D18*1/2-E17-E18*1/2+F17-H17-H18*1/2-I18*1/2</f>
        <v>17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>
        <v>1</v>
      </c>
      <c r="I20" s="38"/>
    </row>
    <row r="21" spans="1:9" ht="17.25" customHeight="1" x14ac:dyDescent="0.3">
      <c r="A21" s="358"/>
      <c r="B21" s="39" t="s">
        <v>31</v>
      </c>
      <c r="C21" s="40">
        <v>77</v>
      </c>
      <c r="D21" s="41"/>
      <c r="E21" s="42">
        <v>5</v>
      </c>
      <c r="F21" s="43"/>
      <c r="G21" s="44"/>
      <c r="H21" s="43">
        <v>34</v>
      </c>
      <c r="I21" s="45">
        <f t="shared" ref="I21:I48" si="0">C21-D21-E21+F21-H21</f>
        <v>38</v>
      </c>
    </row>
    <row r="22" spans="1:9" ht="17.25" customHeight="1" x14ac:dyDescent="0.3">
      <c r="A22" s="358"/>
      <c r="B22" s="21" t="s">
        <v>32</v>
      </c>
      <c r="C22" s="46">
        <v>32</v>
      </c>
      <c r="D22" s="23"/>
      <c r="E22" s="47"/>
      <c r="F22" s="48"/>
      <c r="G22" s="25"/>
      <c r="H22" s="48">
        <v>2</v>
      </c>
      <c r="I22" s="49">
        <f t="shared" si="0"/>
        <v>30</v>
      </c>
    </row>
    <row r="23" spans="1:9" ht="17.25" customHeight="1" x14ac:dyDescent="0.3">
      <c r="A23" s="358"/>
      <c r="B23" s="27" t="s">
        <v>33</v>
      </c>
      <c r="C23" s="33">
        <v>164</v>
      </c>
      <c r="D23" s="29"/>
      <c r="E23" s="50">
        <v>4</v>
      </c>
      <c r="F23" s="51"/>
      <c r="G23" s="25"/>
      <c r="H23" s="51">
        <v>12</v>
      </c>
      <c r="I23" s="52">
        <f>C23-D23-D24-E23-E24+F23+F24-H23-H24-I24</f>
        <v>133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>
        <v>14</v>
      </c>
      <c r="I24" s="54"/>
    </row>
    <row r="25" spans="1:9" ht="17.25" customHeight="1" x14ac:dyDescent="0.3">
      <c r="A25" s="358"/>
      <c r="B25" s="21" t="s">
        <v>35</v>
      </c>
      <c r="C25" s="46">
        <v>22</v>
      </c>
      <c r="D25" s="23"/>
      <c r="E25" s="47"/>
      <c r="F25" s="48"/>
      <c r="G25" s="112"/>
      <c r="H25" s="48">
        <v>2</v>
      </c>
      <c r="I25" s="49">
        <f t="shared" si="0"/>
        <v>20</v>
      </c>
    </row>
    <row r="26" spans="1:9" ht="17.25" customHeight="1" x14ac:dyDescent="0.3">
      <c r="A26" s="358"/>
      <c r="B26" s="160" t="s">
        <v>36</v>
      </c>
      <c r="C26" s="55">
        <v>41</v>
      </c>
      <c r="D26" s="41"/>
      <c r="E26" s="42"/>
      <c r="F26" s="43"/>
      <c r="G26" s="113"/>
      <c r="H26" s="43"/>
      <c r="I26" s="45">
        <f t="shared" si="0"/>
        <v>41</v>
      </c>
    </row>
    <row r="27" spans="1:9" ht="17.25" customHeight="1" x14ac:dyDescent="0.3">
      <c r="A27" s="358"/>
      <c r="B27" s="21" t="s">
        <v>37</v>
      </c>
      <c r="C27" s="46">
        <v>29</v>
      </c>
      <c r="D27" s="23"/>
      <c r="E27" s="47"/>
      <c r="F27" s="48"/>
      <c r="G27" s="112"/>
      <c r="H27" s="48">
        <v>2</v>
      </c>
      <c r="I27" s="49">
        <f t="shared" si="0"/>
        <v>27</v>
      </c>
    </row>
    <row r="28" spans="1:9" ht="17.25" customHeight="1" x14ac:dyDescent="0.3">
      <c r="A28" s="358"/>
      <c r="B28" s="160" t="s">
        <v>38</v>
      </c>
      <c r="C28" s="55">
        <v>44</v>
      </c>
      <c r="D28" s="41"/>
      <c r="E28" s="42">
        <v>1</v>
      </c>
      <c r="F28" s="43"/>
      <c r="G28" s="113"/>
      <c r="H28" s="43">
        <v>12</v>
      </c>
      <c r="I28" s="45">
        <f t="shared" si="0"/>
        <v>31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80</v>
      </c>
      <c r="D30" s="29"/>
      <c r="E30" s="50"/>
      <c r="F30" s="51"/>
      <c r="G30" s="25"/>
      <c r="H30" s="51"/>
      <c r="I30" s="52">
        <f>C30-D30-D31-E30-E31+F30+F31-H30-H31-I31</f>
        <v>79</v>
      </c>
    </row>
    <row r="31" spans="1:9" ht="17.25" customHeight="1" x14ac:dyDescent="0.3">
      <c r="A31" s="358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5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4</v>
      </c>
      <c r="F35" s="48"/>
      <c r="G35" s="116"/>
      <c r="H35" s="48"/>
      <c r="I35" s="282">
        <v>22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8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627</v>
      </c>
      <c r="D51" s="66">
        <f>SUM(D13:D46)</f>
        <v>0</v>
      </c>
      <c r="E51" s="67">
        <f>SUM(E13:E46)</f>
        <v>21</v>
      </c>
      <c r="F51" s="67">
        <f>SUM(F13:F46)</f>
        <v>0</v>
      </c>
      <c r="G51" s="68" t="s">
        <v>22</v>
      </c>
      <c r="H51" s="69">
        <f>SUM(H13:H46)</f>
        <v>97</v>
      </c>
      <c r="I51" s="70">
        <f>SUM(I13:I46)</f>
        <v>533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3</v>
      </c>
      <c r="F53" s="347"/>
      <c r="G53" s="347">
        <v>6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70000</v>
      </c>
      <c r="F55" s="355"/>
      <c r="G55" s="355">
        <v>92600</v>
      </c>
      <c r="H55" s="347"/>
      <c r="I55" s="341">
        <v>38600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424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425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426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455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423</v>
      </c>
      <c r="D61" s="323"/>
      <c r="E61" s="323"/>
      <c r="F61" s="323"/>
      <c r="G61" s="323"/>
      <c r="H61" s="323"/>
      <c r="I61" s="324"/>
    </row>
    <row r="62" spans="1:10" s="76" customFormat="1" ht="35.25" customHeight="1" x14ac:dyDescent="0.3">
      <c r="A62" s="308"/>
      <c r="B62" s="309"/>
      <c r="C62" s="403" t="s">
        <v>427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453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 t="s">
        <v>473</v>
      </c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33.75" customHeight="1" x14ac:dyDescent="0.3">
      <c r="A70" s="306" t="s">
        <v>49</v>
      </c>
      <c r="B70" s="307"/>
      <c r="C70" s="343" t="s">
        <v>441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/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417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418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419</v>
      </c>
      <c r="E79" s="94">
        <v>0.8125</v>
      </c>
      <c r="F79" s="93" t="s">
        <v>420</v>
      </c>
      <c r="G79" s="320" t="s">
        <v>421</v>
      </c>
      <c r="H79" s="321"/>
      <c r="I79" s="95" t="s">
        <v>422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9" zoomScale="90" zoomScaleNormal="90" workbookViewId="0">
      <selection activeCell="C57" sqref="C57:I5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428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429</v>
      </c>
      <c r="D3" s="5" t="s">
        <v>4</v>
      </c>
      <c r="E3" s="379"/>
      <c r="F3" s="386" t="s">
        <v>430</v>
      </c>
      <c r="G3" s="387"/>
      <c r="H3" s="388">
        <f>G11+'12일'!H3:I3</f>
        <v>27984000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431</v>
      </c>
      <c r="F6" s="15" t="s">
        <v>432</v>
      </c>
      <c r="G6" s="16" t="s">
        <v>433</v>
      </c>
      <c r="H6" s="17">
        <v>0.31</v>
      </c>
      <c r="I6" s="18">
        <v>0.39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2010600</v>
      </c>
      <c r="D11" s="102">
        <v>140</v>
      </c>
      <c r="E11" s="109">
        <f>SUM(E55:I56)</f>
        <v>240100</v>
      </c>
      <c r="F11" s="109">
        <f>SUM(E53:I54)</f>
        <v>11</v>
      </c>
      <c r="G11" s="110">
        <f>C11+E11</f>
        <v>2250700</v>
      </c>
      <c r="H11" s="110">
        <f>D11+F11</f>
        <v>151</v>
      </c>
      <c r="I11" s="111">
        <f>G11/H11</f>
        <v>14905.298013245034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>
        <v>1</v>
      </c>
      <c r="F13" s="24"/>
      <c r="G13" s="25"/>
      <c r="H13" s="23"/>
      <c r="I13" s="26">
        <f>C13-D13-D14*1/2-E13-E14*1/2+F13-H13-H14*1/2-I14*1/2</f>
        <v>19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17</v>
      </c>
      <c r="D15" s="29"/>
      <c r="E15" s="30"/>
      <c r="F15" s="34"/>
      <c r="G15" s="25"/>
      <c r="H15" s="29"/>
      <c r="I15" s="35">
        <f>C15-D15-D16*1/2-E15-E16*1/2+F15-H15-H16*1/2-I16*1/2</f>
        <v>16.5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10</v>
      </c>
      <c r="D19" s="29"/>
      <c r="E19" s="30"/>
      <c r="F19" s="34"/>
      <c r="G19" s="25"/>
      <c r="H19" s="29"/>
      <c r="I19" s="35">
        <f>C19-D19-D20*1/2-E19-E20*1/2+F19-H19-H20*1/2-I20*1/2</f>
        <v>9.5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64</v>
      </c>
      <c r="D21" s="41"/>
      <c r="E21" s="42">
        <v>1</v>
      </c>
      <c r="F21" s="43"/>
      <c r="G21" s="44"/>
      <c r="H21" s="43"/>
      <c r="I21" s="45">
        <f t="shared" ref="I21:I48" si="0">C21-D21-E21+F21-H21</f>
        <v>63</v>
      </c>
    </row>
    <row r="22" spans="1:9" ht="17.25" customHeight="1" x14ac:dyDescent="0.3">
      <c r="A22" s="358"/>
      <c r="B22" s="21" t="s">
        <v>32</v>
      </c>
      <c r="C22" s="46">
        <v>33</v>
      </c>
      <c r="D22" s="23"/>
      <c r="E22" s="47"/>
      <c r="F22" s="48"/>
      <c r="G22" s="25"/>
      <c r="H22" s="48"/>
      <c r="I22" s="49">
        <f t="shared" si="0"/>
        <v>33</v>
      </c>
    </row>
    <row r="23" spans="1:9" ht="17.25" customHeight="1" x14ac:dyDescent="0.3">
      <c r="A23" s="358"/>
      <c r="B23" s="27" t="s">
        <v>33</v>
      </c>
      <c r="C23" s="33">
        <v>120</v>
      </c>
      <c r="D23" s="29"/>
      <c r="E23" s="50">
        <v>3</v>
      </c>
      <c r="F23" s="51"/>
      <c r="G23" s="25"/>
      <c r="H23" s="51"/>
      <c r="I23" s="52">
        <f>C23-D23-D24-E23-E24+F23+F24-H23-H24-I24</f>
        <v>116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22</v>
      </c>
      <c r="D25" s="23"/>
      <c r="E25" s="47"/>
      <c r="F25" s="48"/>
      <c r="G25" s="112"/>
      <c r="H25" s="48"/>
      <c r="I25" s="49">
        <f t="shared" si="0"/>
        <v>22</v>
      </c>
    </row>
    <row r="26" spans="1:9" ht="17.25" customHeight="1" x14ac:dyDescent="0.3">
      <c r="A26" s="358"/>
      <c r="B26" s="160" t="s">
        <v>36</v>
      </c>
      <c r="C26" s="55">
        <v>41</v>
      </c>
      <c r="D26" s="41"/>
      <c r="E26" s="42"/>
      <c r="F26" s="43"/>
      <c r="G26" s="113"/>
      <c r="H26" s="43"/>
      <c r="I26" s="45">
        <f t="shared" si="0"/>
        <v>41</v>
      </c>
    </row>
    <row r="27" spans="1:9" ht="17.25" customHeight="1" x14ac:dyDescent="0.3">
      <c r="A27" s="358"/>
      <c r="B27" s="21" t="s">
        <v>37</v>
      </c>
      <c r="C27" s="46">
        <v>18</v>
      </c>
      <c r="D27" s="23"/>
      <c r="E27" s="47"/>
      <c r="F27" s="48"/>
      <c r="G27" s="112"/>
      <c r="H27" s="48"/>
      <c r="I27" s="49">
        <f t="shared" si="0"/>
        <v>18</v>
      </c>
    </row>
    <row r="28" spans="1:9" ht="17.25" customHeight="1" x14ac:dyDescent="0.3">
      <c r="A28" s="358"/>
      <c r="B28" s="160" t="s">
        <v>38</v>
      </c>
      <c r="C28" s="55">
        <v>30</v>
      </c>
      <c r="D28" s="41"/>
      <c r="E28" s="42"/>
      <c r="F28" s="43"/>
      <c r="G28" s="113"/>
      <c r="H28" s="43"/>
      <c r="I28" s="45">
        <f t="shared" si="0"/>
        <v>30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63</v>
      </c>
      <c r="D30" s="29"/>
      <c r="E30" s="50">
        <v>1</v>
      </c>
      <c r="F30" s="51"/>
      <c r="G30" s="25"/>
      <c r="H30" s="51"/>
      <c r="I30" s="52">
        <f>C30-D30-D31-E30-E31+F30+F31-H30-H31-I31</f>
        <v>62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33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8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500</v>
      </c>
      <c r="D51" s="66">
        <f>SUM(D13:D46)</f>
        <v>0</v>
      </c>
      <c r="E51" s="67">
        <f>SUM(E13:E46)</f>
        <v>12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518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>
        <v>1</v>
      </c>
      <c r="E53" s="347">
        <v>4</v>
      </c>
      <c r="F53" s="347">
        <v>2</v>
      </c>
      <c r="G53" s="347">
        <v>5</v>
      </c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>
        <v>21600</v>
      </c>
      <c r="E55" s="355">
        <v>103200</v>
      </c>
      <c r="F55" s="355">
        <v>54300</v>
      </c>
      <c r="G55" s="355">
        <v>82600</v>
      </c>
      <c r="H55" s="347"/>
      <c r="I55" s="341"/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452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445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443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444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439</v>
      </c>
      <c r="D61" s="323"/>
      <c r="E61" s="323"/>
      <c r="F61" s="323"/>
      <c r="G61" s="323"/>
      <c r="H61" s="323"/>
      <c r="I61" s="324"/>
    </row>
    <row r="62" spans="1:10" s="76" customFormat="1" ht="34.5" customHeight="1" x14ac:dyDescent="0.3">
      <c r="A62" s="308"/>
      <c r="B62" s="309"/>
      <c r="C62" s="403" t="s">
        <v>440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442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/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/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434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451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435</v>
      </c>
      <c r="E79" s="94">
        <v>0.8125</v>
      </c>
      <c r="F79" s="93" t="s">
        <v>436</v>
      </c>
      <c r="G79" s="320" t="s">
        <v>437</v>
      </c>
      <c r="H79" s="321"/>
      <c r="I79" s="95" t="s">
        <v>438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C79" sqref="C79:I7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446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447</v>
      </c>
      <c r="D3" s="5" t="s">
        <v>4</v>
      </c>
      <c r="E3" s="379"/>
      <c r="F3" s="386" t="s">
        <v>460</v>
      </c>
      <c r="G3" s="387"/>
      <c r="H3" s="388">
        <f>G11+'13일'!H3:I3</f>
        <v>29532300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462</v>
      </c>
      <c r="F6" s="15" t="s">
        <v>461</v>
      </c>
      <c r="G6" s="16" t="s">
        <v>459</v>
      </c>
      <c r="H6" s="17">
        <v>0.44</v>
      </c>
      <c r="I6" s="18">
        <v>0.46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1056500</v>
      </c>
      <c r="D11" s="102">
        <v>73</v>
      </c>
      <c r="E11" s="109">
        <f>SUM(E55:I56)</f>
        <v>491800</v>
      </c>
      <c r="F11" s="109">
        <f>SUM(E53:I54)</f>
        <v>10</v>
      </c>
      <c r="G11" s="110">
        <f>C11+E11</f>
        <v>1548300</v>
      </c>
      <c r="H11" s="110">
        <f>D11+F11</f>
        <v>83</v>
      </c>
      <c r="I11" s="111">
        <f>G11/H11</f>
        <v>18654.216867469881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17</v>
      </c>
      <c r="D13" s="23"/>
      <c r="E13" s="22">
        <v>1</v>
      </c>
      <c r="F13" s="24"/>
      <c r="G13" s="25"/>
      <c r="H13" s="23">
        <v>6</v>
      </c>
      <c r="I13" s="26">
        <f>C13-D13-D14*1/2-E13-E14*1/2+F13-H13-H14*1/2-I14*1/2</f>
        <v>9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58"/>
      <c r="B15" s="27" t="s">
        <v>25</v>
      </c>
      <c r="C15" s="33">
        <v>14</v>
      </c>
      <c r="D15" s="29"/>
      <c r="E15" s="30">
        <v>1</v>
      </c>
      <c r="F15" s="34"/>
      <c r="G15" s="25"/>
      <c r="H15" s="29">
        <v>5</v>
      </c>
      <c r="I15" s="35">
        <f>C15-D15-D16*1/2-E15-E16*1/2+F15-H15-H16*1/2-I16*1/2</f>
        <v>7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>
        <v>1</v>
      </c>
      <c r="I16" s="36"/>
    </row>
    <row r="17" spans="1:9" ht="17.25" customHeight="1" x14ac:dyDescent="0.3">
      <c r="A17" s="358"/>
      <c r="B17" s="27" t="s">
        <v>27</v>
      </c>
      <c r="C17" s="33">
        <v>56</v>
      </c>
      <c r="D17" s="29"/>
      <c r="E17" s="30"/>
      <c r="F17" s="34"/>
      <c r="G17" s="118"/>
      <c r="H17" s="29">
        <v>6</v>
      </c>
      <c r="I17" s="37">
        <f>C17-D17-D18*1/2-E17-E18*1/2+F17-H17-H18*1/2-I18*1/2</f>
        <v>50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8</v>
      </c>
      <c r="D19" s="29"/>
      <c r="E19" s="30">
        <v>1</v>
      </c>
      <c r="F19" s="34"/>
      <c r="G19" s="25"/>
      <c r="H19" s="29">
        <v>1</v>
      </c>
      <c r="I19" s="35">
        <f>C19-D19-D20*1/2-E19-E20*1/2+F19-H19-H20*1/2-I20*1/2</f>
        <v>6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54</v>
      </c>
      <c r="D21" s="41"/>
      <c r="E21" s="42">
        <v>4</v>
      </c>
      <c r="F21" s="43"/>
      <c r="G21" s="44"/>
      <c r="H21" s="43">
        <v>25</v>
      </c>
      <c r="I21" s="45">
        <f t="shared" ref="I21:I48" si="0">C21-D21-E21+F21-H21</f>
        <v>25</v>
      </c>
    </row>
    <row r="22" spans="1:9" ht="17.25" customHeight="1" x14ac:dyDescent="0.3">
      <c r="A22" s="358"/>
      <c r="B22" s="21" t="s">
        <v>32</v>
      </c>
      <c r="C22" s="46">
        <v>22</v>
      </c>
      <c r="D22" s="23"/>
      <c r="E22" s="47">
        <v>0</v>
      </c>
      <c r="F22" s="48"/>
      <c r="G22" s="25"/>
      <c r="H22" s="48">
        <v>13</v>
      </c>
      <c r="I22" s="49">
        <f t="shared" si="0"/>
        <v>9</v>
      </c>
    </row>
    <row r="23" spans="1:9" ht="17.25" customHeight="1" x14ac:dyDescent="0.3">
      <c r="A23" s="358"/>
      <c r="B23" s="27" t="s">
        <v>33</v>
      </c>
      <c r="C23" s="33">
        <v>70</v>
      </c>
      <c r="D23" s="29"/>
      <c r="E23" s="50">
        <v>2</v>
      </c>
      <c r="F23" s="51"/>
      <c r="G23" s="25"/>
      <c r="H23" s="51">
        <v>8</v>
      </c>
      <c r="I23" s="52">
        <f>C23-D23-D24-E23-E24+F23+F24-H23-H24-I24</f>
        <v>48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4</v>
      </c>
      <c r="F24" s="43"/>
      <c r="G24" s="113"/>
      <c r="H24" s="43">
        <v>8</v>
      </c>
      <c r="I24" s="54"/>
    </row>
    <row r="25" spans="1:9" ht="17.25" customHeight="1" x14ac:dyDescent="0.3">
      <c r="A25" s="358"/>
      <c r="B25" s="21" t="s">
        <v>35</v>
      </c>
      <c r="C25" s="46">
        <v>22</v>
      </c>
      <c r="D25" s="23"/>
      <c r="E25" s="47"/>
      <c r="F25" s="48"/>
      <c r="G25" s="112"/>
      <c r="H25" s="48">
        <v>4</v>
      </c>
      <c r="I25" s="49">
        <f t="shared" si="0"/>
        <v>18</v>
      </c>
    </row>
    <row r="26" spans="1:9" ht="17.25" customHeight="1" x14ac:dyDescent="0.3">
      <c r="A26" s="358"/>
      <c r="B26" s="160" t="s">
        <v>36</v>
      </c>
      <c r="C26" s="55">
        <v>21</v>
      </c>
      <c r="D26" s="41"/>
      <c r="E26" s="42"/>
      <c r="F26" s="43"/>
      <c r="G26" s="113"/>
      <c r="H26" s="43"/>
      <c r="I26" s="45">
        <f t="shared" si="0"/>
        <v>21</v>
      </c>
    </row>
    <row r="27" spans="1:9" ht="17.25" customHeight="1" x14ac:dyDescent="0.3">
      <c r="A27" s="358"/>
      <c r="B27" s="21" t="s">
        <v>37</v>
      </c>
      <c r="C27" s="46">
        <v>18</v>
      </c>
      <c r="D27" s="23"/>
      <c r="E27" s="47"/>
      <c r="F27" s="48"/>
      <c r="G27" s="112"/>
      <c r="H27" s="48">
        <v>6</v>
      </c>
      <c r="I27" s="49">
        <f t="shared" si="0"/>
        <v>12</v>
      </c>
    </row>
    <row r="28" spans="1:9" ht="17.25" customHeight="1" x14ac:dyDescent="0.3">
      <c r="A28" s="358"/>
      <c r="B28" s="160" t="s">
        <v>38</v>
      </c>
      <c r="C28" s="55">
        <v>20</v>
      </c>
      <c r="D28" s="41"/>
      <c r="E28" s="42"/>
      <c r="F28" s="43"/>
      <c r="G28" s="113"/>
      <c r="H28" s="43">
        <v>7</v>
      </c>
      <c r="I28" s="45">
        <f t="shared" si="0"/>
        <v>13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60</v>
      </c>
      <c r="D30" s="29"/>
      <c r="E30" s="50"/>
      <c r="F30" s="51"/>
      <c r="G30" s="25"/>
      <c r="H30" s="51">
        <v>17</v>
      </c>
      <c r="I30" s="52">
        <f>C30-D30-D31-E30-E31+F30+F31-H30-H31-I31</f>
        <v>42</v>
      </c>
    </row>
    <row r="31" spans="1:9" ht="17.25" customHeight="1" x14ac:dyDescent="0.3">
      <c r="A31" s="358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4</v>
      </c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2</v>
      </c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5</v>
      </c>
      <c r="D46" s="23"/>
      <c r="E46" s="47"/>
      <c r="F46" s="48"/>
      <c r="G46" s="116"/>
      <c r="H46" s="48"/>
      <c r="I46" s="49">
        <f t="shared" si="0"/>
        <v>5</v>
      </c>
    </row>
    <row r="47" spans="1:9" ht="17.25" customHeight="1" x14ac:dyDescent="0.3">
      <c r="A47" s="358"/>
      <c r="B47" s="120" t="s">
        <v>88</v>
      </c>
      <c r="C47" s="121">
        <v>5</v>
      </c>
      <c r="D47" s="122"/>
      <c r="E47" s="123"/>
      <c r="F47" s="124"/>
      <c r="G47" s="112"/>
      <c r="H47" s="124"/>
      <c r="I47" s="52">
        <f t="shared" si="0"/>
        <v>5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407</v>
      </c>
      <c r="D51" s="66">
        <f>SUM(D13:D46)</f>
        <v>0</v>
      </c>
      <c r="E51" s="67">
        <f>SUM(E13:E46)</f>
        <v>22</v>
      </c>
      <c r="F51" s="67">
        <f>SUM(F13:F46)</f>
        <v>0</v>
      </c>
      <c r="G51" s="68" t="s">
        <v>22</v>
      </c>
      <c r="H51" s="69">
        <f>SUM(H13:H46)</f>
        <v>108</v>
      </c>
      <c r="I51" s="70">
        <f>SUM(I13:I46)</f>
        <v>283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6</v>
      </c>
      <c r="F53" s="347">
        <v>1</v>
      </c>
      <c r="G53" s="347">
        <v>2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132400</v>
      </c>
      <c r="F55" s="355">
        <v>23200</v>
      </c>
      <c r="G55" s="355">
        <v>11200</v>
      </c>
      <c r="H55" s="347"/>
      <c r="I55" s="341">
        <v>325000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492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469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470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471</v>
      </c>
      <c r="D60" s="329"/>
      <c r="E60" s="329"/>
      <c r="F60" s="329"/>
      <c r="G60" s="329"/>
      <c r="H60" s="329"/>
      <c r="I60" s="330"/>
    </row>
    <row r="61" spans="1:10" s="76" customFormat="1" ht="33.75" customHeight="1" x14ac:dyDescent="0.3">
      <c r="A61" s="306" t="s">
        <v>73</v>
      </c>
      <c r="B61" s="307"/>
      <c r="C61" s="340" t="s">
        <v>454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465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466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 t="s">
        <v>463</v>
      </c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 t="s">
        <v>472</v>
      </c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456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458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 t="s">
        <v>464</v>
      </c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457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467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468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168</v>
      </c>
      <c r="E79" s="94">
        <v>0.8125</v>
      </c>
      <c r="F79" s="93" t="s">
        <v>448</v>
      </c>
      <c r="G79" s="320" t="s">
        <v>449</v>
      </c>
      <c r="H79" s="321"/>
      <c r="I79" s="95" t="s">
        <v>450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4" zoomScale="90" zoomScaleNormal="90" workbookViewId="0">
      <selection activeCell="C68" sqref="C68:I6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486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487</v>
      </c>
      <c r="D3" s="5" t="s">
        <v>4</v>
      </c>
      <c r="E3" s="379"/>
      <c r="F3" s="386" t="s">
        <v>488</v>
      </c>
      <c r="G3" s="387"/>
      <c r="H3" s="388">
        <f>G11+'14일'!H3:I3</f>
        <v>32031100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489</v>
      </c>
      <c r="F6" s="15" t="s">
        <v>490</v>
      </c>
      <c r="G6" s="16" t="s">
        <v>491</v>
      </c>
      <c r="H6" s="17">
        <v>0.27</v>
      </c>
      <c r="I6" s="18">
        <v>0.4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1936400</v>
      </c>
      <c r="D11" s="102">
        <v>147</v>
      </c>
      <c r="E11" s="109">
        <f>SUM(E55:I56)</f>
        <v>562400</v>
      </c>
      <c r="F11" s="109">
        <f>SUM(E53:I54)</f>
        <v>15</v>
      </c>
      <c r="G11" s="110">
        <f>C11+E11</f>
        <v>2498800</v>
      </c>
      <c r="H11" s="110">
        <f>D11+F11</f>
        <v>162</v>
      </c>
      <c r="I11" s="111">
        <f>G11/H11</f>
        <v>15424.691358024691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>
        <v>1</v>
      </c>
      <c r="F13" s="24"/>
      <c r="G13" s="25"/>
      <c r="H13" s="23"/>
      <c r="I13" s="26">
        <f>C13-D13-D14*1/2-E13-E14*1/2+F13-H13-H14*1/2-I14*1/2</f>
        <v>18.5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20</v>
      </c>
      <c r="D15" s="29"/>
      <c r="E15" s="30">
        <v>1</v>
      </c>
      <c r="F15" s="34"/>
      <c r="G15" s="25"/>
      <c r="H15" s="29">
        <v>1</v>
      </c>
      <c r="I15" s="35">
        <f>C15-D15-D16*1/2-E15-E16*1/2+F15-H15-H16*1/2-I16*1/2</f>
        <v>17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>
        <v>1</v>
      </c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>
        <v>1</v>
      </c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60</v>
      </c>
      <c r="D21" s="41"/>
      <c r="E21" s="42">
        <v>3</v>
      </c>
      <c r="F21" s="43"/>
      <c r="G21" s="44"/>
      <c r="H21" s="43">
        <v>1</v>
      </c>
      <c r="I21" s="45">
        <f t="shared" ref="I21:I48" si="0">C21-D21-E21+F21-H21</f>
        <v>56</v>
      </c>
    </row>
    <row r="22" spans="1:9" ht="17.25" customHeight="1" x14ac:dyDescent="0.3">
      <c r="A22" s="358"/>
      <c r="B22" s="21" t="s">
        <v>32</v>
      </c>
      <c r="C22" s="46">
        <v>35</v>
      </c>
      <c r="D22" s="23"/>
      <c r="E22" s="47">
        <v>2</v>
      </c>
      <c r="F22" s="48"/>
      <c r="G22" s="25"/>
      <c r="H22" s="48">
        <v>10</v>
      </c>
      <c r="I22" s="49">
        <f t="shared" si="0"/>
        <v>23</v>
      </c>
    </row>
    <row r="23" spans="1:9" ht="17.25" customHeight="1" x14ac:dyDescent="0.3">
      <c r="A23" s="358"/>
      <c r="B23" s="27" t="s">
        <v>33</v>
      </c>
      <c r="C23" s="33">
        <v>121</v>
      </c>
      <c r="D23" s="29"/>
      <c r="E23" s="50">
        <v>5</v>
      </c>
      <c r="F23" s="51"/>
      <c r="G23" s="25"/>
      <c r="H23" s="51">
        <v>0</v>
      </c>
      <c r="I23" s="52">
        <f>C23-D23-D24-E23-E24+F23+F24-H23-H24-I24</f>
        <v>110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4</v>
      </c>
      <c r="F24" s="43"/>
      <c r="G24" s="113"/>
      <c r="H24" s="43">
        <v>2</v>
      </c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>
        <v>1</v>
      </c>
      <c r="F25" s="48"/>
      <c r="G25" s="112"/>
      <c r="H25" s="48">
        <v>8</v>
      </c>
      <c r="I25" s="49">
        <f t="shared" si="0"/>
        <v>15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>
        <v>1</v>
      </c>
      <c r="F26" s="43"/>
      <c r="G26" s="113"/>
      <c r="H26" s="43"/>
      <c r="I26" s="45">
        <f t="shared" si="0"/>
        <v>21</v>
      </c>
    </row>
    <row r="27" spans="1:9" ht="17.25" customHeight="1" x14ac:dyDescent="0.3">
      <c r="A27" s="358"/>
      <c r="B27" s="21" t="s">
        <v>37</v>
      </c>
      <c r="C27" s="46">
        <v>20</v>
      </c>
      <c r="D27" s="23"/>
      <c r="E27" s="47">
        <v>1</v>
      </c>
      <c r="F27" s="48"/>
      <c r="G27" s="112"/>
      <c r="H27" s="48"/>
      <c r="I27" s="49">
        <f t="shared" si="0"/>
        <v>19</v>
      </c>
    </row>
    <row r="28" spans="1:9" ht="17.25" customHeight="1" x14ac:dyDescent="0.3">
      <c r="A28" s="358"/>
      <c r="B28" s="160" t="s">
        <v>38</v>
      </c>
      <c r="C28" s="55">
        <v>27</v>
      </c>
      <c r="D28" s="41"/>
      <c r="E28" s="42"/>
      <c r="F28" s="43"/>
      <c r="G28" s="113"/>
      <c r="H28" s="43">
        <v>9</v>
      </c>
      <c r="I28" s="45">
        <f t="shared" si="0"/>
        <v>18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60</v>
      </c>
      <c r="D30" s="29"/>
      <c r="E30" s="50"/>
      <c r="F30" s="51"/>
      <c r="G30" s="25"/>
      <c r="H30" s="51"/>
      <c r="I30" s="52">
        <f>C30-D30-D31-E30-E31+F30+F31-H30-H31-I31</f>
        <v>57</v>
      </c>
    </row>
    <row r="31" spans="1:9" ht="17.25" customHeight="1" x14ac:dyDescent="0.3">
      <c r="A31" s="358"/>
      <c r="B31" s="58" t="s">
        <v>41</v>
      </c>
      <c r="C31" s="59"/>
      <c r="D31" s="60"/>
      <c r="E31" s="61">
        <v>3</v>
      </c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>
        <v>1</v>
      </c>
      <c r="F34" s="62"/>
      <c r="G34" s="113"/>
      <c r="H34" s="62"/>
      <c r="I34" s="189">
        <v>3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5</v>
      </c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21</v>
      </c>
      <c r="D36" s="122"/>
      <c r="E36" s="123"/>
      <c r="F36" s="124"/>
      <c r="G36" s="112"/>
      <c r="H36" s="124"/>
      <c r="I36" s="52">
        <f>C36-D36-E36+F36-H36</f>
        <v>21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5</v>
      </c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8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488</v>
      </c>
      <c r="D51" s="66">
        <f>SUM(D13:D46)</f>
        <v>0</v>
      </c>
      <c r="E51" s="67">
        <f>SUM(E13:E46)</f>
        <v>38</v>
      </c>
      <c r="F51" s="67">
        <f>SUM(F13:F46)</f>
        <v>0</v>
      </c>
      <c r="G51" s="68" t="s">
        <v>22</v>
      </c>
      <c r="H51" s="69">
        <f>SUM(H13:H46)</f>
        <v>32</v>
      </c>
      <c r="I51" s="70">
        <f>SUM(I13:I46)</f>
        <v>424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6</v>
      </c>
      <c r="F53" s="347">
        <v>1</v>
      </c>
      <c r="G53" s="347">
        <v>6</v>
      </c>
      <c r="H53" s="347"/>
      <c r="I53" s="349">
        <v>2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133500</v>
      </c>
      <c r="F55" s="355">
        <v>19000</v>
      </c>
      <c r="G55" s="355">
        <v>82700</v>
      </c>
      <c r="H55" s="347"/>
      <c r="I55" s="341">
        <v>327200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494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493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495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497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474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485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496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 t="s">
        <v>481</v>
      </c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 t="s">
        <v>482</v>
      </c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483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498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484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475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476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477</v>
      </c>
      <c r="E79" s="94">
        <v>0.8125</v>
      </c>
      <c r="F79" s="93" t="s">
        <v>478</v>
      </c>
      <c r="G79" s="320" t="s">
        <v>479</v>
      </c>
      <c r="H79" s="321"/>
      <c r="I79" s="95" t="s">
        <v>480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C67" sqref="C67:I6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500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501</v>
      </c>
      <c r="D3" s="5" t="s">
        <v>4</v>
      </c>
      <c r="E3" s="379"/>
      <c r="F3" s="386" t="s">
        <v>499</v>
      </c>
      <c r="G3" s="387"/>
      <c r="H3" s="388">
        <f>G11+'15일'!H3:I3</f>
        <v>34767550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504</v>
      </c>
      <c r="F6" s="15" t="s">
        <v>503</v>
      </c>
      <c r="G6" s="16" t="s">
        <v>502</v>
      </c>
      <c r="H6" s="17">
        <v>0.35</v>
      </c>
      <c r="I6" s="18">
        <v>0.4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2507800</v>
      </c>
      <c r="D11" s="102">
        <v>174</v>
      </c>
      <c r="E11" s="109">
        <f>SUM(E55:I56)</f>
        <v>228650</v>
      </c>
      <c r="F11" s="109">
        <f>SUM(E53:I54)</f>
        <v>9</v>
      </c>
      <c r="G11" s="110">
        <f>C11+E11</f>
        <v>2736450</v>
      </c>
      <c r="H11" s="110">
        <f>D11+F11</f>
        <v>183</v>
      </c>
      <c r="I11" s="111">
        <f>G11/H11</f>
        <v>14953.27868852459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29</v>
      </c>
      <c r="D13" s="23"/>
      <c r="E13" s="22"/>
      <c r="F13" s="24"/>
      <c r="G13" s="25"/>
      <c r="H13" s="23">
        <v>3</v>
      </c>
      <c r="I13" s="26">
        <f>C13-D13-D14*1/2-E13-E14*1/2+F13-H13-H14*1/2-I14*1/2</f>
        <v>25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58"/>
      <c r="B15" s="27" t="s">
        <v>25</v>
      </c>
      <c r="C15" s="33">
        <v>29</v>
      </c>
      <c r="D15" s="29"/>
      <c r="E15" s="30"/>
      <c r="F15" s="34"/>
      <c r="G15" s="25"/>
      <c r="H15" s="29">
        <v>2</v>
      </c>
      <c r="I15" s="35">
        <f>C15-D15-D16*1/2-E15-E16*1/2+F15-H15-H16*1/2-I16*1/2</f>
        <v>26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>
        <v>1</v>
      </c>
      <c r="I16" s="36"/>
    </row>
    <row r="17" spans="1:9" ht="17.25" customHeight="1" x14ac:dyDescent="0.3">
      <c r="A17" s="358"/>
      <c r="B17" s="27" t="s">
        <v>27</v>
      </c>
      <c r="C17" s="33">
        <v>24</v>
      </c>
      <c r="D17" s="29"/>
      <c r="E17" s="30"/>
      <c r="F17" s="34"/>
      <c r="G17" s="118"/>
      <c r="H17" s="29"/>
      <c r="I17" s="37">
        <f>C17-D17-D18*1/2-E17-E18*1/2+F17-H17-H18*1/2-I18*1/2</f>
        <v>24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13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61</v>
      </c>
      <c r="D21" s="41"/>
      <c r="E21" s="42">
        <v>2</v>
      </c>
      <c r="F21" s="43"/>
      <c r="G21" s="44"/>
      <c r="H21" s="43"/>
      <c r="I21" s="45">
        <f t="shared" ref="I21:I48" si="0">C21-D21-E21+F21-H21</f>
        <v>59</v>
      </c>
    </row>
    <row r="22" spans="1:9" ht="17.25" customHeight="1" x14ac:dyDescent="0.3">
      <c r="A22" s="358"/>
      <c r="B22" s="21" t="s">
        <v>32</v>
      </c>
      <c r="C22" s="46">
        <v>29</v>
      </c>
      <c r="D22" s="23"/>
      <c r="E22" s="47">
        <v>1</v>
      </c>
      <c r="F22" s="48"/>
      <c r="G22" s="25"/>
      <c r="H22" s="48"/>
      <c r="I22" s="49">
        <f t="shared" si="0"/>
        <v>28</v>
      </c>
    </row>
    <row r="23" spans="1:9" ht="17.25" customHeight="1" x14ac:dyDescent="0.3">
      <c r="A23" s="358"/>
      <c r="B23" s="27" t="s">
        <v>33</v>
      </c>
      <c r="C23" s="33">
        <v>143</v>
      </c>
      <c r="D23" s="29"/>
      <c r="E23" s="50">
        <v>3</v>
      </c>
      <c r="F23" s="51"/>
      <c r="G23" s="25"/>
      <c r="H23" s="51"/>
      <c r="I23" s="52">
        <f>C23-D23-D24-E23-E24+F23+F24-H23-H24-I24</f>
        <v>140</v>
      </c>
    </row>
    <row r="24" spans="1:9" ht="17.25" customHeight="1" x14ac:dyDescent="0.3">
      <c r="A24" s="358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23</v>
      </c>
      <c r="D25" s="23"/>
      <c r="E25" s="47"/>
      <c r="F25" s="48"/>
      <c r="G25" s="112"/>
      <c r="H25" s="48">
        <v>9</v>
      </c>
      <c r="I25" s="49">
        <f t="shared" si="0"/>
        <v>14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24</v>
      </c>
      <c r="D27" s="23"/>
      <c r="E27" s="47"/>
      <c r="F27" s="48"/>
      <c r="G27" s="112"/>
      <c r="H27" s="48">
        <v>2</v>
      </c>
      <c r="I27" s="49">
        <f t="shared" si="0"/>
        <v>22</v>
      </c>
    </row>
    <row r="28" spans="1:9" ht="17.25" customHeight="1" x14ac:dyDescent="0.3">
      <c r="A28" s="358"/>
      <c r="B28" s="160" t="s">
        <v>38</v>
      </c>
      <c r="C28" s="55">
        <v>38</v>
      </c>
      <c r="D28" s="41"/>
      <c r="E28" s="42"/>
      <c r="F28" s="43"/>
      <c r="G28" s="113"/>
      <c r="H28" s="43">
        <v>1</v>
      </c>
      <c r="I28" s="45">
        <f t="shared" si="0"/>
        <v>37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63</v>
      </c>
      <c r="D30" s="29"/>
      <c r="E30" s="50"/>
      <c r="F30" s="51"/>
      <c r="G30" s="25"/>
      <c r="H30" s="51"/>
      <c r="I30" s="52">
        <f>C30-D30-D31-E30-E31+F30+F31-H30-H31-I31</f>
        <v>63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25</v>
      </c>
    </row>
    <row r="36" spans="1:9" ht="17.25" customHeight="1" x14ac:dyDescent="0.3">
      <c r="A36" s="358"/>
      <c r="B36" s="153" t="s">
        <v>80</v>
      </c>
      <c r="C36" s="121">
        <v>21</v>
      </c>
      <c r="D36" s="122"/>
      <c r="E36" s="123"/>
      <c r="F36" s="124"/>
      <c r="G36" s="112"/>
      <c r="H36" s="124"/>
      <c r="I36" s="52">
        <f>C36-D36-E36+F36-H36</f>
        <v>21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3</v>
      </c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8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546</v>
      </c>
      <c r="D51" s="66">
        <f>SUM(D13:D46)</f>
        <v>0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19</v>
      </c>
      <c r="I51" s="70">
        <f>SUM(I13:I46)</f>
        <v>539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>
        <v>1</v>
      </c>
      <c r="E53" s="347">
        <v>2</v>
      </c>
      <c r="F53" s="347"/>
      <c r="G53" s="347">
        <v>6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>
        <v>80900</v>
      </c>
      <c r="E55" s="355">
        <v>40000</v>
      </c>
      <c r="F55" s="355"/>
      <c r="G55" s="355">
        <v>37450</v>
      </c>
      <c r="H55" s="347"/>
      <c r="I55" s="341">
        <v>151200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537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514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515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597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505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44" t="s">
        <v>598</v>
      </c>
      <c r="D62" s="345"/>
      <c r="E62" s="345"/>
      <c r="F62" s="345"/>
      <c r="G62" s="345"/>
      <c r="H62" s="345"/>
      <c r="I62" s="346"/>
    </row>
    <row r="63" spans="1:10" s="76" customFormat="1" ht="17.25" customHeight="1" x14ac:dyDescent="0.3">
      <c r="A63" s="308"/>
      <c r="B63" s="309"/>
      <c r="C63" s="325" t="s">
        <v>513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506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512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/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507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507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508</v>
      </c>
      <c r="E79" s="94">
        <v>0.8125</v>
      </c>
      <c r="F79" s="93" t="s">
        <v>509</v>
      </c>
      <c r="G79" s="320" t="s">
        <v>510</v>
      </c>
      <c r="H79" s="321"/>
      <c r="I79" s="95" t="s">
        <v>511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88"/>
  <sheetViews>
    <sheetView topLeftCell="A67"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516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517</v>
      </c>
      <c r="D3" s="5" t="s">
        <v>4</v>
      </c>
      <c r="E3" s="379"/>
      <c r="F3" s="386" t="s">
        <v>518</v>
      </c>
      <c r="G3" s="387"/>
      <c r="H3" s="388">
        <f>G11+'16일'!H3:I3</f>
        <v>36759850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519</v>
      </c>
      <c r="F6" s="15" t="s">
        <v>520</v>
      </c>
      <c r="G6" s="16" t="s">
        <v>521</v>
      </c>
      <c r="H6" s="17">
        <v>0.46</v>
      </c>
      <c r="I6" s="18">
        <v>0.45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1824900</v>
      </c>
      <c r="D11" s="102">
        <v>148</v>
      </c>
      <c r="E11" s="109">
        <f>SUM(E55:I56)</f>
        <v>167400</v>
      </c>
      <c r="F11" s="109">
        <f>SUM(E53:I54)</f>
        <v>7</v>
      </c>
      <c r="G11" s="110">
        <f>C11+E11</f>
        <v>1992300</v>
      </c>
      <c r="H11" s="110">
        <f>D11+F11</f>
        <v>155</v>
      </c>
      <c r="I11" s="111">
        <f>G11/H11</f>
        <v>12853.548387096775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20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20</v>
      </c>
      <c r="D15" s="29"/>
      <c r="E15" s="30"/>
      <c r="F15" s="34"/>
      <c r="G15" s="25"/>
      <c r="H15" s="29">
        <v>7</v>
      </c>
      <c r="I15" s="35">
        <f>C15-D15-D16*1/2-E15-E16*1/2+F15-H15-H16*1/2-I16*1/2</f>
        <v>12.5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16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11</v>
      </c>
      <c r="D19" s="29"/>
      <c r="E19" s="30"/>
      <c r="F19" s="34"/>
      <c r="G19" s="25"/>
      <c r="H19" s="29"/>
      <c r="I19" s="35">
        <f>C19-D19-D20*1/2-E19-E20*1/2+F19-H19-H20*1/2-I20*1/2</f>
        <v>10.5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68</v>
      </c>
      <c r="D21" s="41"/>
      <c r="E21" s="42">
        <v>2</v>
      </c>
      <c r="F21" s="43"/>
      <c r="G21" s="44"/>
      <c r="H21" s="43">
        <v>9</v>
      </c>
      <c r="I21" s="45">
        <f t="shared" ref="I21:I48" si="0">C21-D21-E21+F21-H21</f>
        <v>57</v>
      </c>
    </row>
    <row r="22" spans="1:9" ht="17.25" customHeight="1" x14ac:dyDescent="0.3">
      <c r="A22" s="358"/>
      <c r="B22" s="21" t="s">
        <v>32</v>
      </c>
      <c r="C22" s="46">
        <v>30</v>
      </c>
      <c r="D22" s="23"/>
      <c r="E22" s="47">
        <v>1</v>
      </c>
      <c r="F22" s="48"/>
      <c r="G22" s="25"/>
      <c r="H22" s="48">
        <v>3</v>
      </c>
      <c r="I22" s="49">
        <f t="shared" si="0"/>
        <v>26</v>
      </c>
    </row>
    <row r="23" spans="1:9" ht="17.25" customHeight="1" x14ac:dyDescent="0.3">
      <c r="A23" s="358"/>
      <c r="B23" s="27" t="s">
        <v>33</v>
      </c>
      <c r="C23" s="33">
        <v>129</v>
      </c>
      <c r="D23" s="29"/>
      <c r="E23" s="50">
        <v>2</v>
      </c>
      <c r="F23" s="51"/>
      <c r="G23" s="25"/>
      <c r="H23" s="51">
        <v>2</v>
      </c>
      <c r="I23" s="52">
        <f>C23-D23-D24-E23-E24+F23+F24-H23-H24-I24</f>
        <v>105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3</v>
      </c>
      <c r="F24" s="43"/>
      <c r="G24" s="113"/>
      <c r="H24" s="43">
        <v>17</v>
      </c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/>
      <c r="F25" s="48"/>
      <c r="G25" s="112"/>
      <c r="H25" s="48">
        <v>3</v>
      </c>
      <c r="I25" s="49">
        <f t="shared" si="0"/>
        <v>21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21</v>
      </c>
      <c r="D27" s="23"/>
      <c r="E27" s="47"/>
      <c r="F27" s="48"/>
      <c r="G27" s="112"/>
      <c r="H27" s="48">
        <v>7</v>
      </c>
      <c r="I27" s="49">
        <f t="shared" si="0"/>
        <v>14</v>
      </c>
    </row>
    <row r="28" spans="1:9" ht="17.25" customHeight="1" x14ac:dyDescent="0.3">
      <c r="A28" s="358"/>
      <c r="B28" s="160" t="s">
        <v>38</v>
      </c>
      <c r="C28" s="55">
        <v>28</v>
      </c>
      <c r="D28" s="41"/>
      <c r="E28" s="42">
        <v>3</v>
      </c>
      <c r="F28" s="43"/>
      <c r="G28" s="113"/>
      <c r="H28" s="43"/>
      <c r="I28" s="45">
        <f t="shared" si="0"/>
        <v>25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62</v>
      </c>
      <c r="D30" s="29"/>
      <c r="E30" s="50">
        <v>1</v>
      </c>
      <c r="F30" s="51"/>
      <c r="G30" s="25"/>
      <c r="H30" s="51">
        <v>14</v>
      </c>
      <c r="I30" s="52">
        <f>C30-D30-D31-E30-E31+F30+F31-H30-H31-I31</f>
        <v>47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5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5</v>
      </c>
    </row>
    <row r="35" spans="1:9" ht="17.25" customHeight="1" x14ac:dyDescent="0.3">
      <c r="A35" s="358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17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2</v>
      </c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58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1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1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1" ht="17.25" customHeight="1" thickBot="1" x14ac:dyDescent="0.35">
      <c r="A51" s="359"/>
      <c r="B51" s="64" t="s">
        <v>42</v>
      </c>
      <c r="C51" s="65">
        <f>SUM(C13:C50)</f>
        <v>496</v>
      </c>
      <c r="D51" s="66">
        <f>SUM(D13:D46)</f>
        <v>0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62</v>
      </c>
      <c r="I51" s="70">
        <f>SUM(I13:I46)</f>
        <v>438</v>
      </c>
    </row>
    <row r="52" spans="1:11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1" ht="17.25" customHeight="1" x14ac:dyDescent="0.3">
      <c r="A53" s="308"/>
      <c r="B53" s="309"/>
      <c r="C53" s="351" t="s">
        <v>74</v>
      </c>
      <c r="D53" s="353"/>
      <c r="E53" s="347"/>
      <c r="F53" s="347">
        <v>1</v>
      </c>
      <c r="G53" s="347">
        <v>5</v>
      </c>
      <c r="H53" s="347"/>
      <c r="I53" s="349">
        <v>1</v>
      </c>
      <c r="J53" s="174"/>
    </row>
    <row r="54" spans="1:11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1" s="76" customFormat="1" ht="17.25" customHeight="1" x14ac:dyDescent="0.3">
      <c r="A55" s="308"/>
      <c r="B55" s="309"/>
      <c r="C55" s="351" t="s">
        <v>75</v>
      </c>
      <c r="D55" s="353"/>
      <c r="E55" s="355"/>
      <c r="F55" s="355">
        <v>18000</v>
      </c>
      <c r="G55" s="355">
        <v>99000</v>
      </c>
      <c r="H55" s="347"/>
      <c r="I55" s="341">
        <v>50400</v>
      </c>
    </row>
    <row r="56" spans="1:11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1" s="76" customFormat="1" ht="17.25" customHeight="1" x14ac:dyDescent="0.3">
      <c r="A57" s="306" t="s">
        <v>45</v>
      </c>
      <c r="B57" s="307"/>
      <c r="C57" s="343" t="s">
        <v>539</v>
      </c>
      <c r="D57" s="331"/>
      <c r="E57" s="331"/>
      <c r="F57" s="331"/>
      <c r="G57" s="331"/>
      <c r="H57" s="331"/>
      <c r="I57" s="332"/>
    </row>
    <row r="58" spans="1:11" s="76" customFormat="1" ht="17.25" customHeight="1" x14ac:dyDescent="0.3">
      <c r="A58" s="308"/>
      <c r="B58" s="309"/>
      <c r="C58" s="326" t="s">
        <v>540</v>
      </c>
      <c r="D58" s="326"/>
      <c r="E58" s="326"/>
      <c r="F58" s="326"/>
      <c r="G58" s="326"/>
      <c r="H58" s="326"/>
      <c r="I58" s="327"/>
    </row>
    <row r="59" spans="1:11" s="76" customFormat="1" ht="17.25" customHeight="1" x14ac:dyDescent="0.3">
      <c r="A59" s="308"/>
      <c r="B59" s="309"/>
      <c r="C59" s="325" t="s">
        <v>541</v>
      </c>
      <c r="D59" s="326"/>
      <c r="E59" s="326"/>
      <c r="F59" s="326"/>
      <c r="G59" s="326"/>
      <c r="H59" s="326"/>
      <c r="I59" s="327"/>
    </row>
    <row r="60" spans="1:11" s="76" customFormat="1" ht="17.25" customHeight="1" thickBot="1" x14ac:dyDescent="0.35">
      <c r="A60" s="310"/>
      <c r="B60" s="311"/>
      <c r="C60" s="329" t="s">
        <v>542</v>
      </c>
      <c r="D60" s="329"/>
      <c r="E60" s="329"/>
      <c r="F60" s="329"/>
      <c r="G60" s="329"/>
      <c r="H60" s="329"/>
      <c r="I60" s="330"/>
    </row>
    <row r="61" spans="1:11" s="76" customFormat="1" ht="17.25" customHeight="1" x14ac:dyDescent="0.3">
      <c r="A61" s="306" t="s">
        <v>73</v>
      </c>
      <c r="B61" s="307"/>
      <c r="C61" s="322" t="s">
        <v>522</v>
      </c>
      <c r="D61" s="323"/>
      <c r="E61" s="323"/>
      <c r="F61" s="323"/>
      <c r="G61" s="323"/>
      <c r="H61" s="323"/>
      <c r="I61" s="324"/>
    </row>
    <row r="62" spans="1:11" s="76" customFormat="1" ht="17.25" customHeight="1" x14ac:dyDescent="0.3">
      <c r="A62" s="308"/>
      <c r="B62" s="309"/>
      <c r="C62" s="325" t="s">
        <v>532</v>
      </c>
      <c r="D62" s="326"/>
      <c r="E62" s="326"/>
      <c r="F62" s="326"/>
      <c r="G62" s="326"/>
      <c r="H62" s="326"/>
      <c r="I62" s="327"/>
      <c r="K62" s="76" t="s">
        <v>531</v>
      </c>
    </row>
    <row r="63" spans="1:11" s="76" customFormat="1" ht="17.25" customHeight="1" x14ac:dyDescent="0.3">
      <c r="A63" s="308"/>
      <c r="B63" s="309"/>
      <c r="C63" s="325" t="s">
        <v>536</v>
      </c>
      <c r="D63" s="326"/>
      <c r="E63" s="326"/>
      <c r="F63" s="326"/>
      <c r="G63" s="326"/>
      <c r="H63" s="326"/>
      <c r="I63" s="327"/>
    </row>
    <row r="64" spans="1:11" s="76" customFormat="1" ht="17.25" customHeight="1" thickBot="1" x14ac:dyDescent="0.35">
      <c r="A64" s="310"/>
      <c r="B64" s="311"/>
      <c r="C64" s="329" t="s">
        <v>538</v>
      </c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 t="s">
        <v>535</v>
      </c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533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529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 t="s">
        <v>534</v>
      </c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530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523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524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525</v>
      </c>
      <c r="E79" s="94">
        <v>0.8125</v>
      </c>
      <c r="F79" s="93" t="s">
        <v>526</v>
      </c>
      <c r="G79" s="320" t="s">
        <v>527</v>
      </c>
      <c r="H79" s="321"/>
      <c r="I79" s="95" t="s">
        <v>528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4" zoomScale="90" zoomScaleNormal="90" workbookViewId="0">
      <selection activeCell="C59" sqref="C59:I5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543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544</v>
      </c>
      <c r="D3" s="5" t="s">
        <v>4</v>
      </c>
      <c r="E3" s="379"/>
      <c r="F3" s="386" t="s">
        <v>545</v>
      </c>
      <c r="G3" s="387"/>
      <c r="H3" s="388">
        <f>G11+'17일'!H3:I3</f>
        <v>39116310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548</v>
      </c>
      <c r="F6" s="15" t="s">
        <v>546</v>
      </c>
      <c r="G6" s="16" t="s">
        <v>547</v>
      </c>
      <c r="H6" s="17">
        <v>0.45</v>
      </c>
      <c r="I6" s="18">
        <v>0.43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2086700</v>
      </c>
      <c r="D11" s="102">
        <v>161</v>
      </c>
      <c r="E11" s="109">
        <f>SUM(E55:I56)</f>
        <v>269760</v>
      </c>
      <c r="F11" s="109">
        <f>SUM(E53:I54)</f>
        <v>9</v>
      </c>
      <c r="G11" s="110">
        <f>C11+E11</f>
        <v>2356460</v>
      </c>
      <c r="H11" s="110">
        <f>D11+F11</f>
        <v>170</v>
      </c>
      <c r="I11" s="111">
        <f>G11/H11</f>
        <v>13861.529411764706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>
        <v>1</v>
      </c>
      <c r="F13" s="24"/>
      <c r="G13" s="25"/>
      <c r="H13" s="23"/>
      <c r="I13" s="26">
        <f>C13-D13-D14*1/2-E13-E14*1/2+F13-H13-H14*1/2-I14*1/2</f>
        <v>19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20</v>
      </c>
      <c r="D15" s="29"/>
      <c r="E15" s="30"/>
      <c r="F15" s="34"/>
      <c r="G15" s="25"/>
      <c r="H15" s="29"/>
      <c r="I15" s="35">
        <f>C15-D15-D16*1/2-E15-E16*1/2+F15-H15-H16*1/2-I16*1/2</f>
        <v>19.5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13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62</v>
      </c>
      <c r="D21" s="41"/>
      <c r="E21" s="42">
        <v>1</v>
      </c>
      <c r="F21" s="43"/>
      <c r="G21" s="44"/>
      <c r="H21" s="43"/>
      <c r="I21" s="45">
        <f t="shared" ref="I21:I48" si="0">C21-D21-E21+F21-H21</f>
        <v>61</v>
      </c>
    </row>
    <row r="22" spans="1:9" ht="17.25" customHeight="1" x14ac:dyDescent="0.3">
      <c r="A22" s="358"/>
      <c r="B22" s="21" t="s">
        <v>32</v>
      </c>
      <c r="C22" s="46">
        <v>30</v>
      </c>
      <c r="D22" s="23"/>
      <c r="E22" s="47">
        <v>1</v>
      </c>
      <c r="F22" s="48"/>
      <c r="G22" s="25"/>
      <c r="H22" s="48"/>
      <c r="I22" s="49">
        <f t="shared" si="0"/>
        <v>29</v>
      </c>
    </row>
    <row r="23" spans="1:9" ht="17.25" customHeight="1" x14ac:dyDescent="0.3">
      <c r="A23" s="358"/>
      <c r="B23" s="27" t="s">
        <v>33</v>
      </c>
      <c r="C23" s="33">
        <v>132</v>
      </c>
      <c r="D23" s="29"/>
      <c r="E23" s="50">
        <v>2</v>
      </c>
      <c r="F23" s="51"/>
      <c r="G23" s="25"/>
      <c r="H23" s="51"/>
      <c r="I23" s="52">
        <f>C23-D23-D24-E23-E24+F23+F24-H23-H24-I24</f>
        <v>128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>
        <v>1</v>
      </c>
      <c r="F25" s="48"/>
      <c r="G25" s="112"/>
      <c r="H25" s="48">
        <v>1</v>
      </c>
      <c r="I25" s="49">
        <f t="shared" si="0"/>
        <v>22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>
        <v>1</v>
      </c>
      <c r="F26" s="43"/>
      <c r="G26" s="113"/>
      <c r="H26" s="43"/>
      <c r="I26" s="45">
        <f t="shared" si="0"/>
        <v>21</v>
      </c>
    </row>
    <row r="27" spans="1:9" ht="17.25" customHeight="1" x14ac:dyDescent="0.3">
      <c r="A27" s="358"/>
      <c r="B27" s="21" t="s">
        <v>37</v>
      </c>
      <c r="C27" s="46">
        <v>30</v>
      </c>
      <c r="D27" s="23"/>
      <c r="E27" s="47"/>
      <c r="F27" s="48"/>
      <c r="G27" s="112"/>
      <c r="H27" s="48">
        <v>4</v>
      </c>
      <c r="I27" s="49">
        <f t="shared" si="0"/>
        <v>26</v>
      </c>
    </row>
    <row r="28" spans="1:9" ht="17.25" customHeight="1" x14ac:dyDescent="0.3">
      <c r="A28" s="358"/>
      <c r="B28" s="160" t="s">
        <v>38</v>
      </c>
      <c r="C28" s="55">
        <v>35</v>
      </c>
      <c r="D28" s="41"/>
      <c r="E28" s="42"/>
      <c r="F28" s="43"/>
      <c r="G28" s="113"/>
      <c r="H28" s="43">
        <v>5</v>
      </c>
      <c r="I28" s="45">
        <f t="shared" si="0"/>
        <v>30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62</v>
      </c>
      <c r="D30" s="29"/>
      <c r="E30" s="50">
        <v>1</v>
      </c>
      <c r="F30" s="51"/>
      <c r="G30" s="25"/>
      <c r="H30" s="51"/>
      <c r="I30" s="52">
        <f>C30-D30-D31-E30-E31+F30+F31-H30-H31-I31</f>
        <v>61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>
        <v>19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24</v>
      </c>
      <c r="D46" s="23"/>
      <c r="E46" s="47"/>
      <c r="F46" s="48"/>
      <c r="G46" s="116"/>
      <c r="H46" s="48"/>
      <c r="I46" s="49">
        <f t="shared" si="0"/>
        <v>24</v>
      </c>
    </row>
    <row r="47" spans="1:9" ht="17.25" customHeight="1" x14ac:dyDescent="0.3">
      <c r="A47" s="358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523</v>
      </c>
      <c r="D51" s="66">
        <f>SUM(D13:D46)</f>
        <v>0</v>
      </c>
      <c r="E51" s="67">
        <f>SUM(E13:E46)</f>
        <v>12</v>
      </c>
      <c r="F51" s="67">
        <f>SUM(F13:F46)</f>
        <v>0</v>
      </c>
      <c r="G51" s="68" t="s">
        <v>22</v>
      </c>
      <c r="H51" s="69">
        <f>SUM(H13:H46)</f>
        <v>10</v>
      </c>
      <c r="I51" s="70">
        <f>SUM(I13:I46)</f>
        <v>514.5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2</v>
      </c>
      <c r="F53" s="347">
        <v>2</v>
      </c>
      <c r="G53" s="347">
        <v>4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40400</v>
      </c>
      <c r="F55" s="355">
        <v>44200</v>
      </c>
      <c r="G55" s="355">
        <v>41160</v>
      </c>
      <c r="H55" s="347"/>
      <c r="I55" s="341">
        <v>144000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561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562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582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/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549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559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284" t="s">
        <v>560</v>
      </c>
      <c r="D63" s="285"/>
      <c r="E63" s="285"/>
      <c r="F63" s="285"/>
      <c r="G63" s="285"/>
      <c r="H63" s="285"/>
      <c r="I63" s="286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550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552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551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553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554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555</v>
      </c>
      <c r="E79" s="94">
        <v>0.8125</v>
      </c>
      <c r="F79" s="93" t="s">
        <v>556</v>
      </c>
      <c r="G79" s="320" t="s">
        <v>557</v>
      </c>
      <c r="H79" s="321"/>
      <c r="I79" s="95" t="s">
        <v>558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7" zoomScale="90" zoomScaleNormal="90" workbookViewId="0">
      <selection activeCell="H23" sqref="H2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563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564</v>
      </c>
      <c r="D3" s="5" t="s">
        <v>4</v>
      </c>
      <c r="E3" s="379"/>
      <c r="F3" s="386" t="s">
        <v>565</v>
      </c>
      <c r="G3" s="387"/>
      <c r="H3" s="388">
        <f>G11+'18일'!H3:I3</f>
        <v>41774610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566</v>
      </c>
      <c r="F6" s="15" t="s">
        <v>567</v>
      </c>
      <c r="G6" s="16" t="s">
        <v>568</v>
      </c>
      <c r="H6" s="17">
        <v>0.49</v>
      </c>
      <c r="I6" s="18">
        <v>0.37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2432800</v>
      </c>
      <c r="D11" s="102">
        <v>169</v>
      </c>
      <c r="E11" s="109">
        <f>SUM(E55:I56)</f>
        <v>225500</v>
      </c>
      <c r="F11" s="109">
        <f>SUM(E53:I54)</f>
        <v>13</v>
      </c>
      <c r="G11" s="110">
        <f>C11+E11</f>
        <v>2658300</v>
      </c>
      <c r="H11" s="110">
        <f>D11+F11</f>
        <v>182</v>
      </c>
      <c r="I11" s="111">
        <f>G11/H11</f>
        <v>14606.043956043955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26</v>
      </c>
      <c r="D13" s="23"/>
      <c r="E13" s="22"/>
      <c r="F13" s="24"/>
      <c r="G13" s="25"/>
      <c r="H13" s="23"/>
      <c r="I13" s="26">
        <f>C13-D13-D14*1/2-E13-E14*1/2+F13-H13-H14*1/2-I14*1/2</f>
        <v>26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25</v>
      </c>
      <c r="D15" s="29"/>
      <c r="E15" s="30"/>
      <c r="F15" s="34"/>
      <c r="G15" s="25"/>
      <c r="H15" s="29">
        <v>1</v>
      </c>
      <c r="I15" s="35">
        <f>C15-D15-D16*1/2-E15-E16*1/2+F15-H15-H16*1/2-I16*1/2</f>
        <v>23.5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30</v>
      </c>
      <c r="D17" s="29"/>
      <c r="E17" s="30">
        <v>1</v>
      </c>
      <c r="F17" s="34"/>
      <c r="G17" s="118"/>
      <c r="H17" s="29">
        <v>2</v>
      </c>
      <c r="I17" s="37">
        <f>C17-D17-D18*1/2-E17-E18*1/2+F17-H17-H18*1/2-I18*1/2</f>
        <v>27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/>
      <c r="F19" s="34"/>
      <c r="G19" s="25"/>
      <c r="H19" s="29">
        <v>1</v>
      </c>
      <c r="I19" s="35">
        <f>C19-D19-D20*1/2-E19-E20*1/2+F19-H19-H20*1/2-I20*1/2</f>
        <v>11.5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73</v>
      </c>
      <c r="D21" s="41"/>
      <c r="E21" s="42">
        <v>1</v>
      </c>
      <c r="F21" s="43"/>
      <c r="G21" s="44"/>
      <c r="H21" s="43"/>
      <c r="I21" s="45">
        <f t="shared" ref="I21:I48" si="0">C21-D21-E21+F21-H21</f>
        <v>72</v>
      </c>
    </row>
    <row r="22" spans="1:9" ht="17.25" customHeight="1" x14ac:dyDescent="0.3">
      <c r="A22" s="358"/>
      <c r="B22" s="21" t="s">
        <v>32</v>
      </c>
      <c r="C22" s="46">
        <v>33</v>
      </c>
      <c r="D22" s="23"/>
      <c r="E22" s="47"/>
      <c r="F22" s="48"/>
      <c r="G22" s="25"/>
      <c r="H22" s="48">
        <v>7</v>
      </c>
      <c r="I22" s="49">
        <f t="shared" si="0"/>
        <v>26</v>
      </c>
    </row>
    <row r="23" spans="1:9" ht="17.25" customHeight="1" x14ac:dyDescent="0.3">
      <c r="A23" s="358"/>
      <c r="B23" s="27" t="s">
        <v>33</v>
      </c>
      <c r="C23" s="33">
        <v>157</v>
      </c>
      <c r="D23" s="29"/>
      <c r="E23" s="50">
        <v>3</v>
      </c>
      <c r="F23" s="51"/>
      <c r="G23" s="25"/>
      <c r="H23" s="51">
        <v>24</v>
      </c>
      <c r="I23" s="52">
        <f>C23-D23-D24-E23-E24+F23+F24-H23-H24-I24</f>
        <v>124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2</v>
      </c>
      <c r="F24" s="43"/>
      <c r="G24" s="113"/>
      <c r="H24" s="43">
        <v>4</v>
      </c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8"/>
      <c r="B26" s="160" t="s">
        <v>36</v>
      </c>
      <c r="C26" s="55">
        <v>43</v>
      </c>
      <c r="D26" s="41"/>
      <c r="E26" s="42"/>
      <c r="F26" s="43"/>
      <c r="G26" s="113"/>
      <c r="H26" s="43"/>
      <c r="I26" s="45">
        <f t="shared" si="0"/>
        <v>43</v>
      </c>
    </row>
    <row r="27" spans="1:9" ht="17.25" customHeight="1" x14ac:dyDescent="0.3">
      <c r="A27" s="358"/>
      <c r="B27" s="21" t="s">
        <v>37</v>
      </c>
      <c r="C27" s="46">
        <v>27</v>
      </c>
      <c r="D27" s="23"/>
      <c r="E27" s="47"/>
      <c r="F27" s="48"/>
      <c r="G27" s="112"/>
      <c r="H27" s="48"/>
      <c r="I27" s="49">
        <f t="shared" si="0"/>
        <v>27</v>
      </c>
    </row>
    <row r="28" spans="1:9" ht="17.25" customHeight="1" x14ac:dyDescent="0.3">
      <c r="A28" s="358"/>
      <c r="B28" s="160" t="s">
        <v>38</v>
      </c>
      <c r="C28" s="55">
        <v>39</v>
      </c>
      <c r="D28" s="41"/>
      <c r="E28" s="42"/>
      <c r="F28" s="43"/>
      <c r="G28" s="113"/>
      <c r="H28" s="43"/>
      <c r="I28" s="45">
        <f t="shared" si="0"/>
        <v>39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62</v>
      </c>
      <c r="D30" s="29">
        <v>3</v>
      </c>
      <c r="E30" s="50">
        <v>1</v>
      </c>
      <c r="F30" s="51"/>
      <c r="G30" s="25"/>
      <c r="H30" s="51"/>
      <c r="I30" s="52">
        <f>C30-D30-D31-E30-E31+F30+F31-H30-H31-I31</f>
        <v>58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>
        <v>20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8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599</v>
      </c>
      <c r="D51" s="66">
        <f>SUM(D13:D46)</f>
        <v>3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39</v>
      </c>
      <c r="I51" s="70">
        <f>SUM(I13:I46)</f>
        <v>561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3</v>
      </c>
      <c r="F53" s="347">
        <v>2</v>
      </c>
      <c r="G53" s="347">
        <v>7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63500</v>
      </c>
      <c r="F55" s="355">
        <v>51900</v>
      </c>
      <c r="G55" s="355">
        <v>71500</v>
      </c>
      <c r="H55" s="347"/>
      <c r="I55" s="341">
        <v>38600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583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580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596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581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577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284" t="s">
        <v>578</v>
      </c>
      <c r="D62" s="285"/>
      <c r="E62" s="285"/>
      <c r="F62" s="285"/>
      <c r="G62" s="285"/>
      <c r="H62" s="285"/>
      <c r="I62" s="286"/>
    </row>
    <row r="63" spans="1:10" s="76" customFormat="1" ht="17.25" customHeight="1" x14ac:dyDescent="0.3">
      <c r="A63" s="308"/>
      <c r="B63" s="309"/>
      <c r="C63" s="325" t="s">
        <v>579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569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570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571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572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584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573</v>
      </c>
      <c r="E79" s="94">
        <v>0.8125</v>
      </c>
      <c r="F79" s="93" t="s">
        <v>574</v>
      </c>
      <c r="G79" s="320" t="s">
        <v>575</v>
      </c>
      <c r="H79" s="321"/>
      <c r="I79" s="95" t="s">
        <v>576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0" zoomScale="90" zoomScaleNormal="90" workbookViewId="0">
      <selection activeCell="I15" sqref="I15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10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10" x14ac:dyDescent="0.3">
      <c r="A2" s="375" t="s">
        <v>1</v>
      </c>
      <c r="B2" s="376"/>
      <c r="C2" s="377" t="s">
        <v>586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10" x14ac:dyDescent="0.3">
      <c r="A3" s="384" t="s">
        <v>3</v>
      </c>
      <c r="B3" s="385"/>
      <c r="C3" s="4" t="s">
        <v>587</v>
      </c>
      <c r="D3" s="5" t="s">
        <v>4</v>
      </c>
      <c r="E3" s="379"/>
      <c r="F3" s="386" t="s">
        <v>590</v>
      </c>
      <c r="G3" s="387"/>
      <c r="H3" s="388">
        <f>G11+'19일'!H3:I3</f>
        <v>43776810</v>
      </c>
      <c r="I3" s="389"/>
    </row>
    <row r="4" spans="1:10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10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10" x14ac:dyDescent="0.3">
      <c r="A6" s="7"/>
      <c r="B6" s="8"/>
      <c r="C6" s="8"/>
      <c r="D6" s="9"/>
      <c r="E6" s="14" t="s">
        <v>588</v>
      </c>
      <c r="F6" s="15" t="s">
        <v>592</v>
      </c>
      <c r="G6" s="16" t="s">
        <v>591</v>
      </c>
      <c r="H6" s="17">
        <v>0.81</v>
      </c>
      <c r="I6" s="18">
        <v>0.51</v>
      </c>
    </row>
    <row r="7" spans="1:10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10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10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10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10" ht="17.25" thickBot="1" x14ac:dyDescent="0.35">
      <c r="A11" s="314"/>
      <c r="B11" s="369"/>
      <c r="C11" s="101">
        <v>1861800</v>
      </c>
      <c r="D11" s="102">
        <v>118</v>
      </c>
      <c r="E11" s="109">
        <f>SUM(E55:I56)</f>
        <v>140400</v>
      </c>
      <c r="F11" s="109">
        <f>SUM(E53:I54)</f>
        <v>8</v>
      </c>
      <c r="G11" s="110">
        <f>C11+E11</f>
        <v>2002200</v>
      </c>
      <c r="H11" s="110">
        <f>D11+F11</f>
        <v>126</v>
      </c>
      <c r="I11" s="111">
        <f>G11/H11</f>
        <v>15890.476190476191</v>
      </c>
    </row>
    <row r="12" spans="1:10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10" ht="17.25" customHeight="1" x14ac:dyDescent="0.3">
      <c r="A13" s="358"/>
      <c r="B13" s="21" t="s">
        <v>23</v>
      </c>
      <c r="C13" s="22">
        <v>25</v>
      </c>
      <c r="D13" s="23">
        <v>1</v>
      </c>
      <c r="E13" s="22"/>
      <c r="F13" s="24"/>
      <c r="G13" s="25"/>
      <c r="H13" s="23"/>
      <c r="I13" s="26">
        <f>C13-D13-D14*1/2-E13-E14*1/2+F13-H13-H14*1/2-I14*1/2</f>
        <v>23.5</v>
      </c>
    </row>
    <row r="14" spans="1:10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10" ht="17.25" customHeight="1" x14ac:dyDescent="0.3">
      <c r="A15" s="358"/>
      <c r="B15" s="27" t="s">
        <v>25</v>
      </c>
      <c r="C15" s="33">
        <v>14</v>
      </c>
      <c r="D15" s="29"/>
      <c r="E15" s="30" t="s">
        <v>607</v>
      </c>
      <c r="F15" s="34"/>
      <c r="G15" s="25"/>
      <c r="H15" s="29"/>
      <c r="I15" s="35" t="e">
        <f>C15-D15-D16*1/2-E15-E16*1/2+F15-H15-H16*1/2-I16*1/2</f>
        <v>#VALUE!</v>
      </c>
      <c r="J15" s="2" t="s">
        <v>610</v>
      </c>
    </row>
    <row r="16" spans="1:10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10" ht="17.25" customHeight="1" x14ac:dyDescent="0.3">
      <c r="A17" s="358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15.5</v>
      </c>
      <c r="J17" s="2" t="s">
        <v>609</v>
      </c>
    </row>
    <row r="18" spans="1:10" ht="17.25" customHeight="1" x14ac:dyDescent="0.3">
      <c r="A18" s="358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10" ht="17.25" customHeight="1" x14ac:dyDescent="0.3">
      <c r="A19" s="358"/>
      <c r="B19" s="27" t="s">
        <v>29</v>
      </c>
      <c r="C19" s="33">
        <v>8</v>
      </c>
      <c r="D19" s="29" t="s">
        <v>658</v>
      </c>
      <c r="E19" s="30" t="s">
        <v>659</v>
      </c>
      <c r="F19" s="34"/>
      <c r="G19" s="25"/>
      <c r="H19" s="29"/>
      <c r="I19" s="35" t="e">
        <f>C19-D19-D20*1/2-E19-E20*1/2+F19-H19-H20*1/2-I20*1/2</f>
        <v>#VALUE!</v>
      </c>
    </row>
    <row r="20" spans="1:10" ht="17.25" customHeight="1" x14ac:dyDescent="0.3">
      <c r="A20" s="358"/>
      <c r="B20" s="27" t="s">
        <v>30</v>
      </c>
      <c r="C20" s="28"/>
      <c r="D20" s="29" t="s">
        <v>531</v>
      </c>
      <c r="E20" s="30">
        <v>1</v>
      </c>
      <c r="F20" s="31"/>
      <c r="G20" s="25"/>
      <c r="H20" s="29"/>
      <c r="I20" s="38"/>
    </row>
    <row r="21" spans="1:10" ht="17.25" customHeight="1" x14ac:dyDescent="0.3">
      <c r="A21" s="358"/>
      <c r="B21" s="39" t="s">
        <v>31</v>
      </c>
      <c r="C21" s="40">
        <v>66</v>
      </c>
      <c r="D21" s="41"/>
      <c r="E21" s="42">
        <v>8</v>
      </c>
      <c r="F21" s="43"/>
      <c r="G21" s="44"/>
      <c r="H21" s="43"/>
      <c r="I21" s="45">
        <f t="shared" ref="I21:I48" si="0">C21-D21-E21+F21-H21</f>
        <v>58</v>
      </c>
      <c r="J21" s="2" t="s">
        <v>611</v>
      </c>
    </row>
    <row r="22" spans="1:10" ht="17.25" customHeight="1" x14ac:dyDescent="0.3">
      <c r="A22" s="358"/>
      <c r="B22" s="21" t="s">
        <v>32</v>
      </c>
      <c r="C22" s="46">
        <v>21</v>
      </c>
      <c r="D22" s="23"/>
      <c r="E22" s="47"/>
      <c r="F22" s="48"/>
      <c r="G22" s="25"/>
      <c r="H22" s="48"/>
      <c r="I22" s="49">
        <f t="shared" si="0"/>
        <v>21</v>
      </c>
    </row>
    <row r="23" spans="1:10" ht="17.25" customHeight="1" x14ac:dyDescent="0.3">
      <c r="A23" s="358"/>
      <c r="B23" s="27" t="s">
        <v>33</v>
      </c>
      <c r="C23" s="33">
        <v>90</v>
      </c>
      <c r="D23" s="29"/>
      <c r="E23" s="50">
        <v>4</v>
      </c>
      <c r="F23" s="51"/>
      <c r="G23" s="25"/>
      <c r="H23" s="51"/>
      <c r="I23" s="52">
        <f>C23-D23-D24-E23-E24+F23+F24-H23-H24-I24</f>
        <v>83</v>
      </c>
      <c r="J23" s="2" t="s">
        <v>612</v>
      </c>
    </row>
    <row r="24" spans="1:10" ht="17.25" customHeight="1" x14ac:dyDescent="0.3">
      <c r="A24" s="358"/>
      <c r="B24" s="160" t="s">
        <v>34</v>
      </c>
      <c r="C24" s="53"/>
      <c r="D24" s="41"/>
      <c r="E24" s="42">
        <v>3</v>
      </c>
      <c r="F24" s="43"/>
      <c r="G24" s="113"/>
      <c r="H24" s="43"/>
      <c r="I24" s="54"/>
    </row>
    <row r="25" spans="1:10" ht="17.25" customHeight="1" x14ac:dyDescent="0.3">
      <c r="A25" s="358"/>
      <c r="B25" s="21" t="s">
        <v>35</v>
      </c>
      <c r="C25" s="46">
        <v>22</v>
      </c>
      <c r="D25" s="23"/>
      <c r="E25" s="47">
        <v>3</v>
      </c>
      <c r="F25" s="48"/>
      <c r="G25" s="112"/>
      <c r="H25" s="48">
        <v>1</v>
      </c>
      <c r="I25" s="49">
        <f t="shared" si="0"/>
        <v>18</v>
      </c>
    </row>
    <row r="26" spans="1:10" ht="17.25" customHeight="1" x14ac:dyDescent="0.3">
      <c r="A26" s="358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10" ht="17.25" customHeight="1" x14ac:dyDescent="0.3">
      <c r="A27" s="358"/>
      <c r="B27" s="21" t="s">
        <v>37</v>
      </c>
      <c r="C27" s="46">
        <v>20</v>
      </c>
      <c r="D27" s="23"/>
      <c r="E27" s="47">
        <v>1</v>
      </c>
      <c r="F27" s="48"/>
      <c r="G27" s="112"/>
      <c r="H27" s="48"/>
      <c r="I27" s="49">
        <f t="shared" si="0"/>
        <v>19</v>
      </c>
    </row>
    <row r="28" spans="1:10" ht="17.25" customHeight="1" x14ac:dyDescent="0.3">
      <c r="A28" s="358"/>
      <c r="B28" s="160" t="s">
        <v>38</v>
      </c>
      <c r="C28" s="55">
        <v>27</v>
      </c>
      <c r="D28" s="41"/>
      <c r="E28" s="42"/>
      <c r="F28" s="43"/>
      <c r="G28" s="113"/>
      <c r="H28" s="43"/>
      <c r="I28" s="45">
        <f t="shared" si="0"/>
        <v>27</v>
      </c>
    </row>
    <row r="29" spans="1:10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10" ht="17.25" customHeight="1" x14ac:dyDescent="0.3">
      <c r="A30" s="358"/>
      <c r="B30" s="56" t="s">
        <v>40</v>
      </c>
      <c r="C30" s="57">
        <v>63</v>
      </c>
      <c r="D30" s="29"/>
      <c r="E30" s="50" t="s">
        <v>607</v>
      </c>
      <c r="F30" s="51"/>
      <c r="G30" s="25"/>
      <c r="H30" s="51">
        <v>5</v>
      </c>
      <c r="I30" s="52" t="e">
        <f>C30-D30-D31-E30-E31+F30+F31-H30-H31-I31</f>
        <v>#VALUE!</v>
      </c>
    </row>
    <row r="31" spans="1:10" ht="17.25" customHeight="1" x14ac:dyDescent="0.3">
      <c r="A31" s="358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10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11</v>
      </c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8</v>
      </c>
      <c r="D46" s="23"/>
      <c r="E46" s="47"/>
      <c r="F46" s="48"/>
      <c r="G46" s="116"/>
      <c r="H46" s="48">
        <v>3</v>
      </c>
      <c r="I46" s="49">
        <f t="shared" si="0"/>
        <v>5</v>
      </c>
    </row>
    <row r="47" spans="1:9" ht="17.25" customHeight="1" x14ac:dyDescent="0.3">
      <c r="A47" s="358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431</v>
      </c>
      <c r="D51" s="66">
        <f>SUM(D13:D46)</f>
        <v>1</v>
      </c>
      <c r="E51" s="67">
        <f>SUM(E13:E46)</f>
        <v>34</v>
      </c>
      <c r="F51" s="67">
        <f>SUM(F13:F46)</f>
        <v>0</v>
      </c>
      <c r="G51" s="68" t="s">
        <v>22</v>
      </c>
      <c r="H51" s="69">
        <f>SUM(H13:H46)</f>
        <v>9</v>
      </c>
      <c r="I51" s="70" t="e">
        <f>SUM(I13:I46)</f>
        <v>#VALUE!</v>
      </c>
    </row>
    <row r="52" spans="1:10" ht="17.25" customHeight="1" x14ac:dyDescent="0.3">
      <c r="A52" s="306" t="s">
        <v>72</v>
      </c>
      <c r="B52" s="307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>
        <v>1</v>
      </c>
      <c r="E53" s="347">
        <v>1</v>
      </c>
      <c r="F53" s="347">
        <v>1</v>
      </c>
      <c r="G53" s="347">
        <v>6</v>
      </c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>
        <v>16400</v>
      </c>
      <c r="E55" s="355">
        <v>39700</v>
      </c>
      <c r="F55" s="355">
        <v>28200</v>
      </c>
      <c r="G55" s="355">
        <v>72500</v>
      </c>
      <c r="H55" s="347"/>
      <c r="I55" s="341"/>
      <c r="J55" s="76" t="s">
        <v>606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601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589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604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608</v>
      </c>
      <c r="D60" s="329"/>
      <c r="E60" s="329"/>
      <c r="F60" s="329"/>
      <c r="G60" s="329"/>
      <c r="H60" s="329"/>
      <c r="I60" s="330"/>
    </row>
    <row r="61" spans="1:10" s="76" customFormat="1" ht="35.25" customHeight="1" x14ac:dyDescent="0.3">
      <c r="A61" s="306" t="s">
        <v>73</v>
      </c>
      <c r="B61" s="307"/>
      <c r="C61" s="340" t="s">
        <v>593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284" t="s">
        <v>599</v>
      </c>
      <c r="D62" s="285"/>
      <c r="E62" s="285"/>
      <c r="F62" s="285"/>
      <c r="G62" s="285"/>
      <c r="H62" s="285"/>
      <c r="I62" s="286"/>
    </row>
    <row r="63" spans="1:10" s="76" customFormat="1" ht="17.25" customHeight="1" x14ac:dyDescent="0.3">
      <c r="A63" s="308"/>
      <c r="B63" s="309"/>
      <c r="C63" s="325" t="s">
        <v>600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602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603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 t="s">
        <v>605</v>
      </c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594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585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595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168</v>
      </c>
      <c r="E79" s="94">
        <v>0.77083333333333337</v>
      </c>
      <c r="F79" s="93" t="s">
        <v>448</v>
      </c>
      <c r="G79" s="320" t="s">
        <v>449</v>
      </c>
      <c r="H79" s="321"/>
      <c r="I79" s="95" t="s">
        <v>450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M23" sqref="M2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105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/>
      <c r="D3" s="5" t="s">
        <v>4</v>
      </c>
      <c r="E3" s="379"/>
      <c r="F3" s="386"/>
      <c r="G3" s="387"/>
      <c r="H3" s="388">
        <f>G11+'20일'!H3:I3</f>
        <v>43776810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/>
      <c r="G6" s="16"/>
      <c r="H6" s="17"/>
      <c r="I6" s="18"/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/>
      <c r="D11" s="102"/>
      <c r="E11" s="109">
        <f>SUM(E55:I56)</f>
        <v>0</v>
      </c>
      <c r="F11" s="109">
        <f>SUM(E53:I54)</f>
        <v>0</v>
      </c>
      <c r="G11" s="110">
        <f>C11+E11</f>
        <v>0</v>
      </c>
      <c r="H11" s="110">
        <f>D11+F11</f>
        <v>0</v>
      </c>
      <c r="I11" s="111" t="e">
        <f>G11/H11</f>
        <v>#DIV/0!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/>
      <c r="D13" s="23"/>
      <c r="E13" s="22"/>
      <c r="F13" s="24"/>
      <c r="G13" s="25"/>
      <c r="H13" s="23"/>
      <c r="I13" s="26">
        <f>C13-D13-D14*1/2-E13-E14*1/2+F13-H13-H14*1/2-I14*1/2</f>
        <v>0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/>
      <c r="D15" s="29"/>
      <c r="E15" s="30"/>
      <c r="F15" s="34"/>
      <c r="G15" s="25"/>
      <c r="H15" s="29"/>
      <c r="I15" s="35">
        <f>C15-D15-D16*1/2-E15-E16*1/2+F15-H15-H16*1/2-I16*1/2</f>
        <v>0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/>
      <c r="D17" s="29"/>
      <c r="E17" s="30"/>
      <c r="F17" s="34"/>
      <c r="G17" s="118"/>
      <c r="H17" s="29"/>
      <c r="I17" s="37">
        <f>C17-D17-D18*1/2-E17-E18*1/2+F17-H17-H18*1/2-I18*1/2</f>
        <v>0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/>
      <c r="D19" s="29"/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/>
      <c r="D21" s="41"/>
      <c r="E21" s="42"/>
      <c r="F21" s="43"/>
      <c r="G21" s="44"/>
      <c r="H21" s="43"/>
      <c r="I21" s="45">
        <f t="shared" ref="I21:I48" si="0">C21-D21-E21+F21-H21</f>
        <v>0</v>
      </c>
    </row>
    <row r="22" spans="1:9" ht="17.25" customHeight="1" x14ac:dyDescent="0.3">
      <c r="A22" s="358"/>
      <c r="B22" s="21" t="s">
        <v>32</v>
      </c>
      <c r="C22" s="46"/>
      <c r="D22" s="23"/>
      <c r="E22" s="47"/>
      <c r="F22" s="48"/>
      <c r="G22" s="25"/>
      <c r="H22" s="48"/>
      <c r="I22" s="49">
        <f t="shared" si="0"/>
        <v>0</v>
      </c>
    </row>
    <row r="23" spans="1:9" ht="17.25" customHeight="1" x14ac:dyDescent="0.3">
      <c r="A23" s="358"/>
      <c r="B23" s="27" t="s">
        <v>33</v>
      </c>
      <c r="C23" s="33"/>
      <c r="D23" s="29"/>
      <c r="E23" s="50"/>
      <c r="F23" s="51"/>
      <c r="G23" s="25"/>
      <c r="H23" s="51"/>
      <c r="I23" s="52">
        <f>C23-D23-D24-E23-E24+F23+F24-H23-H24-I24</f>
        <v>0</v>
      </c>
    </row>
    <row r="24" spans="1:9" ht="17.25" customHeight="1" x14ac:dyDescent="0.3">
      <c r="A24" s="358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58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8"/>
      <c r="B27" s="21" t="s">
        <v>37</v>
      </c>
      <c r="C27" s="46"/>
      <c r="D27" s="23"/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58"/>
      <c r="B28" s="160" t="s">
        <v>38</v>
      </c>
      <c r="C28" s="55"/>
      <c r="D28" s="41"/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58"/>
      <c r="B29" s="21" t="s">
        <v>39</v>
      </c>
      <c r="C29" s="46"/>
      <c r="D29" s="23"/>
      <c r="E29" s="47"/>
      <c r="F29" s="48"/>
      <c r="G29" s="25"/>
      <c r="H29" s="48"/>
      <c r="I29" s="49">
        <f t="shared" si="0"/>
        <v>0</v>
      </c>
    </row>
    <row r="30" spans="1:9" ht="17.25" customHeight="1" x14ac:dyDescent="0.3">
      <c r="A30" s="358"/>
      <c r="B30" s="56" t="s">
        <v>40</v>
      </c>
      <c r="C30" s="57"/>
      <c r="D30" s="29"/>
      <c r="E30" s="50"/>
      <c r="F30" s="51"/>
      <c r="G30" s="25"/>
      <c r="H30" s="51"/>
      <c r="I30" s="52">
        <f>C30-D30-D31-E30-E31+F30+F31-H30-H31-I31</f>
        <v>0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58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0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0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/>
      <c r="F53" s="347"/>
      <c r="G53" s="347"/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/>
      <c r="F55" s="355"/>
      <c r="G55" s="355"/>
      <c r="H55" s="347"/>
      <c r="I55" s="341"/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/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/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/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/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/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44"/>
      <c r="D62" s="345"/>
      <c r="E62" s="345"/>
      <c r="F62" s="345"/>
      <c r="G62" s="345"/>
      <c r="H62" s="345"/>
      <c r="I62" s="346"/>
    </row>
    <row r="63" spans="1:10" s="76" customFormat="1" ht="17.25" customHeight="1" x14ac:dyDescent="0.3">
      <c r="A63" s="308"/>
      <c r="B63" s="309"/>
      <c r="C63" s="344"/>
      <c r="D63" s="345"/>
      <c r="E63" s="345"/>
      <c r="F63" s="345"/>
      <c r="G63" s="345"/>
      <c r="H63" s="345"/>
      <c r="I63" s="346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/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/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/>
      <c r="D79" s="93"/>
      <c r="E79" s="94"/>
      <c r="F79" s="93"/>
      <c r="G79" s="320"/>
      <c r="H79" s="321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5" zoomScale="90" zoomScaleNormal="90" workbookViewId="0">
      <selection activeCell="B33" sqref="B3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613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616</v>
      </c>
      <c r="D3" s="5" t="s">
        <v>4</v>
      </c>
      <c r="E3" s="379"/>
      <c r="F3" s="386" t="s">
        <v>614</v>
      </c>
      <c r="G3" s="387"/>
      <c r="H3" s="388">
        <f>G11+'21일'!H3:I3</f>
        <v>45720510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618</v>
      </c>
      <c r="F6" s="15" t="s">
        <v>617</v>
      </c>
      <c r="G6" s="16" t="s">
        <v>619</v>
      </c>
      <c r="H6" s="17">
        <v>0.6</v>
      </c>
      <c r="I6" s="18">
        <v>0.43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1828100</v>
      </c>
      <c r="D11" s="102">
        <v>142</v>
      </c>
      <c r="E11" s="109">
        <f>SUM(E55:I56)</f>
        <v>115600</v>
      </c>
      <c r="F11" s="109">
        <f>SUM(E53:I54)</f>
        <v>8</v>
      </c>
      <c r="G11" s="110">
        <f>C11+E11</f>
        <v>1943700</v>
      </c>
      <c r="H11" s="110">
        <f>D11+F11</f>
        <v>150</v>
      </c>
      <c r="I11" s="111">
        <f>G11/H11</f>
        <v>12958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17</v>
      </c>
      <c r="D13" s="23"/>
      <c r="E13" s="22"/>
      <c r="F13" s="24"/>
      <c r="G13" s="25"/>
      <c r="H13" s="23"/>
      <c r="I13" s="26">
        <f>C13-D13-D14*1/2-E13-E14*1/2+F13-H13-H14*1/2-I14*1/2</f>
        <v>16.5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13</v>
      </c>
      <c r="D15" s="29"/>
      <c r="E15" s="30"/>
      <c r="F15" s="34"/>
      <c r="G15" s="25"/>
      <c r="H15" s="29"/>
      <c r="I15" s="35">
        <f>C15-D15-D16*1/2-E15-E16*1/2+F15-H15-H16*1/2-I16*1/2</f>
        <v>13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15.5</v>
      </c>
    </row>
    <row r="18" spans="1:9" ht="17.25" customHeight="1" x14ac:dyDescent="0.3">
      <c r="A18" s="358"/>
      <c r="B18" s="27" t="s">
        <v>28</v>
      </c>
      <c r="C18" s="28"/>
      <c r="D18" s="29"/>
      <c r="E18" s="30">
        <v>1</v>
      </c>
      <c r="F18" s="31" t="s">
        <v>635</v>
      </c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7</v>
      </c>
      <c r="D19" s="29"/>
      <c r="E19" s="30"/>
      <c r="F19" s="34"/>
      <c r="G19" s="25"/>
      <c r="H19" s="29"/>
      <c r="I19" s="35">
        <f>C19-D19-D20*1/2-E19-E20*1/2+F19-H19-H20*1/2-I20*1/2</f>
        <v>6.5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42</v>
      </c>
      <c r="D21" s="41"/>
      <c r="E21" s="42">
        <v>2</v>
      </c>
      <c r="F21" s="43"/>
      <c r="G21" s="44"/>
      <c r="H21" s="43"/>
      <c r="I21" s="45">
        <f t="shared" ref="I21:I48" si="0">C21-D21-E21+F21-H21</f>
        <v>40</v>
      </c>
    </row>
    <row r="22" spans="1:9" ht="17.25" customHeight="1" x14ac:dyDescent="0.3">
      <c r="A22" s="358"/>
      <c r="B22" s="21" t="s">
        <v>32</v>
      </c>
      <c r="C22" s="46">
        <v>42</v>
      </c>
      <c r="D22" s="23"/>
      <c r="E22" s="47">
        <v>3</v>
      </c>
      <c r="F22" s="48"/>
      <c r="G22" s="25"/>
      <c r="H22" s="48">
        <v>5</v>
      </c>
      <c r="I22" s="49">
        <f t="shared" si="0"/>
        <v>34</v>
      </c>
    </row>
    <row r="23" spans="1:9" ht="17.25" customHeight="1" x14ac:dyDescent="0.3">
      <c r="A23" s="358"/>
      <c r="B23" s="27" t="s">
        <v>33</v>
      </c>
      <c r="C23" s="33">
        <v>144</v>
      </c>
      <c r="D23" s="29"/>
      <c r="E23" s="50">
        <v>3</v>
      </c>
      <c r="F23" s="51"/>
      <c r="G23" s="25"/>
      <c r="H23" s="51">
        <v>10</v>
      </c>
      <c r="I23" s="52">
        <f>C23-D23-D24-E23-E24+F23+F24-H23-H24-I24</f>
        <v>131</v>
      </c>
    </row>
    <row r="24" spans="1:9" ht="17.25" customHeight="1" x14ac:dyDescent="0.3">
      <c r="A24" s="358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58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8"/>
      <c r="B27" s="21" t="s">
        <v>37</v>
      </c>
      <c r="C27" s="46">
        <v>19</v>
      </c>
      <c r="D27" s="23">
        <v>1</v>
      </c>
      <c r="E27" s="47"/>
      <c r="F27" s="48"/>
      <c r="G27" s="112"/>
      <c r="H27" s="48"/>
      <c r="I27" s="49">
        <f t="shared" si="0"/>
        <v>18</v>
      </c>
    </row>
    <row r="28" spans="1:9" ht="17.25" customHeight="1" x14ac:dyDescent="0.3">
      <c r="A28" s="358"/>
      <c r="B28" s="160" t="s">
        <v>38</v>
      </c>
      <c r="C28" s="55">
        <v>24</v>
      </c>
      <c r="D28" s="41"/>
      <c r="E28" s="42">
        <v>2</v>
      </c>
      <c r="F28" s="43"/>
      <c r="G28" s="113"/>
      <c r="H28" s="43">
        <v>1</v>
      </c>
      <c r="I28" s="45">
        <f t="shared" si="0"/>
        <v>21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>
        <v>2</v>
      </c>
      <c r="I29" s="49">
        <f t="shared" si="0"/>
        <v>3</v>
      </c>
    </row>
    <row r="30" spans="1:9" ht="17.25" customHeight="1" x14ac:dyDescent="0.3">
      <c r="A30" s="358"/>
      <c r="B30" s="56" t="s">
        <v>40</v>
      </c>
      <c r="C30" s="57">
        <v>63</v>
      </c>
      <c r="D30" s="29"/>
      <c r="E30" s="50">
        <v>1</v>
      </c>
      <c r="F30" s="51"/>
      <c r="G30" s="25"/>
      <c r="H30" s="51"/>
      <c r="I30" s="52">
        <f>C30-D30-D31-E30-E31+F30+F31-H30-H31-I31</f>
        <v>62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2</v>
      </c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8"/>
      <c r="B47" s="120" t="s">
        <v>88</v>
      </c>
      <c r="C47" s="121">
        <v>3</v>
      </c>
      <c r="D47" s="122"/>
      <c r="E47" s="123"/>
      <c r="F47" s="124"/>
      <c r="G47" s="112"/>
      <c r="H47" s="124"/>
      <c r="I47" s="52">
        <f t="shared" si="0"/>
        <v>3</v>
      </c>
    </row>
    <row r="48" spans="1:9" ht="17.25" customHeight="1" x14ac:dyDescent="0.3">
      <c r="A48" s="358"/>
      <c r="B48" s="56" t="s">
        <v>620</v>
      </c>
      <c r="C48" s="117">
        <v>20</v>
      </c>
      <c r="D48" s="29"/>
      <c r="E48" s="50"/>
      <c r="F48" s="51"/>
      <c r="G48" s="25"/>
      <c r="H48" s="51"/>
      <c r="I48" s="52">
        <f t="shared" si="0"/>
        <v>20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437</v>
      </c>
      <c r="D51" s="66">
        <f>SUM(D13:D46)</f>
        <v>1</v>
      </c>
      <c r="E51" s="67">
        <f>SUM(E13:E46)</f>
        <v>16</v>
      </c>
      <c r="F51" s="67">
        <f>SUM(F13:F46)</f>
        <v>0</v>
      </c>
      <c r="G51" s="68" t="s">
        <v>22</v>
      </c>
      <c r="H51" s="69">
        <f>SUM(H13:H46)</f>
        <v>18</v>
      </c>
      <c r="I51" s="70">
        <f>SUM(I13:I46)</f>
        <v>382.5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/>
      <c r="F53" s="347">
        <v>1</v>
      </c>
      <c r="G53" s="347">
        <v>6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/>
      <c r="F55" s="355">
        <v>28200</v>
      </c>
      <c r="G55" s="355">
        <v>49200</v>
      </c>
      <c r="H55" s="347"/>
      <c r="I55" s="341">
        <v>38200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632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631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633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636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621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630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634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615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629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628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622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623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624</v>
      </c>
      <c r="E79" s="94">
        <v>0.8125</v>
      </c>
      <c r="F79" s="93" t="s">
        <v>625</v>
      </c>
      <c r="G79" s="320" t="s">
        <v>626</v>
      </c>
      <c r="H79" s="321"/>
      <c r="I79" s="95" t="s">
        <v>627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9"/>
  <sheetViews>
    <sheetView topLeftCell="A28" zoomScale="90" zoomScaleNormal="90" workbookViewId="0">
      <selection activeCell="I33" sqref="I3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637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638</v>
      </c>
      <c r="D3" s="5" t="s">
        <v>4</v>
      </c>
      <c r="E3" s="379"/>
      <c r="F3" s="386" t="s">
        <v>639</v>
      </c>
      <c r="G3" s="387"/>
      <c r="H3" s="388">
        <f>G11+'22일'!H3:I3</f>
        <v>48285810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641</v>
      </c>
      <c r="F6" s="15" t="s">
        <v>640</v>
      </c>
      <c r="G6" s="16" t="s">
        <v>642</v>
      </c>
      <c r="H6" s="17">
        <v>0.42</v>
      </c>
      <c r="I6" s="18">
        <v>0.4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2240000</v>
      </c>
      <c r="D11" s="102">
        <v>165</v>
      </c>
      <c r="E11" s="109">
        <f>SUM(E55:I56)</f>
        <v>325300</v>
      </c>
      <c r="F11" s="109">
        <f>SUM(E53:I54)</f>
        <v>11</v>
      </c>
      <c r="G11" s="110">
        <f>C11+E11</f>
        <v>2565300</v>
      </c>
      <c r="H11" s="110">
        <f>D11+F11</f>
        <v>176</v>
      </c>
      <c r="I11" s="111">
        <f>G11/H11</f>
        <v>14575.568181818182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29</v>
      </c>
      <c r="D13" s="23"/>
      <c r="E13" s="22"/>
      <c r="F13" s="24"/>
      <c r="G13" s="25"/>
      <c r="H13" s="23"/>
      <c r="I13" s="26">
        <f>C13-D13-D14*1/2-E13-E14*1/2+F13-H13-H14*1/2-I14*1/2</f>
        <v>28.5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28</v>
      </c>
      <c r="D15" s="29"/>
      <c r="E15" s="30">
        <v>1</v>
      </c>
      <c r="F15" s="34"/>
      <c r="G15" s="25"/>
      <c r="H15" s="29">
        <v>4</v>
      </c>
      <c r="I15" s="35">
        <f>C15-D15-D16*1/2-E15-E16*1/2+F15-H15-H16*1/2-I16*1/2</f>
        <v>23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24</v>
      </c>
      <c r="D17" s="29"/>
      <c r="E17" s="30"/>
      <c r="F17" s="34"/>
      <c r="G17" s="118"/>
      <c r="H17" s="29"/>
      <c r="I17" s="37">
        <f>C17-D17-D18*1/2-E17-E18*1/2+F17-H17-H18*1/2-I18*1/2</f>
        <v>23.5</v>
      </c>
    </row>
    <row r="18" spans="1:9" ht="17.25" customHeight="1" x14ac:dyDescent="0.3">
      <c r="A18" s="358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>
        <v>1</v>
      </c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8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60</v>
      </c>
      <c r="D21" s="41"/>
      <c r="E21" s="42"/>
      <c r="F21" s="43"/>
      <c r="G21" s="44"/>
      <c r="H21" s="43"/>
      <c r="I21" s="45">
        <f t="shared" ref="I21:I48" si="0">C21-D21-E21+F21-H21</f>
        <v>60</v>
      </c>
    </row>
    <row r="22" spans="1:9" ht="17.25" customHeight="1" x14ac:dyDescent="0.3">
      <c r="A22" s="358"/>
      <c r="B22" s="21" t="s">
        <v>32</v>
      </c>
      <c r="C22" s="46">
        <v>27</v>
      </c>
      <c r="D22" s="23"/>
      <c r="E22" s="47">
        <v>1</v>
      </c>
      <c r="F22" s="48"/>
      <c r="G22" s="25"/>
      <c r="H22" s="48">
        <v>4</v>
      </c>
      <c r="I22" s="49">
        <f t="shared" si="0"/>
        <v>22</v>
      </c>
    </row>
    <row r="23" spans="1:9" ht="17.25" customHeight="1" x14ac:dyDescent="0.3">
      <c r="A23" s="358"/>
      <c r="B23" s="27" t="s">
        <v>33</v>
      </c>
      <c r="C23" s="33">
        <v>127</v>
      </c>
      <c r="D23" s="29"/>
      <c r="E23" s="50">
        <v>4</v>
      </c>
      <c r="F23" s="51"/>
      <c r="G23" s="25"/>
      <c r="H23" s="51">
        <v>6</v>
      </c>
      <c r="I23" s="52">
        <f>C23-D23-D24-E23-E24+F23+F24-H23-H24-I24</f>
        <v>116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27</v>
      </c>
      <c r="D25" s="23"/>
      <c r="E25" s="47"/>
      <c r="F25" s="48"/>
      <c r="G25" s="112"/>
      <c r="H25" s="48">
        <v>6</v>
      </c>
      <c r="I25" s="49">
        <f t="shared" si="0"/>
        <v>21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38</v>
      </c>
      <c r="D27" s="23"/>
      <c r="E27" s="47"/>
      <c r="F27" s="48"/>
      <c r="G27" s="112"/>
      <c r="H27" s="48">
        <v>18</v>
      </c>
      <c r="I27" s="49">
        <f t="shared" si="0"/>
        <v>20</v>
      </c>
    </row>
    <row r="28" spans="1:9" ht="17.25" customHeight="1" x14ac:dyDescent="0.3">
      <c r="A28" s="358"/>
      <c r="B28" s="160" t="s">
        <v>38</v>
      </c>
      <c r="C28" s="55">
        <v>30</v>
      </c>
      <c r="D28" s="41"/>
      <c r="E28" s="42"/>
      <c r="F28" s="43"/>
      <c r="G28" s="113"/>
      <c r="H28" s="43">
        <v>7</v>
      </c>
      <c r="I28" s="45">
        <f t="shared" si="0"/>
        <v>23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63</v>
      </c>
      <c r="D30" s="29"/>
      <c r="E30" s="50"/>
      <c r="F30" s="51"/>
      <c r="G30" s="25"/>
      <c r="H30" s="51"/>
      <c r="I30" s="52">
        <f>C30-D30-D31-E30-E31+F30+F31-H30-H31-I31</f>
        <v>62</v>
      </c>
    </row>
    <row r="31" spans="1:9" ht="17.25" customHeight="1" x14ac:dyDescent="0.3">
      <c r="A31" s="358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>
        <v>5</v>
      </c>
      <c r="F35" s="48"/>
      <c r="G35" s="116"/>
      <c r="H35" s="48"/>
      <c r="I35" s="282">
        <v>27</v>
      </c>
    </row>
    <row r="36" spans="1:9" ht="17.25" customHeight="1" x14ac:dyDescent="0.3">
      <c r="A36" s="358"/>
      <c r="B36" s="153" t="s">
        <v>80</v>
      </c>
      <c r="C36" s="121">
        <v>21</v>
      </c>
      <c r="D36" s="122"/>
      <c r="E36" s="123"/>
      <c r="F36" s="124"/>
      <c r="G36" s="112"/>
      <c r="H36" s="124"/>
      <c r="I36" s="52">
        <f>C36-D36-E36+F36-H36</f>
        <v>21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1</v>
      </c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23</v>
      </c>
      <c r="D46" s="23"/>
      <c r="E46" s="47"/>
      <c r="F46" s="48"/>
      <c r="G46" s="116"/>
      <c r="H46" s="48"/>
      <c r="I46" s="49">
        <f t="shared" si="0"/>
        <v>23</v>
      </c>
    </row>
    <row r="47" spans="1:9" ht="17.25" customHeight="1" x14ac:dyDescent="0.3">
      <c r="A47" s="358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543</v>
      </c>
      <c r="D51" s="66">
        <f>SUM(D13:D46)</f>
        <v>1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45</v>
      </c>
      <c r="I51" s="70">
        <f>SUM(I13:I46)</f>
        <v>509.5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6</v>
      </c>
      <c r="F53" s="347">
        <v>1</v>
      </c>
      <c r="G53" s="347">
        <v>3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119200</v>
      </c>
      <c r="F55" s="355">
        <v>32500</v>
      </c>
      <c r="G55" s="355">
        <v>22400</v>
      </c>
      <c r="H55" s="347"/>
      <c r="I55" s="341">
        <v>151200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660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661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662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663</v>
      </c>
      <c r="D60" s="329"/>
      <c r="E60" s="329"/>
      <c r="F60" s="329"/>
      <c r="G60" s="329"/>
      <c r="H60" s="329"/>
      <c r="I60" s="330"/>
    </row>
    <row r="61" spans="1:10" s="76" customFormat="1" ht="32.25" customHeight="1" x14ac:dyDescent="0.3">
      <c r="A61" s="306" t="s">
        <v>73</v>
      </c>
      <c r="B61" s="307"/>
      <c r="C61" s="340" t="s">
        <v>643</v>
      </c>
      <c r="D61" s="402"/>
      <c r="E61" s="402"/>
      <c r="F61" s="402"/>
      <c r="G61" s="402"/>
      <c r="H61" s="402"/>
      <c r="I61" s="406"/>
    </row>
    <row r="62" spans="1:10" s="76" customFormat="1" ht="17.25" customHeight="1" x14ac:dyDescent="0.3">
      <c r="A62" s="308"/>
      <c r="B62" s="309"/>
      <c r="C62" s="407" t="s">
        <v>653</v>
      </c>
      <c r="D62" s="408"/>
      <c r="E62" s="408"/>
      <c r="F62" s="408"/>
      <c r="G62" s="408"/>
      <c r="H62" s="408"/>
      <c r="I62" s="409"/>
    </row>
    <row r="63" spans="1:10" s="76" customFormat="1" ht="17.25" customHeight="1" x14ac:dyDescent="0.3">
      <c r="A63" s="308"/>
      <c r="B63" s="30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x14ac:dyDescent="0.3">
      <c r="A64" s="308"/>
      <c r="B64" s="309"/>
      <c r="C64" s="403" t="s">
        <v>654</v>
      </c>
      <c r="D64" s="404"/>
      <c r="E64" s="404"/>
      <c r="F64" s="404"/>
      <c r="G64" s="404"/>
      <c r="H64" s="404"/>
      <c r="I64" s="405"/>
    </row>
    <row r="65" spans="1:9" s="76" customFormat="1" ht="17.25" customHeight="1" thickBot="1" x14ac:dyDescent="0.35">
      <c r="A65" s="310"/>
      <c r="B65" s="311"/>
      <c r="C65" s="329" t="s">
        <v>657</v>
      </c>
      <c r="D65" s="329"/>
      <c r="E65" s="329"/>
      <c r="F65" s="329"/>
      <c r="G65" s="329"/>
      <c r="H65" s="329"/>
      <c r="I65" s="330"/>
    </row>
    <row r="66" spans="1:9" s="76" customFormat="1" ht="17.25" customHeight="1" x14ac:dyDescent="0.3">
      <c r="A66" s="333" t="s">
        <v>46</v>
      </c>
      <c r="B66" s="336" t="s">
        <v>47</v>
      </c>
      <c r="C66" s="323" t="s">
        <v>656</v>
      </c>
      <c r="D66" s="323"/>
      <c r="E66" s="323"/>
      <c r="F66" s="323"/>
      <c r="G66" s="323"/>
      <c r="H66" s="323"/>
      <c r="I66" s="324"/>
    </row>
    <row r="67" spans="1:9" s="76" customFormat="1" ht="17.25" customHeight="1" x14ac:dyDescent="0.3">
      <c r="A67" s="334"/>
      <c r="B67" s="337"/>
      <c r="C67" s="331"/>
      <c r="D67" s="331"/>
      <c r="E67" s="331"/>
      <c r="F67" s="331"/>
      <c r="G67" s="331"/>
      <c r="H67" s="331"/>
      <c r="I67" s="332"/>
    </row>
    <row r="68" spans="1:9" s="76" customFormat="1" ht="17.25" customHeight="1" x14ac:dyDescent="0.3">
      <c r="A68" s="334"/>
      <c r="B68" s="338" t="s">
        <v>48</v>
      </c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x14ac:dyDescent="0.3">
      <c r="A69" s="334"/>
      <c r="B69" s="337"/>
      <c r="C69" s="331"/>
      <c r="D69" s="331"/>
      <c r="E69" s="331"/>
      <c r="F69" s="331"/>
      <c r="G69" s="331"/>
      <c r="H69" s="331"/>
      <c r="I69" s="332"/>
    </row>
    <row r="70" spans="1:9" s="76" customFormat="1" ht="17.25" customHeight="1" thickBot="1" x14ac:dyDescent="0.35">
      <c r="A70" s="335"/>
      <c r="B70" s="339"/>
      <c r="C70" s="328"/>
      <c r="D70" s="329"/>
      <c r="E70" s="329"/>
      <c r="F70" s="329"/>
      <c r="G70" s="329"/>
      <c r="H70" s="329"/>
      <c r="I70" s="330"/>
    </row>
    <row r="71" spans="1:9" s="76" customFormat="1" ht="17.25" customHeight="1" x14ac:dyDescent="0.3">
      <c r="A71" s="306" t="s">
        <v>49</v>
      </c>
      <c r="B71" s="307"/>
      <c r="C71" s="331" t="s">
        <v>644</v>
      </c>
      <c r="D71" s="331"/>
      <c r="E71" s="331"/>
      <c r="F71" s="331"/>
      <c r="G71" s="331"/>
      <c r="H71" s="331"/>
      <c r="I71" s="332"/>
    </row>
    <row r="72" spans="1:9" s="76" customFormat="1" ht="17.25" customHeight="1" x14ac:dyDescent="0.3">
      <c r="A72" s="308"/>
      <c r="B72" s="309"/>
      <c r="C72" s="331" t="s">
        <v>652</v>
      </c>
      <c r="D72" s="331"/>
      <c r="E72" s="331"/>
      <c r="F72" s="331"/>
      <c r="G72" s="331"/>
      <c r="H72" s="331"/>
      <c r="I72" s="332"/>
    </row>
    <row r="73" spans="1:9" s="76" customFormat="1" ht="17.25" customHeight="1" thickBot="1" x14ac:dyDescent="0.35">
      <c r="A73" s="310"/>
      <c r="B73" s="311"/>
      <c r="C73" s="328" t="s">
        <v>655</v>
      </c>
      <c r="D73" s="329"/>
      <c r="E73" s="329"/>
      <c r="F73" s="329"/>
      <c r="G73" s="329"/>
      <c r="H73" s="329"/>
      <c r="I73" s="330"/>
    </row>
    <row r="74" spans="1:9" s="76" customFormat="1" ht="17.25" customHeight="1" x14ac:dyDescent="0.3">
      <c r="A74" s="306" t="s">
        <v>50</v>
      </c>
      <c r="B74" s="307"/>
      <c r="C74" s="322" t="s">
        <v>645</v>
      </c>
      <c r="D74" s="323"/>
      <c r="E74" s="323"/>
      <c r="F74" s="323"/>
      <c r="G74" s="323"/>
      <c r="H74" s="323"/>
      <c r="I74" s="324"/>
    </row>
    <row r="75" spans="1:9" s="76" customFormat="1" ht="17.25" customHeight="1" thickBot="1" x14ac:dyDescent="0.35">
      <c r="A75" s="310"/>
      <c r="B75" s="311"/>
      <c r="C75" s="325" t="s">
        <v>646</v>
      </c>
      <c r="D75" s="326"/>
      <c r="E75" s="326"/>
      <c r="F75" s="326"/>
      <c r="G75" s="326"/>
      <c r="H75" s="326"/>
      <c r="I75" s="327"/>
    </row>
    <row r="76" spans="1:9" s="76" customFormat="1" ht="17.25" customHeight="1" x14ac:dyDescent="0.3">
      <c r="A76" s="306" t="s">
        <v>51</v>
      </c>
      <c r="B76" s="307"/>
      <c r="C76" s="78" t="s">
        <v>52</v>
      </c>
      <c r="D76" s="79" t="s">
        <v>53</v>
      </c>
      <c r="E76" s="79" t="s">
        <v>54</v>
      </c>
      <c r="F76" s="79" t="s">
        <v>55</v>
      </c>
      <c r="G76" s="79" t="s">
        <v>56</v>
      </c>
      <c r="H76" s="79" t="s">
        <v>57</v>
      </c>
      <c r="I76" s="80" t="s">
        <v>58</v>
      </c>
    </row>
    <row r="77" spans="1:9" s="76" customFormat="1" ht="17.25" customHeight="1" x14ac:dyDescent="0.3">
      <c r="A77" s="81"/>
      <c r="B77" s="82" t="s">
        <v>59</v>
      </c>
      <c r="C77" s="83" t="s">
        <v>647</v>
      </c>
      <c r="D77" s="159"/>
      <c r="E77" s="159"/>
      <c r="F77" s="159"/>
      <c r="G77" s="159"/>
      <c r="H77" s="159"/>
      <c r="I77" s="162"/>
    </row>
    <row r="78" spans="1:9" s="76" customFormat="1" ht="17.25" customHeight="1" thickBot="1" x14ac:dyDescent="0.35">
      <c r="A78" s="85"/>
      <c r="B78" s="86" t="s">
        <v>60</v>
      </c>
      <c r="C78" s="87" t="s">
        <v>648</v>
      </c>
      <c r="D78" s="88"/>
      <c r="E78" s="88"/>
      <c r="F78" s="88"/>
      <c r="G78" s="88"/>
      <c r="H78" s="88"/>
      <c r="I78" s="89"/>
    </row>
    <row r="79" spans="1:9" s="76" customFormat="1" ht="17.25" customHeight="1" x14ac:dyDescent="0.3">
      <c r="A79" s="302" t="s">
        <v>61</v>
      </c>
      <c r="B79" s="303"/>
      <c r="C79" s="315" t="s">
        <v>62</v>
      </c>
      <c r="D79" s="316"/>
      <c r="E79" s="317" t="s">
        <v>63</v>
      </c>
      <c r="F79" s="316"/>
      <c r="G79" s="318" t="s">
        <v>64</v>
      </c>
      <c r="H79" s="319"/>
      <c r="I79" s="90" t="s">
        <v>65</v>
      </c>
    </row>
    <row r="80" spans="1:9" s="76" customFormat="1" ht="17.25" customHeight="1" thickBot="1" x14ac:dyDescent="0.35">
      <c r="A80" s="304"/>
      <c r="B80" s="305"/>
      <c r="C80" s="92">
        <v>0.25</v>
      </c>
      <c r="D80" s="93" t="s">
        <v>649</v>
      </c>
      <c r="E80" s="94">
        <v>0.8125</v>
      </c>
      <c r="F80" s="93" t="s">
        <v>650</v>
      </c>
      <c r="G80" s="320" t="s">
        <v>651</v>
      </c>
      <c r="H80" s="321"/>
      <c r="I80" s="95" t="s">
        <v>651</v>
      </c>
    </row>
    <row r="81" spans="1:9" s="76" customFormat="1" ht="17.25" customHeight="1" x14ac:dyDescent="0.3">
      <c r="A81" s="2"/>
      <c r="B81" s="2"/>
      <c r="C81" s="2"/>
      <c r="D81" s="2"/>
      <c r="E81" s="2"/>
      <c r="F81" s="2"/>
      <c r="G81" s="97"/>
      <c r="H81" s="299" t="s">
        <v>66</v>
      </c>
      <c r="I81" s="299"/>
    </row>
    <row r="82" spans="1:9" s="76" customFormat="1" ht="17.25" customHeight="1" x14ac:dyDescent="0.3"/>
    <row r="83" spans="1:9" s="76" customFormat="1" ht="17.25" customHeight="1" x14ac:dyDescent="0.3"/>
    <row r="84" spans="1:9" ht="17.25" customHeight="1" x14ac:dyDescent="0.3"/>
    <row r="85" spans="1:9" ht="17.25" customHeight="1" x14ac:dyDescent="0.3"/>
    <row r="86" spans="1:9" ht="17.25" customHeight="1" x14ac:dyDescent="0.3"/>
    <row r="87" spans="1:9" ht="17.25" customHeight="1" x14ac:dyDescent="0.3"/>
    <row r="88" spans="1:9" ht="17.25" customHeight="1" x14ac:dyDescent="0.3"/>
    <row r="89" spans="1:9" ht="17.25" customHeight="1" x14ac:dyDescent="0.3"/>
  </sheetData>
  <mergeCells count="66">
    <mergeCell ref="C64:I64"/>
    <mergeCell ref="A57:B60"/>
    <mergeCell ref="C57:I57"/>
    <mergeCell ref="C58:I58"/>
    <mergeCell ref="A61:B65"/>
    <mergeCell ref="C59:I59"/>
    <mergeCell ref="C60:I60"/>
    <mergeCell ref="C61:I61"/>
    <mergeCell ref="C65:I65"/>
    <mergeCell ref="C62:I63"/>
    <mergeCell ref="A66:A70"/>
    <mergeCell ref="B66:B67"/>
    <mergeCell ref="B68:B70"/>
    <mergeCell ref="C68:I68"/>
    <mergeCell ref="C69:I69"/>
    <mergeCell ref="C70:I70"/>
    <mergeCell ref="C66:I66"/>
    <mergeCell ref="C67:I67"/>
    <mergeCell ref="H81:I81"/>
    <mergeCell ref="C73:I73"/>
    <mergeCell ref="C74:I74"/>
    <mergeCell ref="C75:I75"/>
    <mergeCell ref="A74:B75"/>
    <mergeCell ref="A76:B76"/>
    <mergeCell ref="A79:B80"/>
    <mergeCell ref="C79:D79"/>
    <mergeCell ref="E79:F79"/>
    <mergeCell ref="G79:H79"/>
    <mergeCell ref="G80:H80"/>
    <mergeCell ref="A71:B73"/>
    <mergeCell ref="C71:I71"/>
    <mergeCell ref="C72:I7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3" zoomScale="90" zoomScaleNormal="90" workbookViewId="0">
      <selection activeCell="C59" sqref="C59:I5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664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665</v>
      </c>
      <c r="D3" s="5" t="s">
        <v>4</v>
      </c>
      <c r="E3" s="379"/>
      <c r="F3" s="386" t="s">
        <v>666</v>
      </c>
      <c r="G3" s="387"/>
      <c r="H3" s="388">
        <f>G11+'23일'!H3:I3</f>
        <v>50601710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667</v>
      </c>
      <c r="F6" s="15" t="s">
        <v>669</v>
      </c>
      <c r="G6" s="16" t="s">
        <v>668</v>
      </c>
      <c r="H6" s="17">
        <v>0.45</v>
      </c>
      <c r="I6" s="18">
        <v>0.4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2075600</v>
      </c>
      <c r="D11" s="102">
        <v>151</v>
      </c>
      <c r="E11" s="109">
        <f>SUM(E55:I56)</f>
        <v>240300</v>
      </c>
      <c r="F11" s="109">
        <f>SUM(E53:I54)</f>
        <v>12</v>
      </c>
      <c r="G11" s="110">
        <f>C11+E11</f>
        <v>2315900</v>
      </c>
      <c r="H11" s="110">
        <f>D11+F11</f>
        <v>163</v>
      </c>
      <c r="I11" s="111">
        <f>G11/H11</f>
        <v>14207.9754601227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220</v>
      </c>
      <c r="D13" s="23"/>
      <c r="E13" s="22"/>
      <c r="F13" s="24"/>
      <c r="G13" s="25"/>
      <c r="H13" s="23"/>
      <c r="I13" s="26">
        <f>C13-D13-D14*1/2-E13-E14*1/2+F13-H13-H14*1/2-I14*1/2</f>
        <v>219.5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20</v>
      </c>
      <c r="D15" s="29"/>
      <c r="E15" s="30"/>
      <c r="F15" s="34"/>
      <c r="G15" s="25"/>
      <c r="H15" s="29"/>
      <c r="I15" s="35">
        <f>C15-D15-D16*1/2-E15-E16*1/2+F15-H15-H16*1/2-I16*1/2</f>
        <v>19.5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11</v>
      </c>
      <c r="D19" s="29"/>
      <c r="E19" s="30"/>
      <c r="F19" s="34"/>
      <c r="G19" s="25"/>
      <c r="H19" s="29"/>
      <c r="I19" s="35">
        <f>C19-D19-D20*1/2-E19-E20*1/2+F19-H19-H20*1/2-I20*1/2</f>
        <v>10.5</v>
      </c>
    </row>
    <row r="20" spans="1:9" ht="17.25" customHeight="1" x14ac:dyDescent="0.3">
      <c r="A20" s="358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78</v>
      </c>
      <c r="D21" s="41"/>
      <c r="E21" s="42">
        <v>1</v>
      </c>
      <c r="F21" s="43"/>
      <c r="G21" s="44"/>
      <c r="H21" s="43"/>
      <c r="I21" s="45">
        <f t="shared" ref="I21:I48" si="0">C21-D21-E21+F21-H21</f>
        <v>77</v>
      </c>
    </row>
    <row r="22" spans="1:9" ht="17.25" customHeight="1" x14ac:dyDescent="0.3">
      <c r="A22" s="358"/>
      <c r="B22" s="21" t="s">
        <v>32</v>
      </c>
      <c r="C22" s="46">
        <v>26</v>
      </c>
      <c r="D22" s="23"/>
      <c r="E22" s="47"/>
      <c r="F22" s="48"/>
      <c r="G22" s="25"/>
      <c r="H22" s="48"/>
      <c r="I22" s="49">
        <f t="shared" si="0"/>
        <v>26</v>
      </c>
    </row>
    <row r="23" spans="1:9" ht="17.25" customHeight="1" x14ac:dyDescent="0.3">
      <c r="A23" s="358"/>
      <c r="B23" s="27" t="s">
        <v>33</v>
      </c>
      <c r="C23" s="33">
        <v>131</v>
      </c>
      <c r="D23" s="29"/>
      <c r="E23" s="50">
        <v>4</v>
      </c>
      <c r="F23" s="51"/>
      <c r="G23" s="25"/>
      <c r="H23" s="51"/>
      <c r="I23" s="52">
        <f>C23-D23-D24-E23-E24+F23+F24-H23-H24-I24</f>
        <v>126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19</v>
      </c>
      <c r="D27" s="23"/>
      <c r="E27" s="47"/>
      <c r="F27" s="48"/>
      <c r="G27" s="112"/>
      <c r="H27" s="48"/>
      <c r="I27" s="49">
        <f t="shared" si="0"/>
        <v>19</v>
      </c>
    </row>
    <row r="28" spans="1:9" ht="17.25" customHeight="1" x14ac:dyDescent="0.3">
      <c r="A28" s="358"/>
      <c r="B28" s="160" t="s">
        <v>38</v>
      </c>
      <c r="C28" s="55">
        <v>23</v>
      </c>
      <c r="D28" s="41"/>
      <c r="E28" s="42">
        <v>1</v>
      </c>
      <c r="F28" s="43"/>
      <c r="G28" s="113"/>
      <c r="H28" s="43"/>
      <c r="I28" s="45">
        <f t="shared" si="0"/>
        <v>22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63</v>
      </c>
      <c r="D30" s="29">
        <v>16</v>
      </c>
      <c r="E30" s="50"/>
      <c r="F30" s="51"/>
      <c r="G30" s="25"/>
      <c r="H30" s="51"/>
      <c r="I30" s="52">
        <f>C30-D30-D31-E30-E31+F30+F31-H30-H31-I31</f>
        <v>47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5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34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8"/>
      <c r="B47" s="120" t="s">
        <v>88</v>
      </c>
      <c r="C47" s="121">
        <v>7</v>
      </c>
      <c r="D47" s="122"/>
      <c r="E47" s="123"/>
      <c r="F47" s="124"/>
      <c r="G47" s="112"/>
      <c r="H47" s="124"/>
      <c r="I47" s="52">
        <f t="shared" si="0"/>
        <v>7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697</v>
      </c>
      <c r="D51" s="66">
        <f>SUM(D13:D46)</f>
        <v>17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703.5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6</v>
      </c>
      <c r="F53" s="347">
        <v>1</v>
      </c>
      <c r="G53" s="347">
        <v>4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119200</v>
      </c>
      <c r="F55" s="355">
        <v>32500</v>
      </c>
      <c r="G55" s="355">
        <v>38200</v>
      </c>
      <c r="H55" s="347"/>
      <c r="I55" s="341">
        <v>50400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685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682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683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684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5" t="s">
        <v>671</v>
      </c>
      <c r="D61" s="326"/>
      <c r="E61" s="326"/>
      <c r="F61" s="326"/>
      <c r="G61" s="326"/>
      <c r="H61" s="326"/>
      <c r="I61" s="327"/>
    </row>
    <row r="62" spans="1:10" s="76" customFormat="1" ht="17.25" customHeight="1" x14ac:dyDescent="0.3">
      <c r="A62" s="308"/>
      <c r="B62" s="309"/>
      <c r="C62" s="284" t="s">
        <v>680</v>
      </c>
      <c r="D62" s="285"/>
      <c r="E62" s="285"/>
      <c r="F62" s="285"/>
      <c r="G62" s="285"/>
      <c r="H62" s="285"/>
      <c r="I62" s="286"/>
    </row>
    <row r="63" spans="1:10" s="76" customFormat="1" ht="17.25" customHeight="1" x14ac:dyDescent="0.3">
      <c r="A63" s="308"/>
      <c r="B63" s="309"/>
      <c r="C63" s="325" t="s">
        <v>681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670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672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673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674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675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676</v>
      </c>
      <c r="E79" s="94">
        <v>0.8125</v>
      </c>
      <c r="F79" s="93" t="s">
        <v>677</v>
      </c>
      <c r="G79" s="320" t="s">
        <v>678</v>
      </c>
      <c r="H79" s="321"/>
      <c r="I79" s="95" t="s">
        <v>679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16" zoomScale="90" zoomScaleNormal="90" workbookViewId="0">
      <selection activeCell="G23" sqref="G2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686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687</v>
      </c>
      <c r="D3" s="5" t="s">
        <v>4</v>
      </c>
      <c r="E3" s="379"/>
      <c r="F3" s="386" t="s">
        <v>688</v>
      </c>
      <c r="G3" s="387"/>
      <c r="H3" s="388">
        <f>G11+'24일'!H3:I3</f>
        <v>52550610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689</v>
      </c>
      <c r="F6" s="15" t="s">
        <v>690</v>
      </c>
      <c r="G6" s="16" t="s">
        <v>698</v>
      </c>
      <c r="H6" s="17">
        <v>0.63</v>
      </c>
      <c r="I6" s="18">
        <v>0.38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1704400</v>
      </c>
      <c r="D11" s="102">
        <v>135</v>
      </c>
      <c r="E11" s="109">
        <f>SUM(E55:I56)</f>
        <v>244500</v>
      </c>
      <c r="F11" s="109">
        <f>SUM(E53:I54)</f>
        <v>8</v>
      </c>
      <c r="G11" s="110">
        <f>C11+E11</f>
        <v>1948900</v>
      </c>
      <c r="H11" s="110">
        <f>D11+F11</f>
        <v>143</v>
      </c>
      <c r="I11" s="111">
        <f>G11/H11</f>
        <v>13628.671328671329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>
        <v>1</v>
      </c>
      <c r="F13" s="24"/>
      <c r="G13" s="25"/>
      <c r="H13" s="23"/>
      <c r="I13" s="26">
        <f>C13-D13-D14*1/2-E13-E14*1/2+F13-H13-H14*1/2-I14*1/2</f>
        <v>19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19</v>
      </c>
      <c r="D15" s="29"/>
      <c r="E15" s="30"/>
      <c r="F15" s="34"/>
      <c r="G15" s="25"/>
      <c r="H15" s="29">
        <v>9</v>
      </c>
      <c r="I15" s="35">
        <f>C15-D15-D16*1/2-E15-E16*1/2+F15-H15-H16*1/2-I16*1/2</f>
        <v>10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28</v>
      </c>
      <c r="D17" s="29"/>
      <c r="E17" s="30">
        <v>1</v>
      </c>
      <c r="F17" s="34"/>
      <c r="G17" s="118"/>
      <c r="H17" s="29"/>
      <c r="I17" s="37">
        <f>C17-D17-D18*1/2-E17-E18*1/2+F17-H17-H18*1/2-I18*1/2</f>
        <v>27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12</v>
      </c>
      <c r="D19" s="29"/>
      <c r="E19" s="30"/>
      <c r="F19" s="34"/>
      <c r="G19" s="25"/>
      <c r="H19" s="29">
        <v>3</v>
      </c>
      <c r="I19" s="35">
        <f>C19-D19-D20*1/2-E19-E20*1/2+F19-H19-H20*1/2-I20*1/2</f>
        <v>9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75</v>
      </c>
      <c r="D21" s="41"/>
      <c r="E21" s="42">
        <v>3</v>
      </c>
      <c r="F21" s="43"/>
      <c r="G21" s="44"/>
      <c r="H21" s="43">
        <v>7</v>
      </c>
      <c r="I21" s="45">
        <f t="shared" ref="I21:I48" si="0">C21-D21-E21+F21-H21</f>
        <v>65</v>
      </c>
    </row>
    <row r="22" spans="1:9" ht="17.25" customHeight="1" x14ac:dyDescent="0.3">
      <c r="A22" s="358"/>
      <c r="B22" s="21" t="s">
        <v>32</v>
      </c>
      <c r="C22" s="46">
        <v>35</v>
      </c>
      <c r="D22" s="23"/>
      <c r="E22" s="47">
        <v>1</v>
      </c>
      <c r="F22" s="48"/>
      <c r="G22" s="25"/>
      <c r="H22" s="48">
        <v>10</v>
      </c>
      <c r="I22" s="49">
        <f t="shared" si="0"/>
        <v>24</v>
      </c>
    </row>
    <row r="23" spans="1:9" ht="17.25" customHeight="1" x14ac:dyDescent="0.3">
      <c r="A23" s="358"/>
      <c r="B23" s="27" t="s">
        <v>33</v>
      </c>
      <c r="C23" s="33">
        <v>102</v>
      </c>
      <c r="D23" s="29">
        <v>8</v>
      </c>
      <c r="E23" s="50">
        <v>6</v>
      </c>
      <c r="F23" s="51"/>
      <c r="G23" s="25"/>
      <c r="H23" s="51">
        <v>20</v>
      </c>
      <c r="I23" s="52">
        <f>C23-D23-D24-E23-E24+F23+F24-H23-H24-I24</f>
        <v>54</v>
      </c>
    </row>
    <row r="24" spans="1:9" ht="17.25" customHeight="1" x14ac:dyDescent="0.3">
      <c r="A24" s="358"/>
      <c r="B24" s="160" t="s">
        <v>34</v>
      </c>
      <c r="C24" s="53"/>
      <c r="D24" s="41">
        <v>12</v>
      </c>
      <c r="E24" s="42">
        <v>2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23</v>
      </c>
      <c r="D25" s="23"/>
      <c r="E25" s="47"/>
      <c r="F25" s="48"/>
      <c r="G25" s="112"/>
      <c r="H25" s="48">
        <v>4</v>
      </c>
      <c r="I25" s="49">
        <f t="shared" si="0"/>
        <v>19</v>
      </c>
    </row>
    <row r="26" spans="1:9" ht="17.25" customHeight="1" x14ac:dyDescent="0.3">
      <c r="A26" s="358"/>
      <c r="B26" s="160" t="s">
        <v>36</v>
      </c>
      <c r="C26" s="55">
        <v>21</v>
      </c>
      <c r="D26" s="41"/>
      <c r="E26" s="42"/>
      <c r="F26" s="43"/>
      <c r="G26" s="113"/>
      <c r="H26" s="43">
        <v>4</v>
      </c>
      <c r="I26" s="45">
        <f t="shared" si="0"/>
        <v>17</v>
      </c>
    </row>
    <row r="27" spans="1:9" ht="17.25" customHeight="1" x14ac:dyDescent="0.3">
      <c r="A27" s="358"/>
      <c r="B27" s="21" t="s">
        <v>37</v>
      </c>
      <c r="C27" s="46">
        <v>27</v>
      </c>
      <c r="D27" s="23"/>
      <c r="E27" s="47">
        <v>1</v>
      </c>
      <c r="F27" s="48"/>
      <c r="G27" s="112"/>
      <c r="H27" s="48">
        <v>4</v>
      </c>
      <c r="I27" s="49">
        <f t="shared" si="0"/>
        <v>22</v>
      </c>
    </row>
    <row r="28" spans="1:9" ht="17.25" customHeight="1" x14ac:dyDescent="0.3">
      <c r="A28" s="358"/>
      <c r="B28" s="160" t="s">
        <v>38</v>
      </c>
      <c r="C28" s="55">
        <v>38</v>
      </c>
      <c r="D28" s="41"/>
      <c r="E28" s="42">
        <v>4</v>
      </c>
      <c r="F28" s="43"/>
      <c r="G28" s="113"/>
      <c r="H28" s="43">
        <v>17</v>
      </c>
      <c r="I28" s="45">
        <f t="shared" si="0"/>
        <v>17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58"/>
      <c r="B30" s="56" t="s">
        <v>40</v>
      </c>
      <c r="C30" s="57">
        <v>61</v>
      </c>
      <c r="D30" s="29"/>
      <c r="E30" s="50"/>
      <c r="F30" s="51"/>
      <c r="G30" s="25"/>
      <c r="H30" s="51">
        <v>14</v>
      </c>
      <c r="I30" s="52">
        <f>C30-D30-D31-E30-E31+F30+F31-H30-H31-I31</f>
        <v>47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>
        <v>1</v>
      </c>
      <c r="F36" s="124"/>
      <c r="G36" s="112"/>
      <c r="H36" s="124">
        <v>6</v>
      </c>
      <c r="I36" s="52">
        <f>C36-D36-E36+F36-H36</f>
        <v>13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11</v>
      </c>
      <c r="D46" s="23"/>
      <c r="E46" s="47"/>
      <c r="F46" s="48"/>
      <c r="G46" s="116"/>
      <c r="H46" s="48"/>
      <c r="I46" s="49">
        <f t="shared" si="0"/>
        <v>11</v>
      </c>
    </row>
    <row r="47" spans="1:9" ht="17.25" customHeight="1" x14ac:dyDescent="0.3">
      <c r="A47" s="358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506</v>
      </c>
      <c r="D51" s="66">
        <f>SUM(D13:D46)</f>
        <v>20</v>
      </c>
      <c r="E51" s="67">
        <f>SUM(E13:E46)</f>
        <v>20</v>
      </c>
      <c r="F51" s="67">
        <f>SUM(F13:F46)</f>
        <v>0</v>
      </c>
      <c r="G51" s="68" t="s">
        <v>22</v>
      </c>
      <c r="H51" s="69">
        <f>SUM(H13:H46)</f>
        <v>99</v>
      </c>
      <c r="I51" s="70">
        <f>SUM(I13:I46)</f>
        <v>358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/>
      <c r="F53" s="347">
        <v>2</v>
      </c>
      <c r="G53" s="347">
        <v>5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/>
      <c r="F55" s="355">
        <v>43400</v>
      </c>
      <c r="G55" s="355">
        <v>57100</v>
      </c>
      <c r="H55" s="347"/>
      <c r="I55" s="341">
        <v>144000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702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703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704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/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697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700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720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699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701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691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692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693</v>
      </c>
      <c r="E79" s="94">
        <v>0.8125</v>
      </c>
      <c r="F79" s="93" t="s">
        <v>694</v>
      </c>
      <c r="G79" s="320" t="s">
        <v>695</v>
      </c>
      <c r="H79" s="321"/>
      <c r="I79" s="95" t="s">
        <v>696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9"/>
  <sheetViews>
    <sheetView topLeftCell="A43" zoomScale="90" zoomScaleNormal="90" workbookViewId="0">
      <selection activeCell="L60" sqref="L6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705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706</v>
      </c>
      <c r="D3" s="5" t="s">
        <v>4</v>
      </c>
      <c r="E3" s="379"/>
      <c r="F3" s="386" t="s">
        <v>707</v>
      </c>
      <c r="G3" s="387"/>
      <c r="H3" s="388">
        <f>G11+'25일'!H3:I3</f>
        <v>55730010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708</v>
      </c>
      <c r="F6" s="15" t="s">
        <v>717</v>
      </c>
      <c r="G6" s="16" t="s">
        <v>709</v>
      </c>
      <c r="H6" s="17">
        <v>0.45</v>
      </c>
      <c r="I6" s="18">
        <v>0.42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3080900</v>
      </c>
      <c r="D11" s="102">
        <v>176</v>
      </c>
      <c r="E11" s="109">
        <f>SUM(E55:I56)</f>
        <v>98500</v>
      </c>
      <c r="F11" s="109">
        <f>SUM(E53:I54)</f>
        <v>8</v>
      </c>
      <c r="G11" s="110">
        <f>C11+E11</f>
        <v>3179400</v>
      </c>
      <c r="H11" s="110">
        <f>D11+F11</f>
        <v>184</v>
      </c>
      <c r="I11" s="111">
        <f>G11/H11</f>
        <v>17279.347826086956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29</v>
      </c>
      <c r="D13" s="23"/>
      <c r="E13" s="22"/>
      <c r="F13" s="24"/>
      <c r="G13" s="25"/>
      <c r="H13" s="23"/>
      <c r="I13" s="26">
        <f>C13-D13-D14*1/2-E13-E14*1/2+F13-H13-H14*1/2-I14*1/2</f>
        <v>28.5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27</v>
      </c>
      <c r="D15" s="29"/>
      <c r="E15" s="30"/>
      <c r="F15" s="34"/>
      <c r="G15" s="25"/>
      <c r="H15" s="29">
        <v>10</v>
      </c>
      <c r="I15" s="35">
        <f>C15-D15-D16*1/2-E15-E16*1/2+F15-H15-H16*1/2-I16*1/2</f>
        <v>16.5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30</v>
      </c>
      <c r="D17" s="29"/>
      <c r="E17" s="30"/>
      <c r="F17" s="34"/>
      <c r="G17" s="118"/>
      <c r="H17" s="29"/>
      <c r="I17" s="37">
        <f>C17-D17-D18*1/2-E17-E18*1/2+F17-H17-H18*1/2-I18*1/2</f>
        <v>30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58"/>
      <c r="B21" s="39" t="s">
        <v>31</v>
      </c>
      <c r="C21" s="40">
        <v>81</v>
      </c>
      <c r="D21" s="41"/>
      <c r="E21" s="42"/>
      <c r="F21" s="43"/>
      <c r="G21" s="44"/>
      <c r="H21" s="43"/>
      <c r="I21" s="45">
        <f t="shared" ref="I21:I48" si="0">C21-D21-E21+F21-H21</f>
        <v>81</v>
      </c>
    </row>
    <row r="22" spans="1:9" ht="17.25" customHeight="1" x14ac:dyDescent="0.3">
      <c r="A22" s="358"/>
      <c r="B22" s="21" t="s">
        <v>32</v>
      </c>
      <c r="C22" s="46">
        <v>27</v>
      </c>
      <c r="D22" s="23"/>
      <c r="E22" s="47"/>
      <c r="F22" s="48"/>
      <c r="G22" s="25"/>
      <c r="H22" s="48"/>
      <c r="I22" s="49">
        <f t="shared" si="0"/>
        <v>27</v>
      </c>
    </row>
    <row r="23" spans="1:9" ht="17.25" customHeight="1" x14ac:dyDescent="0.3">
      <c r="A23" s="358"/>
      <c r="B23" s="27" t="s">
        <v>33</v>
      </c>
      <c r="C23" s="33">
        <v>170</v>
      </c>
      <c r="D23" s="29"/>
      <c r="E23" s="50">
        <v>3</v>
      </c>
      <c r="F23" s="51"/>
      <c r="G23" s="25"/>
      <c r="H23" s="51">
        <v>7</v>
      </c>
      <c r="I23" s="52">
        <f>C23-D23-D24-E23-E24+F23+F24-H23-H24-I24</f>
        <v>134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2</v>
      </c>
      <c r="F24" s="43"/>
      <c r="G24" s="113"/>
      <c r="H24" s="43">
        <v>24</v>
      </c>
      <c r="I24" s="54"/>
    </row>
    <row r="25" spans="1:9" ht="17.25" customHeight="1" x14ac:dyDescent="0.3">
      <c r="A25" s="358"/>
      <c r="B25" s="21" t="s">
        <v>35</v>
      </c>
      <c r="C25" s="46">
        <v>22</v>
      </c>
      <c r="D25" s="23"/>
      <c r="E25" s="47"/>
      <c r="F25" s="48"/>
      <c r="G25" s="112"/>
      <c r="H25" s="48"/>
      <c r="I25" s="49">
        <f t="shared" si="0"/>
        <v>22</v>
      </c>
    </row>
    <row r="26" spans="1:9" ht="17.25" customHeight="1" x14ac:dyDescent="0.3">
      <c r="A26" s="358"/>
      <c r="B26" s="160" t="s">
        <v>36</v>
      </c>
      <c r="C26" s="55">
        <v>43</v>
      </c>
      <c r="D26" s="41"/>
      <c r="E26" s="42"/>
      <c r="F26" s="43"/>
      <c r="G26" s="113"/>
      <c r="H26" s="43"/>
      <c r="I26" s="45">
        <f t="shared" si="0"/>
        <v>43</v>
      </c>
    </row>
    <row r="27" spans="1:9" ht="17.25" customHeight="1" x14ac:dyDescent="0.3">
      <c r="A27" s="358"/>
      <c r="B27" s="21" t="s">
        <v>37</v>
      </c>
      <c r="C27" s="46">
        <v>27</v>
      </c>
      <c r="D27" s="23"/>
      <c r="E27" s="47"/>
      <c r="F27" s="48"/>
      <c r="G27" s="112"/>
      <c r="H27" s="48"/>
      <c r="I27" s="49">
        <f t="shared" si="0"/>
        <v>27</v>
      </c>
    </row>
    <row r="28" spans="1:9" ht="17.25" customHeight="1" x14ac:dyDescent="0.3">
      <c r="A28" s="358"/>
      <c r="B28" s="160" t="s">
        <v>38</v>
      </c>
      <c r="C28" s="55">
        <v>36</v>
      </c>
      <c r="D28" s="41"/>
      <c r="E28" s="42"/>
      <c r="F28" s="43"/>
      <c r="G28" s="113"/>
      <c r="H28" s="43">
        <v>5</v>
      </c>
      <c r="I28" s="45">
        <f t="shared" si="0"/>
        <v>31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61</v>
      </c>
      <c r="D30" s="29"/>
      <c r="E30" s="50"/>
      <c r="F30" s="51"/>
      <c r="G30" s="25"/>
      <c r="H30" s="51">
        <v>30</v>
      </c>
      <c r="I30" s="52">
        <f>C30-D30-D31-E30-E31+F30+F31-H30-H31-I31</f>
        <v>31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4</v>
      </c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>
        <v>44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>
        <v>1</v>
      </c>
      <c r="F36" s="124"/>
      <c r="G36" s="112"/>
      <c r="H36" s="124">
        <v>2</v>
      </c>
      <c r="I36" s="52">
        <f>C36-D36-E36+F36-H36</f>
        <v>17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>
        <v>13</v>
      </c>
      <c r="D39" s="29"/>
      <c r="E39" s="50">
        <v>1</v>
      </c>
      <c r="F39" s="51"/>
      <c r="G39" s="25"/>
      <c r="H39" s="51"/>
      <c r="I39" s="196">
        <f>C39-D39-D40*1/2-E39-E40*1/2+F39-H39-H40*1/2-I40*1/2</f>
        <v>11.5</v>
      </c>
    </row>
    <row r="40" spans="1:9" ht="17.25" customHeight="1" x14ac:dyDescent="0.3">
      <c r="A40" s="358"/>
      <c r="B40" s="178" t="s">
        <v>133</v>
      </c>
      <c r="C40" s="185"/>
      <c r="D40" s="29"/>
      <c r="E40" s="50">
        <v>1</v>
      </c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8"/>
      <c r="B47" s="120" t="s">
        <v>88</v>
      </c>
      <c r="C47" s="121">
        <v>7</v>
      </c>
      <c r="D47" s="122"/>
      <c r="E47" s="123"/>
      <c r="F47" s="124"/>
      <c r="G47" s="112"/>
      <c r="H47" s="124"/>
      <c r="I47" s="52">
        <f t="shared" si="0"/>
        <v>7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622</v>
      </c>
      <c r="D51" s="66">
        <f>SUM(D13:D46)</f>
        <v>0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79</v>
      </c>
      <c r="I51" s="70">
        <f>SUM(I13:I46)</f>
        <v>577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/>
      <c r="F53" s="347">
        <v>1</v>
      </c>
      <c r="G53" s="347">
        <v>6</v>
      </c>
      <c r="H53" s="347"/>
      <c r="I53" s="349">
        <v>1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/>
      <c r="F55" s="355">
        <v>19600</v>
      </c>
      <c r="G55" s="355">
        <v>40300</v>
      </c>
      <c r="H55" s="347"/>
      <c r="I55" s="341">
        <v>38600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784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723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725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724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410" t="s">
        <v>715</v>
      </c>
      <c r="D61" s="411"/>
      <c r="E61" s="411"/>
      <c r="F61" s="411"/>
      <c r="G61" s="411"/>
      <c r="H61" s="411"/>
      <c r="I61" s="412"/>
    </row>
    <row r="62" spans="1:10" s="76" customFormat="1" ht="17.25" customHeight="1" x14ac:dyDescent="0.3">
      <c r="A62" s="308"/>
      <c r="B62" s="309"/>
      <c r="C62" s="413"/>
      <c r="D62" s="343"/>
      <c r="E62" s="343"/>
      <c r="F62" s="343"/>
      <c r="G62" s="343"/>
      <c r="H62" s="343"/>
      <c r="I62" s="414"/>
    </row>
    <row r="63" spans="1:10" s="76" customFormat="1" ht="17.25" customHeight="1" x14ac:dyDescent="0.3">
      <c r="A63" s="308"/>
      <c r="B63" s="309"/>
      <c r="C63" s="325" t="s">
        <v>718</v>
      </c>
      <c r="D63" s="326"/>
      <c r="E63" s="326"/>
      <c r="F63" s="326"/>
      <c r="G63" s="326"/>
      <c r="H63" s="326"/>
      <c r="I63" s="327"/>
    </row>
    <row r="64" spans="1:10" s="76" customFormat="1" ht="17.25" customHeight="1" x14ac:dyDescent="0.3">
      <c r="A64" s="308"/>
      <c r="B64" s="309"/>
      <c r="C64" s="287" t="s">
        <v>721</v>
      </c>
      <c r="D64" s="287"/>
      <c r="E64" s="287"/>
      <c r="F64" s="287"/>
      <c r="G64" s="287"/>
      <c r="H64" s="287"/>
      <c r="I64" s="288"/>
    </row>
    <row r="65" spans="1:9" s="76" customFormat="1" ht="17.25" customHeight="1" thickBot="1" x14ac:dyDescent="0.35">
      <c r="A65" s="310"/>
      <c r="B65" s="311"/>
      <c r="C65" s="329" t="s">
        <v>722</v>
      </c>
      <c r="D65" s="329"/>
      <c r="E65" s="329"/>
      <c r="F65" s="329"/>
      <c r="G65" s="329"/>
      <c r="H65" s="329"/>
      <c r="I65" s="330"/>
    </row>
    <row r="66" spans="1:9" s="76" customFormat="1" ht="17.25" customHeight="1" x14ac:dyDescent="0.3">
      <c r="A66" s="333" t="s">
        <v>46</v>
      </c>
      <c r="B66" s="336" t="s">
        <v>47</v>
      </c>
      <c r="C66" s="323"/>
      <c r="D66" s="323"/>
      <c r="E66" s="323"/>
      <c r="F66" s="323"/>
      <c r="G66" s="323"/>
      <c r="H66" s="323"/>
      <c r="I66" s="324"/>
    </row>
    <row r="67" spans="1:9" s="76" customFormat="1" ht="17.25" customHeight="1" x14ac:dyDescent="0.3">
      <c r="A67" s="334"/>
      <c r="B67" s="337"/>
      <c r="C67" s="331"/>
      <c r="D67" s="331"/>
      <c r="E67" s="331"/>
      <c r="F67" s="331"/>
      <c r="G67" s="331"/>
      <c r="H67" s="331"/>
      <c r="I67" s="332"/>
    </row>
    <row r="68" spans="1:9" s="76" customFormat="1" ht="17.25" customHeight="1" x14ac:dyDescent="0.3">
      <c r="A68" s="334"/>
      <c r="B68" s="338" t="s">
        <v>48</v>
      </c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x14ac:dyDescent="0.3">
      <c r="A69" s="334"/>
      <c r="B69" s="337"/>
      <c r="C69" s="331"/>
      <c r="D69" s="331"/>
      <c r="E69" s="331"/>
      <c r="F69" s="331"/>
      <c r="G69" s="331"/>
      <c r="H69" s="331"/>
      <c r="I69" s="332"/>
    </row>
    <row r="70" spans="1:9" s="76" customFormat="1" ht="17.25" customHeight="1" thickBot="1" x14ac:dyDescent="0.35">
      <c r="A70" s="335"/>
      <c r="B70" s="339"/>
      <c r="C70" s="328"/>
      <c r="D70" s="329"/>
      <c r="E70" s="329"/>
      <c r="F70" s="329"/>
      <c r="G70" s="329"/>
      <c r="H70" s="329"/>
      <c r="I70" s="330"/>
    </row>
    <row r="71" spans="1:9" s="76" customFormat="1" ht="17.25" customHeight="1" x14ac:dyDescent="0.3">
      <c r="A71" s="306" t="s">
        <v>49</v>
      </c>
      <c r="B71" s="307"/>
      <c r="C71" s="331" t="s">
        <v>710</v>
      </c>
      <c r="D71" s="331"/>
      <c r="E71" s="331"/>
      <c r="F71" s="331"/>
      <c r="G71" s="331"/>
      <c r="H71" s="331"/>
      <c r="I71" s="332"/>
    </row>
    <row r="72" spans="1:9" s="76" customFormat="1" ht="17.25" customHeight="1" x14ac:dyDescent="0.3">
      <c r="A72" s="308"/>
      <c r="B72" s="309"/>
      <c r="C72" s="331" t="s">
        <v>719</v>
      </c>
      <c r="D72" s="331"/>
      <c r="E72" s="331"/>
      <c r="F72" s="331"/>
      <c r="G72" s="331"/>
      <c r="H72" s="331"/>
      <c r="I72" s="332"/>
    </row>
    <row r="73" spans="1:9" s="76" customFormat="1" ht="17.25" customHeight="1" thickBot="1" x14ac:dyDescent="0.35">
      <c r="A73" s="310"/>
      <c r="B73" s="311"/>
      <c r="C73" s="328"/>
      <c r="D73" s="329"/>
      <c r="E73" s="329"/>
      <c r="F73" s="329"/>
      <c r="G73" s="329"/>
      <c r="H73" s="329"/>
      <c r="I73" s="330"/>
    </row>
    <row r="74" spans="1:9" s="76" customFormat="1" ht="17.25" customHeight="1" x14ac:dyDescent="0.3">
      <c r="A74" s="306" t="s">
        <v>50</v>
      </c>
      <c r="B74" s="307"/>
      <c r="C74" s="322"/>
      <c r="D74" s="323"/>
      <c r="E74" s="323"/>
      <c r="F74" s="323"/>
      <c r="G74" s="323"/>
      <c r="H74" s="323"/>
      <c r="I74" s="324"/>
    </row>
    <row r="75" spans="1:9" s="76" customFormat="1" ht="17.25" customHeight="1" thickBot="1" x14ac:dyDescent="0.35">
      <c r="A75" s="310"/>
      <c r="B75" s="311"/>
      <c r="C75" s="325"/>
      <c r="D75" s="326"/>
      <c r="E75" s="326"/>
      <c r="F75" s="326"/>
      <c r="G75" s="326"/>
      <c r="H75" s="326"/>
      <c r="I75" s="327"/>
    </row>
    <row r="76" spans="1:9" s="76" customFormat="1" ht="17.25" customHeight="1" x14ac:dyDescent="0.3">
      <c r="A76" s="306" t="s">
        <v>51</v>
      </c>
      <c r="B76" s="307"/>
      <c r="C76" s="78" t="s">
        <v>52</v>
      </c>
      <c r="D76" s="79" t="s">
        <v>53</v>
      </c>
      <c r="E76" s="79" t="s">
        <v>54</v>
      </c>
      <c r="F76" s="79" t="s">
        <v>55</v>
      </c>
      <c r="G76" s="79" t="s">
        <v>56</v>
      </c>
      <c r="H76" s="79" t="s">
        <v>57</v>
      </c>
      <c r="I76" s="80" t="s">
        <v>58</v>
      </c>
    </row>
    <row r="77" spans="1:9" s="76" customFormat="1" ht="17.25" customHeight="1" x14ac:dyDescent="0.3">
      <c r="A77" s="81"/>
      <c r="B77" s="82" t="s">
        <v>59</v>
      </c>
      <c r="C77" s="83" t="s">
        <v>711</v>
      </c>
      <c r="D77" s="159"/>
      <c r="E77" s="159"/>
      <c r="F77" s="159"/>
      <c r="G77" s="159"/>
      <c r="H77" s="159"/>
      <c r="I77" s="162"/>
    </row>
    <row r="78" spans="1:9" s="76" customFormat="1" ht="17.25" customHeight="1" thickBot="1" x14ac:dyDescent="0.35">
      <c r="A78" s="85"/>
      <c r="B78" s="86" t="s">
        <v>60</v>
      </c>
      <c r="C78" s="87" t="s">
        <v>716</v>
      </c>
      <c r="D78" s="88"/>
      <c r="E78" s="88"/>
      <c r="F78" s="88"/>
      <c r="G78" s="88"/>
      <c r="H78" s="88"/>
      <c r="I78" s="89"/>
    </row>
    <row r="79" spans="1:9" s="76" customFormat="1" ht="17.25" customHeight="1" x14ac:dyDescent="0.3">
      <c r="A79" s="302" t="s">
        <v>61</v>
      </c>
      <c r="B79" s="303"/>
      <c r="C79" s="315" t="s">
        <v>62</v>
      </c>
      <c r="D79" s="316"/>
      <c r="E79" s="317" t="s">
        <v>63</v>
      </c>
      <c r="F79" s="316"/>
      <c r="G79" s="318" t="s">
        <v>64</v>
      </c>
      <c r="H79" s="319"/>
      <c r="I79" s="90" t="s">
        <v>65</v>
      </c>
    </row>
    <row r="80" spans="1:9" s="76" customFormat="1" ht="17.25" customHeight="1" thickBot="1" x14ac:dyDescent="0.35">
      <c r="A80" s="304"/>
      <c r="B80" s="305"/>
      <c r="C80" s="92">
        <v>0.25</v>
      </c>
      <c r="D80" s="93" t="s">
        <v>712</v>
      </c>
      <c r="E80" s="94">
        <v>0.8125</v>
      </c>
      <c r="F80" s="93" t="s">
        <v>713</v>
      </c>
      <c r="G80" s="320" t="s">
        <v>714</v>
      </c>
      <c r="H80" s="321"/>
      <c r="I80" s="95" t="s">
        <v>714</v>
      </c>
    </row>
    <row r="81" spans="1:9" s="76" customFormat="1" ht="17.25" customHeight="1" x14ac:dyDescent="0.3">
      <c r="A81" s="2"/>
      <c r="B81" s="2"/>
      <c r="C81" s="2"/>
      <c r="D81" s="2"/>
      <c r="E81" s="2"/>
      <c r="F81" s="2"/>
      <c r="G81" s="97"/>
      <c r="H81" s="299" t="s">
        <v>66</v>
      </c>
      <c r="I81" s="299"/>
    </row>
    <row r="82" spans="1:9" s="76" customFormat="1" ht="17.25" customHeight="1" x14ac:dyDescent="0.3"/>
    <row r="83" spans="1:9" s="76" customFormat="1" ht="17.25" customHeight="1" x14ac:dyDescent="0.3"/>
    <row r="84" spans="1:9" ht="17.25" customHeight="1" x14ac:dyDescent="0.3"/>
    <row r="85" spans="1:9" ht="17.25" customHeight="1" x14ac:dyDescent="0.3"/>
    <row r="86" spans="1:9" ht="17.25" customHeight="1" x14ac:dyDescent="0.3"/>
    <row r="87" spans="1:9" ht="17.25" customHeight="1" x14ac:dyDescent="0.3"/>
    <row r="88" spans="1:9" ht="17.25" customHeight="1" x14ac:dyDescent="0.3"/>
    <row r="89" spans="1:9" ht="17.25" customHeight="1" x14ac:dyDescent="0.3"/>
  </sheetData>
  <mergeCells count="65">
    <mergeCell ref="A66:A70"/>
    <mergeCell ref="B66:B67"/>
    <mergeCell ref="B68:B70"/>
    <mergeCell ref="C68:I68"/>
    <mergeCell ref="C69:I69"/>
    <mergeCell ref="C70:I70"/>
    <mergeCell ref="C66:I66"/>
    <mergeCell ref="C67:I67"/>
    <mergeCell ref="H81:I81"/>
    <mergeCell ref="C73:I73"/>
    <mergeCell ref="C74:I74"/>
    <mergeCell ref="C75:I75"/>
    <mergeCell ref="A74:B75"/>
    <mergeCell ref="A76:B76"/>
    <mergeCell ref="A79:B80"/>
    <mergeCell ref="C79:D79"/>
    <mergeCell ref="E79:F79"/>
    <mergeCell ref="G79:H79"/>
    <mergeCell ref="G80:H80"/>
    <mergeCell ref="A71:B73"/>
    <mergeCell ref="C71:I71"/>
    <mergeCell ref="C72:I7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5"/>
    <mergeCell ref="C59:I59"/>
    <mergeCell ref="C60:I60"/>
    <mergeCell ref="C65:I65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E39" sqref="E3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726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728</v>
      </c>
      <c r="D3" s="5" t="s">
        <v>4</v>
      </c>
      <c r="E3" s="379"/>
      <c r="F3" s="386" t="s">
        <v>727</v>
      </c>
      <c r="G3" s="387"/>
      <c r="H3" s="388">
        <f>G11+'26일'!H3:I3</f>
        <v>58395810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729</v>
      </c>
      <c r="F6" s="15" t="s">
        <v>730</v>
      </c>
      <c r="G6" s="16" t="s">
        <v>731</v>
      </c>
      <c r="H6" s="17">
        <v>0.44</v>
      </c>
      <c r="I6" s="18">
        <v>0.41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2513500</v>
      </c>
      <c r="D11" s="102">
        <v>151</v>
      </c>
      <c r="E11" s="109">
        <f>SUM(E55:I56)</f>
        <v>152300</v>
      </c>
      <c r="F11" s="109">
        <f>SUM(E53:I54)</f>
        <v>9</v>
      </c>
      <c r="G11" s="110">
        <f>C11+E11</f>
        <v>2665800</v>
      </c>
      <c r="H11" s="110">
        <f>D11+F11</f>
        <v>160</v>
      </c>
      <c r="I11" s="111">
        <f>G11/H11</f>
        <v>16661.25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18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20</v>
      </c>
      <c r="D15" s="29"/>
      <c r="E15" s="30"/>
      <c r="F15" s="34"/>
      <c r="G15" s="25"/>
      <c r="H15" s="29"/>
      <c r="I15" s="35">
        <f>C15-D15-D16*1/2-E15-E16*1/2+F15-H15-H16*1/2-I16*1/2</f>
        <v>19.5</v>
      </c>
    </row>
    <row r="16" spans="1:9" ht="17.25" customHeight="1" x14ac:dyDescent="0.3">
      <c r="A16" s="358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26</v>
      </c>
      <c r="D17" s="29"/>
      <c r="E17" s="30"/>
      <c r="F17" s="34"/>
      <c r="G17" s="118"/>
      <c r="H17" s="29"/>
      <c r="I17" s="37">
        <f>C17-D17-D18*1/2-E17-E18*1/2+F17-H17-H18*1/2-I18*1/2</f>
        <v>26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11</v>
      </c>
      <c r="D19" s="29"/>
      <c r="E19" s="30"/>
      <c r="F19" s="34"/>
      <c r="G19" s="25"/>
      <c r="H19" s="29"/>
      <c r="I19" s="35">
        <f>C19-D19-D20*1/2-E19-E20*1/2+F19-H19-H20*1/2-I20*1/2</f>
        <v>10</v>
      </c>
    </row>
    <row r="20" spans="1:9" ht="17.25" customHeight="1" x14ac:dyDescent="0.3">
      <c r="A20" s="358"/>
      <c r="B20" s="27" t="s">
        <v>30</v>
      </c>
      <c r="C20" s="28"/>
      <c r="D20" s="29">
        <v>1</v>
      </c>
      <c r="E20" s="30">
        <v>1</v>
      </c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62</v>
      </c>
      <c r="D21" s="41"/>
      <c r="E21" s="42">
        <v>1</v>
      </c>
      <c r="F21" s="43"/>
      <c r="G21" s="44"/>
      <c r="H21" s="43"/>
      <c r="I21" s="45">
        <f t="shared" ref="I21:I48" si="0">C21-D21-E21+F21-H21</f>
        <v>61</v>
      </c>
    </row>
    <row r="22" spans="1:9" ht="17.25" customHeight="1" x14ac:dyDescent="0.3">
      <c r="A22" s="358"/>
      <c r="B22" s="21" t="s">
        <v>32</v>
      </c>
      <c r="C22" s="46">
        <v>39</v>
      </c>
      <c r="D22" s="23"/>
      <c r="E22" s="47">
        <v>2</v>
      </c>
      <c r="F22" s="48"/>
      <c r="G22" s="25"/>
      <c r="H22" s="48"/>
      <c r="I22" s="49">
        <f t="shared" si="0"/>
        <v>37</v>
      </c>
    </row>
    <row r="23" spans="1:9" ht="17.25" customHeight="1" x14ac:dyDescent="0.3">
      <c r="A23" s="358"/>
      <c r="B23" s="27" t="s">
        <v>33</v>
      </c>
      <c r="C23" s="33">
        <v>104</v>
      </c>
      <c r="D23" s="29"/>
      <c r="E23" s="50">
        <v>2</v>
      </c>
      <c r="F23" s="51"/>
      <c r="G23" s="25"/>
      <c r="H23" s="51"/>
      <c r="I23" s="52">
        <f>C23-D23-D24-E23-E24+F23+F24-H23-H24-I24</f>
        <v>101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22</v>
      </c>
      <c r="D25" s="23"/>
      <c r="E25" s="47"/>
      <c r="F25" s="48"/>
      <c r="G25" s="112"/>
      <c r="H25" s="48"/>
      <c r="I25" s="49">
        <f t="shared" si="0"/>
        <v>22</v>
      </c>
    </row>
    <row r="26" spans="1:9" ht="17.25" customHeight="1" x14ac:dyDescent="0.3">
      <c r="A26" s="358"/>
      <c r="B26" s="160" t="s">
        <v>36</v>
      </c>
      <c r="C26" s="55">
        <v>24</v>
      </c>
      <c r="D26" s="41"/>
      <c r="E26" s="42"/>
      <c r="F26" s="43"/>
      <c r="G26" s="113"/>
      <c r="H26" s="43"/>
      <c r="I26" s="45">
        <f t="shared" si="0"/>
        <v>24</v>
      </c>
    </row>
    <row r="27" spans="1:9" ht="17.25" customHeight="1" x14ac:dyDescent="0.3">
      <c r="A27" s="358"/>
      <c r="B27" s="21" t="s">
        <v>37</v>
      </c>
      <c r="C27" s="46">
        <v>19</v>
      </c>
      <c r="D27" s="23">
        <v>1</v>
      </c>
      <c r="E27" s="47"/>
      <c r="F27" s="48"/>
      <c r="G27" s="112"/>
      <c r="H27" s="48"/>
      <c r="I27" s="49">
        <f t="shared" si="0"/>
        <v>18</v>
      </c>
    </row>
    <row r="28" spans="1:9" ht="17.25" customHeight="1" x14ac:dyDescent="0.3">
      <c r="A28" s="358"/>
      <c r="B28" s="160" t="s">
        <v>38</v>
      </c>
      <c r="C28" s="55">
        <v>27</v>
      </c>
      <c r="D28" s="41"/>
      <c r="E28" s="42"/>
      <c r="F28" s="43"/>
      <c r="G28" s="113"/>
      <c r="H28" s="43"/>
      <c r="I28" s="45">
        <f t="shared" si="0"/>
        <v>27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63</v>
      </c>
      <c r="D30" s="29"/>
      <c r="E30" s="50"/>
      <c r="F30" s="51"/>
      <c r="G30" s="25"/>
      <c r="H30" s="51"/>
      <c r="I30" s="52">
        <f>C30-D30-D31-E30-E31+F30+F31-H30-H31-I31</f>
        <v>63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>
        <v>5</v>
      </c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>
        <v>35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>
        <v>7</v>
      </c>
      <c r="D39" s="29"/>
      <c r="E39" s="50">
        <v>1</v>
      </c>
      <c r="F39" s="51"/>
      <c r="G39" s="25"/>
      <c r="H39" s="51"/>
      <c r="I39" s="196">
        <f>C39-D39-D40*1/2-E39-E40*1/2+F39-H39-H40*1/2-I40*1/2</f>
        <v>6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8"/>
      <c r="B47" s="120" t="s">
        <v>88</v>
      </c>
      <c r="C47" s="121">
        <v>7</v>
      </c>
      <c r="D47" s="122"/>
      <c r="E47" s="123"/>
      <c r="F47" s="124"/>
      <c r="G47" s="112"/>
      <c r="H47" s="124"/>
      <c r="I47" s="52">
        <f t="shared" si="0"/>
        <v>7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486</v>
      </c>
      <c r="D51" s="66">
        <f>SUM(D13:D46)</f>
        <v>2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511.5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3</v>
      </c>
      <c r="F53" s="347">
        <v>2</v>
      </c>
      <c r="G53" s="347">
        <v>4</v>
      </c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59800</v>
      </c>
      <c r="F55" s="355">
        <v>38100</v>
      </c>
      <c r="G55" s="355">
        <v>54400</v>
      </c>
      <c r="H55" s="347"/>
      <c r="I55" s="341"/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745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742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744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743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738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739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740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/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741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732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733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734</v>
      </c>
      <c r="E79" s="94">
        <v>0.8125</v>
      </c>
      <c r="F79" s="93" t="s">
        <v>735</v>
      </c>
      <c r="G79" s="320" t="s">
        <v>736</v>
      </c>
      <c r="H79" s="321"/>
      <c r="I79" s="95" t="s">
        <v>737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4" zoomScale="90" zoomScaleNormal="90" workbookViewId="0">
      <selection activeCell="C58" sqref="C58:I5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746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747</v>
      </c>
      <c r="D3" s="5" t="s">
        <v>4</v>
      </c>
      <c r="E3" s="379"/>
      <c r="F3" s="386" t="s">
        <v>748</v>
      </c>
      <c r="G3" s="387"/>
      <c r="H3" s="388">
        <f>G11+'27일'!H3:I3</f>
        <v>60036910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749</v>
      </c>
      <c r="F6" s="15" t="s">
        <v>750</v>
      </c>
      <c r="G6" s="16" t="s">
        <v>751</v>
      </c>
      <c r="H6" s="17">
        <v>0.52</v>
      </c>
      <c r="I6" s="18">
        <v>0.42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1414900</v>
      </c>
      <c r="D11" s="102">
        <v>87</v>
      </c>
      <c r="E11" s="109">
        <f>SUM(E55:I56)</f>
        <v>226200</v>
      </c>
      <c r="F11" s="109">
        <f>SUM(E53:I54)</f>
        <v>14</v>
      </c>
      <c r="G11" s="110">
        <f>C11+E11</f>
        <v>1641100</v>
      </c>
      <c r="H11" s="110">
        <f>D11+F11</f>
        <v>101</v>
      </c>
      <c r="I11" s="111">
        <f>G11/H11</f>
        <v>16248.514851485148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16</v>
      </c>
      <c r="D13" s="23"/>
      <c r="E13" s="22"/>
      <c r="F13" s="24"/>
      <c r="G13" s="25"/>
      <c r="H13" s="23"/>
      <c r="I13" s="26">
        <f>C13-D13-D14*1/2-E13-E14*1/2+F13-H13-H14*1/2-I14*1/2</f>
        <v>16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15</v>
      </c>
      <c r="D15" s="29"/>
      <c r="E15" s="30">
        <v>1</v>
      </c>
      <c r="F15" s="34"/>
      <c r="G15" s="25"/>
      <c r="H15" s="29"/>
      <c r="I15" s="35">
        <f>C15-D15-D16*1/2-E15-E16*1/2+F15-H15-H16*1/2-I16*1/2</f>
        <v>14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16</v>
      </c>
      <c r="D17" s="29"/>
      <c r="E17" s="30">
        <v>1</v>
      </c>
      <c r="F17" s="34"/>
      <c r="G17" s="118"/>
      <c r="H17" s="29">
        <v>3</v>
      </c>
      <c r="I17" s="37">
        <f>C17-D17-D18*1/2-E17-E18*1/2+F17-H17-H18*1/2-I18*1/2</f>
        <v>12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9</v>
      </c>
      <c r="D19" s="29"/>
      <c r="E19" s="30"/>
      <c r="F19" s="34"/>
      <c r="G19" s="25"/>
      <c r="H19" s="29">
        <v>5</v>
      </c>
      <c r="I19" s="35">
        <f>C19-D19-D20*1/2-E19-E20*1/2+F19-H19-H20*1/2-I20*1/2</f>
        <v>4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33</v>
      </c>
      <c r="D21" s="41"/>
      <c r="E21" s="42">
        <v>4</v>
      </c>
      <c r="F21" s="43"/>
      <c r="G21" s="44"/>
      <c r="H21" s="43"/>
      <c r="I21" s="45">
        <f t="shared" ref="I21:I48" si="0">C21-D21-E21+F21-H21</f>
        <v>29</v>
      </c>
    </row>
    <row r="22" spans="1:9" ht="17.25" customHeight="1" x14ac:dyDescent="0.3">
      <c r="A22" s="358"/>
      <c r="B22" s="21" t="s">
        <v>32</v>
      </c>
      <c r="C22" s="46">
        <v>14</v>
      </c>
      <c r="D22" s="23"/>
      <c r="E22" s="47">
        <v>2</v>
      </c>
      <c r="F22" s="48"/>
      <c r="G22" s="25"/>
      <c r="H22" s="48"/>
      <c r="I22" s="49">
        <f t="shared" si="0"/>
        <v>12</v>
      </c>
    </row>
    <row r="23" spans="1:9" ht="17.25" customHeight="1" x14ac:dyDescent="0.3">
      <c r="A23" s="358"/>
      <c r="B23" s="27" t="s">
        <v>33</v>
      </c>
      <c r="C23" s="33">
        <v>84</v>
      </c>
      <c r="D23" s="29"/>
      <c r="E23" s="50">
        <v>4</v>
      </c>
      <c r="F23" s="51"/>
      <c r="G23" s="25"/>
      <c r="H23" s="51">
        <v>14</v>
      </c>
      <c r="I23" s="52">
        <f>C23-D23-D24-E23-E24+F23+F24-H23-H24-I24</f>
        <v>66</v>
      </c>
    </row>
    <row r="24" spans="1:9" ht="17.25" customHeight="1" x14ac:dyDescent="0.3">
      <c r="A24" s="358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>
        <v>3</v>
      </c>
      <c r="E25" s="47"/>
      <c r="F25" s="48"/>
      <c r="G25" s="112"/>
      <c r="H25" s="48">
        <v>10</v>
      </c>
      <c r="I25" s="49">
        <f t="shared" si="0"/>
        <v>11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21</v>
      </c>
      <c r="D27" s="23"/>
      <c r="E27" s="47"/>
      <c r="F27" s="48"/>
      <c r="G27" s="112"/>
      <c r="H27" s="48">
        <v>8</v>
      </c>
      <c r="I27" s="49">
        <f t="shared" si="0"/>
        <v>13</v>
      </c>
    </row>
    <row r="28" spans="1:9" ht="17.25" customHeight="1" x14ac:dyDescent="0.3">
      <c r="A28" s="358"/>
      <c r="B28" s="160" t="s">
        <v>38</v>
      </c>
      <c r="C28" s="55">
        <v>29</v>
      </c>
      <c r="D28" s="41"/>
      <c r="E28" s="42">
        <v>2</v>
      </c>
      <c r="F28" s="43"/>
      <c r="G28" s="113"/>
      <c r="H28" s="43">
        <v>10</v>
      </c>
      <c r="I28" s="45">
        <f t="shared" si="0"/>
        <v>17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63</v>
      </c>
      <c r="D30" s="29"/>
      <c r="E30" s="50">
        <v>1</v>
      </c>
      <c r="F30" s="51"/>
      <c r="G30" s="25"/>
      <c r="H30" s="51">
        <v>16</v>
      </c>
      <c r="I30" s="52">
        <f>C30-D30-D31-E30-E31+F30+F31-H30-H31-I31</f>
        <v>46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>
        <v>5</v>
      </c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10</v>
      </c>
      <c r="D36" s="122"/>
      <c r="E36" s="123">
        <v>1</v>
      </c>
      <c r="F36" s="124"/>
      <c r="G36" s="112"/>
      <c r="H36" s="124"/>
      <c r="I36" s="52">
        <f>C36-D36-E36+F36-H36</f>
        <v>9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>
        <v>7</v>
      </c>
      <c r="D39" s="29"/>
      <c r="E39" s="50">
        <v>0.5</v>
      </c>
      <c r="F39" s="51"/>
      <c r="G39" s="25"/>
      <c r="H39" s="51"/>
      <c r="I39" s="196">
        <f>C39-D39-D40*1/2-E39-E40*1/2+F39-H39-H40*1/2-I40*1/2</f>
        <v>6.5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58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368</v>
      </c>
      <c r="D51" s="66">
        <f>SUM(D13:D46)</f>
        <v>3</v>
      </c>
      <c r="E51" s="67">
        <f>SUM(E13:E46)</f>
        <v>21.5</v>
      </c>
      <c r="F51" s="67">
        <f>SUM(F13:F46)</f>
        <v>0</v>
      </c>
      <c r="G51" s="68" t="s">
        <v>22</v>
      </c>
      <c r="H51" s="69">
        <f>SUM(H13:H46)</f>
        <v>66</v>
      </c>
      <c r="I51" s="70">
        <f>SUM(I13:I46)</f>
        <v>282.5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4</v>
      </c>
      <c r="F53" s="347">
        <v>1</v>
      </c>
      <c r="G53" s="347">
        <v>9</v>
      </c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96500</v>
      </c>
      <c r="F55" s="355">
        <v>23600</v>
      </c>
      <c r="G55" s="355">
        <v>106100</v>
      </c>
      <c r="H55" s="347"/>
      <c r="I55" s="341"/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767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786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768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/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765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284" t="s">
        <v>766</v>
      </c>
      <c r="D62" s="285"/>
      <c r="E62" s="285"/>
      <c r="F62" s="285"/>
      <c r="G62" s="285"/>
      <c r="H62" s="285"/>
      <c r="I62" s="286"/>
    </row>
    <row r="63" spans="1:10" s="76" customFormat="1" ht="17.25" customHeight="1" x14ac:dyDescent="0.3">
      <c r="A63" s="308"/>
      <c r="B63" s="309"/>
      <c r="C63" s="344"/>
      <c r="D63" s="345"/>
      <c r="E63" s="345"/>
      <c r="F63" s="345"/>
      <c r="G63" s="345"/>
      <c r="H63" s="345"/>
      <c r="I63" s="346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 t="s">
        <v>756</v>
      </c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 t="s">
        <v>757</v>
      </c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752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755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 t="s">
        <v>758</v>
      </c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753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 t="s">
        <v>754</v>
      </c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759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760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761</v>
      </c>
      <c r="E79" s="94">
        <v>0.77083333333333337</v>
      </c>
      <c r="F79" s="93" t="s">
        <v>762</v>
      </c>
      <c r="G79" s="320" t="s">
        <v>763</v>
      </c>
      <c r="H79" s="321"/>
      <c r="I79" s="95" t="s">
        <v>764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0" zoomScale="90" zoomScaleNormal="90" workbookViewId="0">
      <selection activeCell="G30" sqref="G3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778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779</v>
      </c>
      <c r="D3" s="5" t="s">
        <v>4</v>
      </c>
      <c r="E3" s="379"/>
      <c r="F3" s="386" t="s">
        <v>780</v>
      </c>
      <c r="G3" s="387"/>
      <c r="H3" s="388">
        <f>G11+'28일'!H3:I3</f>
        <v>62161710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781</v>
      </c>
      <c r="F6" s="15" t="s">
        <v>782</v>
      </c>
      <c r="G6" s="16" t="s">
        <v>783</v>
      </c>
      <c r="H6" s="17">
        <v>0.6</v>
      </c>
      <c r="I6" s="18">
        <v>0.4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1992300</v>
      </c>
      <c r="D11" s="102">
        <v>131</v>
      </c>
      <c r="E11" s="109">
        <f>SUM(E55:I56)</f>
        <v>132500</v>
      </c>
      <c r="F11" s="109">
        <f>SUM(E53:I54)</f>
        <v>9</v>
      </c>
      <c r="G11" s="110">
        <f>C11+E11</f>
        <v>2124800</v>
      </c>
      <c r="H11" s="110">
        <f>D11+F11</f>
        <v>140</v>
      </c>
      <c r="I11" s="111">
        <f>G11/H11</f>
        <v>15177.142857142857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20</v>
      </c>
      <c r="D13" s="23"/>
      <c r="E13" s="22">
        <v>1</v>
      </c>
      <c r="F13" s="24"/>
      <c r="G13" s="25"/>
      <c r="H13" s="23"/>
      <c r="I13" s="26">
        <f>C13-D13-D14*1/2-E13-E14*1/2+F13-H13-H14*1/2-I14*1/2</f>
        <v>18.5</v>
      </c>
    </row>
    <row r="14" spans="1:9" ht="17.25" customHeight="1" x14ac:dyDescent="0.3">
      <c r="A14" s="358"/>
      <c r="B14" s="27" t="s">
        <v>24</v>
      </c>
      <c r="C14" s="28"/>
      <c r="D14" s="29"/>
      <c r="E14" s="30">
        <v>0</v>
      </c>
      <c r="F14" s="31"/>
      <c r="G14" s="25"/>
      <c r="H14" s="29">
        <v>1</v>
      </c>
      <c r="I14" s="32"/>
    </row>
    <row r="15" spans="1:9" ht="17.25" customHeight="1" x14ac:dyDescent="0.3">
      <c r="A15" s="358"/>
      <c r="B15" s="27" t="s">
        <v>25</v>
      </c>
      <c r="C15" s="33">
        <v>20</v>
      </c>
      <c r="D15" s="29"/>
      <c r="E15" s="30">
        <v>1</v>
      </c>
      <c r="F15" s="34"/>
      <c r="G15" s="25"/>
      <c r="H15" s="29">
        <v>2</v>
      </c>
      <c r="I15" s="35">
        <f>C15-D15-D16*1/2-E15-E16*1/2+F15-H15-H16*1/2-I16*1/2</f>
        <v>17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24</v>
      </c>
      <c r="D17" s="29"/>
      <c r="E17" s="30">
        <v>1</v>
      </c>
      <c r="F17" s="34"/>
      <c r="G17" s="118"/>
      <c r="H17" s="29">
        <v>6</v>
      </c>
      <c r="I17" s="37">
        <f>C17-D17-D18*1/2-E17-E18*1/2+F17-H17-H18*1/2-I18*1/2</f>
        <v>17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>
        <v>12</v>
      </c>
      <c r="D19" s="29"/>
      <c r="E19" s="30"/>
      <c r="F19" s="34"/>
      <c r="G19" s="25"/>
      <c r="H19" s="29">
        <v>7</v>
      </c>
      <c r="I19" s="35">
        <f>C19-D19-D20*1/2-E19-E20*1/2+F19-H19-H20*1/2-I20*1/2</f>
        <v>4</v>
      </c>
    </row>
    <row r="20" spans="1:9" ht="17.25" customHeight="1" x14ac:dyDescent="0.3">
      <c r="A20" s="358"/>
      <c r="B20" s="27" t="s">
        <v>30</v>
      </c>
      <c r="C20" s="28"/>
      <c r="D20" s="29"/>
      <c r="E20" s="30">
        <v>1</v>
      </c>
      <c r="F20" s="31"/>
      <c r="G20" s="25"/>
      <c r="H20" s="29">
        <v>1</v>
      </c>
      <c r="I20" s="38"/>
    </row>
    <row r="21" spans="1:9" ht="17.25" customHeight="1" x14ac:dyDescent="0.3">
      <c r="A21" s="358"/>
      <c r="B21" s="39" t="s">
        <v>31</v>
      </c>
      <c r="C21" s="40">
        <v>73</v>
      </c>
      <c r="D21" s="41"/>
      <c r="E21" s="42">
        <v>2</v>
      </c>
      <c r="F21" s="43"/>
      <c r="G21" s="44"/>
      <c r="H21" s="43">
        <v>3</v>
      </c>
      <c r="I21" s="45">
        <f t="shared" ref="I21:I48" si="0">C21-D21-E21+F21-H21</f>
        <v>68</v>
      </c>
    </row>
    <row r="22" spans="1:9" ht="17.25" customHeight="1" x14ac:dyDescent="0.3">
      <c r="A22" s="358"/>
      <c r="B22" s="21" t="s">
        <v>32</v>
      </c>
      <c r="C22" s="46">
        <v>33</v>
      </c>
      <c r="D22" s="23"/>
      <c r="E22" s="47">
        <v>2</v>
      </c>
      <c r="F22" s="48"/>
      <c r="G22" s="25"/>
      <c r="H22" s="48">
        <v>11</v>
      </c>
      <c r="I22" s="49">
        <f t="shared" si="0"/>
        <v>20</v>
      </c>
    </row>
    <row r="23" spans="1:9" ht="17.25" customHeight="1" x14ac:dyDescent="0.3">
      <c r="A23" s="358"/>
      <c r="B23" s="27" t="s">
        <v>33</v>
      </c>
      <c r="C23" s="33">
        <v>106</v>
      </c>
      <c r="D23" s="29"/>
      <c r="E23" s="50">
        <v>3</v>
      </c>
      <c r="F23" s="51"/>
      <c r="G23" s="25"/>
      <c r="H23" s="51">
        <v>16</v>
      </c>
      <c r="I23" s="52">
        <f>C23-D23-D24-E23-E24+F23+F24-H23-H24-I24</f>
        <v>70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5</v>
      </c>
      <c r="F24" s="43"/>
      <c r="G24" s="113"/>
      <c r="H24" s="43">
        <v>12</v>
      </c>
      <c r="I24" s="54"/>
    </row>
    <row r="25" spans="1:9" ht="17.25" customHeight="1" x14ac:dyDescent="0.3">
      <c r="A25" s="358"/>
      <c r="B25" s="21" t="s">
        <v>35</v>
      </c>
      <c r="C25" s="46">
        <v>24</v>
      </c>
      <c r="D25" s="23"/>
      <c r="E25" s="47">
        <v>2</v>
      </c>
      <c r="F25" s="48"/>
      <c r="G25" s="112"/>
      <c r="H25" s="48">
        <v>12</v>
      </c>
      <c r="I25" s="49">
        <f t="shared" si="0"/>
        <v>10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>
        <v>3</v>
      </c>
      <c r="I26" s="45">
        <f t="shared" si="0"/>
        <v>19</v>
      </c>
    </row>
    <row r="27" spans="1:9" ht="17.25" customHeight="1" x14ac:dyDescent="0.3">
      <c r="A27" s="358"/>
      <c r="B27" s="21" t="s">
        <v>37</v>
      </c>
      <c r="C27" s="46">
        <v>27</v>
      </c>
      <c r="D27" s="23"/>
      <c r="E27" s="47"/>
      <c r="F27" s="48"/>
      <c r="G27" s="112"/>
      <c r="H27" s="48">
        <v>4</v>
      </c>
      <c r="I27" s="49">
        <f t="shared" si="0"/>
        <v>23</v>
      </c>
    </row>
    <row r="28" spans="1:9" ht="17.25" customHeight="1" x14ac:dyDescent="0.3">
      <c r="A28" s="358"/>
      <c r="B28" s="160" t="s">
        <v>38</v>
      </c>
      <c r="C28" s="55">
        <v>36</v>
      </c>
      <c r="D28" s="41"/>
      <c r="E28" s="42"/>
      <c r="F28" s="43"/>
      <c r="G28" s="113"/>
      <c r="H28" s="43">
        <v>2</v>
      </c>
      <c r="I28" s="45">
        <f t="shared" si="0"/>
        <v>34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58"/>
      <c r="B30" s="56" t="s">
        <v>40</v>
      </c>
      <c r="C30" s="57">
        <v>63</v>
      </c>
      <c r="D30" s="29"/>
      <c r="E30" s="50"/>
      <c r="F30" s="51"/>
      <c r="G30" s="25"/>
      <c r="H30" s="51">
        <v>19</v>
      </c>
      <c r="I30" s="52">
        <f>C30-D30-D31-E30-E31+F30+F31-H30-H31-I31</f>
        <v>42</v>
      </c>
    </row>
    <row r="31" spans="1:9" ht="17.25" customHeight="1" x14ac:dyDescent="0.3">
      <c r="A31" s="358"/>
      <c r="B31" s="58" t="s">
        <v>41</v>
      </c>
      <c r="C31" s="59"/>
      <c r="D31" s="60"/>
      <c r="E31" s="61">
        <v>2</v>
      </c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>
        <v>2</v>
      </c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>
        <v>5</v>
      </c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>
        <v>2</v>
      </c>
      <c r="I36" s="52">
        <f>C36-D36-E36+F36-H36</f>
        <v>18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>
        <v>10</v>
      </c>
      <c r="D39" s="29"/>
      <c r="E39" s="50">
        <v>1</v>
      </c>
      <c r="F39" s="51"/>
      <c r="G39" s="25"/>
      <c r="H39" s="51"/>
      <c r="I39" s="196">
        <f>C39-D39-D40*1/2-E39-E40*1/2+F39-H39-H40*1/2-I40*1/2</f>
        <v>9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5</v>
      </c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8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513</v>
      </c>
      <c r="D51" s="66">
        <f>SUM(D13:D46)</f>
        <v>2</v>
      </c>
      <c r="E51" s="67">
        <f>SUM(E13:E46)</f>
        <v>31</v>
      </c>
      <c r="F51" s="67">
        <f>SUM(F13:F46)</f>
        <v>0</v>
      </c>
      <c r="G51" s="68" t="s">
        <v>22</v>
      </c>
      <c r="H51" s="69">
        <f>SUM(H13:H46)</f>
        <v>102</v>
      </c>
      <c r="I51" s="70">
        <f>SUM(I13:I46)</f>
        <v>385.5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>
        <v>1</v>
      </c>
      <c r="E53" s="347">
        <v>4</v>
      </c>
      <c r="F53" s="347">
        <v>0</v>
      </c>
      <c r="G53" s="347">
        <v>5</v>
      </c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428">
        <v>35000</v>
      </c>
      <c r="E55" s="355">
        <v>77000</v>
      </c>
      <c r="F55" s="355">
        <v>0</v>
      </c>
      <c r="G55" s="355">
        <v>55500</v>
      </c>
      <c r="H55" s="347"/>
      <c r="I55" s="341"/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785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787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788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 t="s">
        <v>791</v>
      </c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769</v>
      </c>
      <c r="D61" s="323"/>
      <c r="E61" s="323"/>
      <c r="F61" s="323"/>
      <c r="G61" s="323"/>
      <c r="H61" s="323"/>
      <c r="I61" s="324"/>
    </row>
    <row r="62" spans="1:10" s="76" customFormat="1" ht="36.75" customHeight="1" x14ac:dyDescent="0.3">
      <c r="A62" s="308"/>
      <c r="B62" s="309"/>
      <c r="C62" s="403" t="s">
        <v>770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44"/>
      <c r="D63" s="345"/>
      <c r="E63" s="345"/>
      <c r="F63" s="345"/>
      <c r="G63" s="345"/>
      <c r="H63" s="345"/>
      <c r="I63" s="346"/>
    </row>
    <row r="64" spans="1:10" s="76" customFormat="1" ht="17.25" customHeight="1" thickBot="1" x14ac:dyDescent="0.35">
      <c r="A64" s="310"/>
      <c r="B64" s="311"/>
      <c r="C64" s="329" t="s">
        <v>790</v>
      </c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777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 t="s">
        <v>789</v>
      </c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775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776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771</v>
      </c>
      <c r="E79" s="94">
        <v>0.8125</v>
      </c>
      <c r="F79" s="93" t="s">
        <v>772</v>
      </c>
      <c r="G79" s="320" t="s">
        <v>773</v>
      </c>
      <c r="H79" s="321"/>
      <c r="I79" s="95" t="s">
        <v>774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abSelected="1" zoomScale="90" zoomScaleNormal="90" workbookViewId="0">
      <selection activeCell="C59" sqref="C59:I5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792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 t="s">
        <v>793</v>
      </c>
      <c r="D3" s="5" t="s">
        <v>4</v>
      </c>
      <c r="E3" s="379"/>
      <c r="F3" s="386" t="s">
        <v>794</v>
      </c>
      <c r="G3" s="387"/>
      <c r="H3" s="388">
        <f>G11+'29일'!H3:I3</f>
        <v>64875310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795</v>
      </c>
      <c r="F6" s="15" t="s">
        <v>796</v>
      </c>
      <c r="G6" s="16" t="s">
        <v>797</v>
      </c>
      <c r="H6" s="17">
        <v>0.49</v>
      </c>
      <c r="I6" s="18">
        <v>0.4</v>
      </c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>
        <v>2162100</v>
      </c>
      <c r="D11" s="102">
        <v>155</v>
      </c>
      <c r="E11" s="109">
        <f>SUM(E55:I56)</f>
        <v>551500</v>
      </c>
      <c r="F11" s="109">
        <f>SUM(E53:I54)</f>
        <v>12</v>
      </c>
      <c r="G11" s="110">
        <f>C11+E11</f>
        <v>2713600</v>
      </c>
      <c r="H11" s="110">
        <f>D11+F11</f>
        <v>167</v>
      </c>
      <c r="I11" s="111">
        <f>G11/H11</f>
        <v>16249.101796407185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>
        <v>30</v>
      </c>
      <c r="D13" s="23"/>
      <c r="E13" s="22">
        <v>1</v>
      </c>
      <c r="F13" s="24"/>
      <c r="G13" s="25"/>
      <c r="H13" s="23">
        <v>4</v>
      </c>
      <c r="I13" s="26">
        <f>C13-D13-D14*1/2-E13-E14*1/2+F13-H13-H14*1/2-I14*1/2</f>
        <v>25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>
        <v>29</v>
      </c>
      <c r="D15" s="29"/>
      <c r="E15" s="30">
        <v>1</v>
      </c>
      <c r="F15" s="34"/>
      <c r="G15" s="25"/>
      <c r="H15" s="29">
        <v>7</v>
      </c>
      <c r="I15" s="35">
        <f>C15-D15-D16*1/2-E15-E16*1/2+F15-H15-H16*1/2-I16*1/2</f>
        <v>21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>
        <v>22</v>
      </c>
      <c r="D17" s="29"/>
      <c r="E17" s="30"/>
      <c r="F17" s="34"/>
      <c r="G17" s="118"/>
      <c r="H17" s="29">
        <v>1</v>
      </c>
      <c r="I17" s="37">
        <f>C17-D17-D18*1/2-E17-E18*1/2+F17-H17-H18*1/2-I18*1/2</f>
        <v>20.5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>
        <v>1</v>
      </c>
      <c r="I18" s="36"/>
    </row>
    <row r="19" spans="1:9" ht="17.25" customHeight="1" x14ac:dyDescent="0.3">
      <c r="A19" s="358"/>
      <c r="B19" s="27" t="s">
        <v>29</v>
      </c>
      <c r="C19" s="33">
        <v>13</v>
      </c>
      <c r="D19" s="29"/>
      <c r="E19" s="30"/>
      <c r="F19" s="34"/>
      <c r="G19" s="25"/>
      <c r="H19" s="29">
        <v>2</v>
      </c>
      <c r="I19" s="35">
        <f>C19-D19-D20*1/2-E19-E20*1/2+F19-H19-H20*1/2-I20*1/2</f>
        <v>11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>
        <v>57</v>
      </c>
      <c r="D21" s="41"/>
      <c r="E21" s="42">
        <v>1</v>
      </c>
      <c r="F21" s="43"/>
      <c r="G21" s="44"/>
      <c r="H21" s="43">
        <v>2</v>
      </c>
      <c r="I21" s="45">
        <f t="shared" ref="I21:I48" si="0">C21-D21-E21+F21-H21</f>
        <v>54</v>
      </c>
    </row>
    <row r="22" spans="1:9" ht="17.25" customHeight="1" x14ac:dyDescent="0.3">
      <c r="A22" s="358"/>
      <c r="B22" s="21" t="s">
        <v>32</v>
      </c>
      <c r="C22" s="46">
        <v>29</v>
      </c>
      <c r="D22" s="23"/>
      <c r="E22" s="47"/>
      <c r="F22" s="48"/>
      <c r="G22" s="25"/>
      <c r="H22" s="48">
        <v>11</v>
      </c>
      <c r="I22" s="49">
        <f t="shared" si="0"/>
        <v>18</v>
      </c>
    </row>
    <row r="23" spans="1:9" ht="17.25" customHeight="1" x14ac:dyDescent="0.3">
      <c r="A23" s="358"/>
      <c r="B23" s="27" t="s">
        <v>33</v>
      </c>
      <c r="C23" s="33">
        <v>150</v>
      </c>
      <c r="D23" s="29"/>
      <c r="E23" s="50">
        <v>1</v>
      </c>
      <c r="F23" s="51"/>
      <c r="G23" s="25"/>
      <c r="H23" s="51">
        <v>6</v>
      </c>
      <c r="I23" s="52">
        <f>C23-D23-D24-E23-E24+F23+F24-H23-H24-I24</f>
        <v>116</v>
      </c>
    </row>
    <row r="24" spans="1:9" ht="17.25" customHeight="1" x14ac:dyDescent="0.3">
      <c r="A24" s="358"/>
      <c r="B24" s="160" t="s">
        <v>34</v>
      </c>
      <c r="C24" s="53"/>
      <c r="D24" s="41"/>
      <c r="E24" s="42">
        <v>1</v>
      </c>
      <c r="F24" s="43"/>
      <c r="G24" s="113"/>
      <c r="H24" s="43">
        <v>26</v>
      </c>
      <c r="I24" s="54"/>
    </row>
    <row r="25" spans="1:9" ht="17.25" customHeight="1" x14ac:dyDescent="0.3">
      <c r="A25" s="358"/>
      <c r="B25" s="21" t="s">
        <v>35</v>
      </c>
      <c r="C25" s="46">
        <v>25</v>
      </c>
      <c r="D25" s="23"/>
      <c r="E25" s="47"/>
      <c r="F25" s="48"/>
      <c r="G25" s="112"/>
      <c r="H25" s="48">
        <v>4</v>
      </c>
      <c r="I25" s="49">
        <f t="shared" si="0"/>
        <v>21</v>
      </c>
    </row>
    <row r="26" spans="1:9" ht="17.25" customHeight="1" x14ac:dyDescent="0.3">
      <c r="A26" s="358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58"/>
      <c r="B27" s="21" t="s">
        <v>37</v>
      </c>
      <c r="C27" s="46">
        <v>23</v>
      </c>
      <c r="D27" s="23"/>
      <c r="E27" s="47"/>
      <c r="F27" s="48"/>
      <c r="G27" s="112"/>
      <c r="H27" s="48">
        <v>5</v>
      </c>
      <c r="I27" s="49">
        <f t="shared" si="0"/>
        <v>18</v>
      </c>
    </row>
    <row r="28" spans="1:9" ht="17.25" customHeight="1" x14ac:dyDescent="0.3">
      <c r="A28" s="358"/>
      <c r="B28" s="160" t="s">
        <v>38</v>
      </c>
      <c r="C28" s="55">
        <v>31</v>
      </c>
      <c r="D28" s="41"/>
      <c r="E28" s="42"/>
      <c r="F28" s="43"/>
      <c r="G28" s="113"/>
      <c r="H28" s="43">
        <v>13</v>
      </c>
      <c r="I28" s="45">
        <f t="shared" si="0"/>
        <v>18</v>
      </c>
    </row>
    <row r="29" spans="1:9" ht="17.25" customHeight="1" x14ac:dyDescent="0.3">
      <c r="A29" s="358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8"/>
      <c r="B30" s="56" t="s">
        <v>40</v>
      </c>
      <c r="C30" s="57">
        <v>62</v>
      </c>
      <c r="D30" s="29"/>
      <c r="E30" s="50"/>
      <c r="F30" s="51"/>
      <c r="G30" s="25"/>
      <c r="H30" s="51"/>
      <c r="I30" s="52">
        <f>C30-D30-D31-E30-E31+F30+F31-H30-H31-I31</f>
        <v>62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>
        <v>21</v>
      </c>
    </row>
    <row r="36" spans="1:9" ht="17.25" customHeight="1" x14ac:dyDescent="0.3">
      <c r="A36" s="358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>
        <v>14</v>
      </c>
      <c r="D39" s="29"/>
      <c r="E39" s="50"/>
      <c r="F39" s="51"/>
      <c r="G39" s="25"/>
      <c r="H39" s="51">
        <v>6</v>
      </c>
      <c r="I39" s="196">
        <f>C39-D39-D40*1/2-E39-E40*1/2+F39-H39-H40*1/2-I40*1/2</f>
        <v>8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>
        <v>1</v>
      </c>
      <c r="F44" s="51"/>
      <c r="G44" s="25"/>
      <c r="H44" s="51"/>
      <c r="I44" s="195">
        <v>20</v>
      </c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>
        <v>47</v>
      </c>
      <c r="D46" s="23"/>
      <c r="E46" s="47"/>
      <c r="F46" s="48"/>
      <c r="G46" s="116"/>
      <c r="H46" s="48"/>
      <c r="I46" s="49">
        <f t="shared" si="0"/>
        <v>47</v>
      </c>
    </row>
    <row r="47" spans="1:9" ht="17.25" customHeight="1" x14ac:dyDescent="0.3">
      <c r="A47" s="358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587</v>
      </c>
      <c r="D51" s="66">
        <f>SUM(D13:D46)</f>
        <v>0</v>
      </c>
      <c r="E51" s="67">
        <f>SUM(E13:E46)</f>
        <v>6</v>
      </c>
      <c r="F51" s="67">
        <f>SUM(F13:F46)</f>
        <v>0</v>
      </c>
      <c r="G51" s="68" t="s">
        <v>22</v>
      </c>
      <c r="H51" s="69">
        <f>SUM(H13:H46)</f>
        <v>88</v>
      </c>
      <c r="I51" s="70">
        <f>SUM(I13:I46)</f>
        <v>529.5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>
        <v>6</v>
      </c>
      <c r="F53" s="347"/>
      <c r="G53" s="347">
        <v>4</v>
      </c>
      <c r="H53" s="347"/>
      <c r="I53" s="349">
        <v>2</v>
      </c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>
        <v>148700</v>
      </c>
      <c r="F55" s="355"/>
      <c r="G55" s="355">
        <v>54100</v>
      </c>
      <c r="H55" s="347"/>
      <c r="I55" s="341">
        <v>348700</v>
      </c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 t="s">
        <v>810</v>
      </c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 t="s">
        <v>811</v>
      </c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 t="s">
        <v>812</v>
      </c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/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 t="s">
        <v>798</v>
      </c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25" t="s">
        <v>806</v>
      </c>
      <c r="D62" s="326"/>
      <c r="E62" s="326"/>
      <c r="F62" s="326"/>
      <c r="G62" s="326"/>
      <c r="H62" s="326"/>
      <c r="I62" s="327"/>
    </row>
    <row r="63" spans="1:10" s="76" customFormat="1" ht="17.25" customHeight="1" x14ac:dyDescent="0.3">
      <c r="A63" s="308"/>
      <c r="B63" s="309"/>
      <c r="C63" s="325" t="s">
        <v>808</v>
      </c>
      <c r="D63" s="326"/>
      <c r="E63" s="326"/>
      <c r="F63" s="326"/>
      <c r="G63" s="326"/>
      <c r="H63" s="326"/>
      <c r="I63" s="327"/>
    </row>
    <row r="64" spans="1:10" s="76" customFormat="1" ht="17.25" customHeight="1" thickBot="1" x14ac:dyDescent="0.35">
      <c r="A64" s="310"/>
      <c r="B64" s="311"/>
      <c r="C64" s="329" t="s">
        <v>809</v>
      </c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 t="s">
        <v>799</v>
      </c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 t="s">
        <v>807</v>
      </c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/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800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801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>
        <v>0.25</v>
      </c>
      <c r="D79" s="93" t="s">
        <v>802</v>
      </c>
      <c r="E79" s="94">
        <v>0.8125</v>
      </c>
      <c r="F79" s="93" t="s">
        <v>803</v>
      </c>
      <c r="G79" s="320" t="s">
        <v>804</v>
      </c>
      <c r="H79" s="321"/>
      <c r="I79" s="95" t="s">
        <v>805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A4" sqref="A4:H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</row>
    <row r="2" spans="1:9" x14ac:dyDescent="0.3">
      <c r="A2" s="375" t="s">
        <v>1</v>
      </c>
      <c r="B2" s="376"/>
      <c r="C2" s="377" t="s">
        <v>105</v>
      </c>
      <c r="D2" s="378"/>
      <c r="E2" s="371" t="s">
        <v>77</v>
      </c>
      <c r="F2" s="380" t="s">
        <v>2</v>
      </c>
      <c r="G2" s="381"/>
      <c r="H2" s="382" t="s">
        <v>76</v>
      </c>
      <c r="I2" s="383"/>
    </row>
    <row r="3" spans="1:9" x14ac:dyDescent="0.3">
      <c r="A3" s="384" t="s">
        <v>3</v>
      </c>
      <c r="B3" s="385"/>
      <c r="C3" s="4"/>
      <c r="D3" s="5" t="s">
        <v>4</v>
      </c>
      <c r="E3" s="379"/>
      <c r="F3" s="386"/>
      <c r="G3" s="387"/>
      <c r="H3" s="388">
        <f>G11+'30일'!H3:I3</f>
        <v>64875310</v>
      </c>
      <c r="I3" s="389"/>
    </row>
    <row r="4" spans="1:9" ht="7.5" customHeight="1" x14ac:dyDescent="0.3">
      <c r="A4" s="365"/>
      <c r="B4" s="366"/>
      <c r="C4" s="366"/>
      <c r="D4" s="366"/>
      <c r="E4" s="366"/>
      <c r="F4" s="366"/>
      <c r="G4" s="366"/>
      <c r="H4" s="36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/>
      <c r="G6" s="16"/>
      <c r="H6" s="17"/>
      <c r="I6" s="18"/>
    </row>
    <row r="7" spans="1:9" ht="7.5" customHeight="1" x14ac:dyDescent="0.3">
      <c r="A7" s="365"/>
      <c r="B7" s="366"/>
      <c r="C7" s="366"/>
      <c r="D7" s="366"/>
      <c r="E7" s="366"/>
      <c r="F7" s="366"/>
      <c r="G7" s="366"/>
      <c r="H7" s="36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12" t="s">
        <v>10</v>
      </c>
      <c r="B9" s="367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</row>
    <row r="10" spans="1:9" ht="18" customHeight="1" x14ac:dyDescent="0.3">
      <c r="A10" s="313"/>
      <c r="B10" s="36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</row>
    <row r="11" spans="1:9" ht="17.25" thickBot="1" x14ac:dyDescent="0.35">
      <c r="A11" s="314"/>
      <c r="B11" s="369"/>
      <c r="C11" s="101"/>
      <c r="D11" s="102"/>
      <c r="E11" s="109">
        <f>SUM(E55:I56)</f>
        <v>0</v>
      </c>
      <c r="F11" s="109">
        <f>SUM(E53:I54)</f>
        <v>0</v>
      </c>
      <c r="G11" s="110">
        <f>C11+E11</f>
        <v>0</v>
      </c>
      <c r="H11" s="110">
        <f>D11+F11</f>
        <v>0</v>
      </c>
      <c r="I11" s="111" t="e">
        <f>G11/H11</f>
        <v>#DIV/0!</v>
      </c>
    </row>
    <row r="12" spans="1:9" ht="30" customHeight="1" x14ac:dyDescent="0.3">
      <c r="A12" s="357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60" t="s">
        <v>19</v>
      </c>
      <c r="G12" s="361"/>
      <c r="H12" s="158" t="s">
        <v>20</v>
      </c>
      <c r="I12" s="100" t="s">
        <v>21</v>
      </c>
    </row>
    <row r="13" spans="1:9" ht="17.25" customHeight="1" x14ac:dyDescent="0.3">
      <c r="A13" s="358"/>
      <c r="B13" s="21" t="s">
        <v>23</v>
      </c>
      <c r="C13" s="22"/>
      <c r="D13" s="23"/>
      <c r="E13" s="22"/>
      <c r="F13" s="24"/>
      <c r="G13" s="25"/>
      <c r="H13" s="23"/>
      <c r="I13" s="26">
        <f>C13-D13-D14*1/2-E13-E14*1/2+F13-H13-H14*1/2-I14*1/2</f>
        <v>0</v>
      </c>
    </row>
    <row r="14" spans="1:9" ht="17.25" customHeight="1" x14ac:dyDescent="0.3">
      <c r="A14" s="358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8"/>
      <c r="B15" s="27" t="s">
        <v>25</v>
      </c>
      <c r="C15" s="33"/>
      <c r="D15" s="29"/>
      <c r="E15" s="30"/>
      <c r="F15" s="34"/>
      <c r="G15" s="25"/>
      <c r="H15" s="29"/>
      <c r="I15" s="35">
        <f>C15-D15-D16*1/2-E15-E16*1/2+F15-H15-H16*1/2-I16*1/2</f>
        <v>0</v>
      </c>
    </row>
    <row r="16" spans="1:9" ht="17.25" customHeight="1" x14ac:dyDescent="0.3">
      <c r="A16" s="358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8"/>
      <c r="B17" s="27" t="s">
        <v>27</v>
      </c>
      <c r="C17" s="33"/>
      <c r="D17" s="29"/>
      <c r="E17" s="30"/>
      <c r="F17" s="34"/>
      <c r="G17" s="118"/>
      <c r="H17" s="29"/>
      <c r="I17" s="37">
        <f>C17-D17-D18*1/2-E17-E18*1/2+F17-H17-H18*1/2-I18*1/2</f>
        <v>0</v>
      </c>
    </row>
    <row r="18" spans="1:9" ht="17.25" customHeight="1" x14ac:dyDescent="0.3">
      <c r="A18" s="358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8"/>
      <c r="B19" s="27" t="s">
        <v>29</v>
      </c>
      <c r="C19" s="33"/>
      <c r="D19" s="29"/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58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8"/>
      <c r="B21" s="39" t="s">
        <v>31</v>
      </c>
      <c r="C21" s="40"/>
      <c r="D21" s="41"/>
      <c r="E21" s="42"/>
      <c r="F21" s="43"/>
      <c r="G21" s="44"/>
      <c r="H21" s="43"/>
      <c r="I21" s="45">
        <f t="shared" ref="I21:I48" si="0">C21-D21-E21+F21-H21</f>
        <v>0</v>
      </c>
    </row>
    <row r="22" spans="1:9" ht="17.25" customHeight="1" x14ac:dyDescent="0.3">
      <c r="A22" s="358"/>
      <c r="B22" s="21" t="s">
        <v>32</v>
      </c>
      <c r="C22" s="46"/>
      <c r="D22" s="23"/>
      <c r="E22" s="47"/>
      <c r="F22" s="48"/>
      <c r="G22" s="25"/>
      <c r="H22" s="48"/>
      <c r="I22" s="49">
        <f t="shared" si="0"/>
        <v>0</v>
      </c>
    </row>
    <row r="23" spans="1:9" ht="17.25" customHeight="1" x14ac:dyDescent="0.3">
      <c r="A23" s="358"/>
      <c r="B23" s="27" t="s">
        <v>33</v>
      </c>
      <c r="C23" s="33"/>
      <c r="D23" s="29"/>
      <c r="E23" s="50"/>
      <c r="F23" s="51"/>
      <c r="G23" s="25"/>
      <c r="H23" s="51"/>
      <c r="I23" s="52">
        <f>C23-D23-D24-E23-E24+F23+F24-H23-H24-I24</f>
        <v>0</v>
      </c>
    </row>
    <row r="24" spans="1:9" ht="17.25" customHeight="1" x14ac:dyDescent="0.3">
      <c r="A24" s="358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8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58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58"/>
      <c r="B27" s="21" t="s">
        <v>37</v>
      </c>
      <c r="C27" s="46"/>
      <c r="D27" s="23"/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58"/>
      <c r="B28" s="160" t="s">
        <v>38</v>
      </c>
      <c r="C28" s="55"/>
      <c r="D28" s="41"/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58"/>
      <c r="B29" s="21" t="s">
        <v>39</v>
      </c>
      <c r="C29" s="46"/>
      <c r="D29" s="23"/>
      <c r="E29" s="47"/>
      <c r="F29" s="48"/>
      <c r="G29" s="25"/>
      <c r="H29" s="48"/>
      <c r="I29" s="49">
        <f t="shared" si="0"/>
        <v>0</v>
      </c>
    </row>
    <row r="30" spans="1:9" ht="17.25" customHeight="1" x14ac:dyDescent="0.3">
      <c r="A30" s="358"/>
      <c r="B30" s="56" t="s">
        <v>40</v>
      </c>
      <c r="C30" s="57"/>
      <c r="D30" s="29"/>
      <c r="E30" s="50"/>
      <c r="F30" s="51"/>
      <c r="G30" s="25"/>
      <c r="H30" s="51"/>
      <c r="I30" s="52">
        <f>C30-D30-D31-E30-E31+F30+F31-H30-H31-I31</f>
        <v>0</v>
      </c>
    </row>
    <row r="31" spans="1:9" ht="17.25" customHeight="1" x14ac:dyDescent="0.3">
      <c r="A31" s="358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8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8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8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8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8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58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8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8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8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8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8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8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8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8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8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58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8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8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8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9"/>
      <c r="B51" s="64" t="s">
        <v>42</v>
      </c>
      <c r="C51" s="65">
        <f>SUM(C13:C50)</f>
        <v>0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0</v>
      </c>
    </row>
    <row r="52" spans="1:10" ht="17.25" customHeight="1" x14ac:dyDescent="0.3">
      <c r="A52" s="306" t="s">
        <v>72</v>
      </c>
      <c r="B52" s="30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8"/>
      <c r="B53" s="309"/>
      <c r="C53" s="351" t="s">
        <v>74</v>
      </c>
      <c r="D53" s="353"/>
      <c r="E53" s="347"/>
      <c r="F53" s="347"/>
      <c r="G53" s="347"/>
      <c r="H53" s="347"/>
      <c r="I53" s="349"/>
      <c r="J53" s="174"/>
    </row>
    <row r="54" spans="1:10" s="76" customFormat="1" ht="17.25" customHeight="1" x14ac:dyDescent="0.3">
      <c r="A54" s="308"/>
      <c r="B54" s="309"/>
      <c r="C54" s="362"/>
      <c r="D54" s="363"/>
      <c r="E54" s="364"/>
      <c r="F54" s="364"/>
      <c r="G54" s="364"/>
      <c r="H54" s="348"/>
      <c r="I54" s="350"/>
    </row>
    <row r="55" spans="1:10" s="76" customFormat="1" ht="17.25" customHeight="1" x14ac:dyDescent="0.3">
      <c r="A55" s="308"/>
      <c r="B55" s="309"/>
      <c r="C55" s="351" t="s">
        <v>75</v>
      </c>
      <c r="D55" s="353"/>
      <c r="E55" s="355"/>
      <c r="F55" s="355"/>
      <c r="G55" s="355"/>
      <c r="H55" s="347"/>
      <c r="I55" s="341"/>
    </row>
    <row r="56" spans="1:10" s="76" customFormat="1" ht="17.25" customHeight="1" thickBot="1" x14ac:dyDescent="0.35">
      <c r="A56" s="310"/>
      <c r="B56" s="311"/>
      <c r="C56" s="352"/>
      <c r="D56" s="354"/>
      <c r="E56" s="356"/>
      <c r="F56" s="356"/>
      <c r="G56" s="356"/>
      <c r="H56" s="356"/>
      <c r="I56" s="342"/>
    </row>
    <row r="57" spans="1:10" s="76" customFormat="1" ht="17.25" customHeight="1" x14ac:dyDescent="0.3">
      <c r="A57" s="306" t="s">
        <v>45</v>
      </c>
      <c r="B57" s="307"/>
      <c r="C57" s="343"/>
      <c r="D57" s="331"/>
      <c r="E57" s="331"/>
      <c r="F57" s="331"/>
      <c r="G57" s="331"/>
      <c r="H57" s="331"/>
      <c r="I57" s="332"/>
    </row>
    <row r="58" spans="1:10" s="76" customFormat="1" ht="17.25" customHeight="1" x14ac:dyDescent="0.3">
      <c r="A58" s="308"/>
      <c r="B58" s="309"/>
      <c r="C58" s="326"/>
      <c r="D58" s="326"/>
      <c r="E58" s="326"/>
      <c r="F58" s="326"/>
      <c r="G58" s="326"/>
      <c r="H58" s="326"/>
      <c r="I58" s="327"/>
    </row>
    <row r="59" spans="1:10" s="76" customFormat="1" ht="17.25" customHeight="1" x14ac:dyDescent="0.3">
      <c r="A59" s="308"/>
      <c r="B59" s="309"/>
      <c r="C59" s="325"/>
      <c r="D59" s="326"/>
      <c r="E59" s="326"/>
      <c r="F59" s="326"/>
      <c r="G59" s="326"/>
      <c r="H59" s="326"/>
      <c r="I59" s="327"/>
    </row>
    <row r="60" spans="1:10" s="76" customFormat="1" ht="17.25" customHeight="1" thickBot="1" x14ac:dyDescent="0.35">
      <c r="A60" s="310"/>
      <c r="B60" s="311"/>
      <c r="C60" s="329"/>
      <c r="D60" s="329"/>
      <c r="E60" s="329"/>
      <c r="F60" s="329"/>
      <c r="G60" s="329"/>
      <c r="H60" s="329"/>
      <c r="I60" s="330"/>
    </row>
    <row r="61" spans="1:10" s="76" customFormat="1" ht="17.25" customHeight="1" x14ac:dyDescent="0.3">
      <c r="A61" s="306" t="s">
        <v>73</v>
      </c>
      <c r="B61" s="307"/>
      <c r="C61" s="322"/>
      <c r="D61" s="323"/>
      <c r="E61" s="323"/>
      <c r="F61" s="323"/>
      <c r="G61" s="323"/>
      <c r="H61" s="323"/>
      <c r="I61" s="324"/>
    </row>
    <row r="62" spans="1:10" s="76" customFormat="1" ht="17.25" customHeight="1" x14ac:dyDescent="0.3">
      <c r="A62" s="308"/>
      <c r="B62" s="309"/>
      <c r="C62" s="344"/>
      <c r="D62" s="345"/>
      <c r="E62" s="345"/>
      <c r="F62" s="345"/>
      <c r="G62" s="345"/>
      <c r="H62" s="345"/>
      <c r="I62" s="346"/>
    </row>
    <row r="63" spans="1:10" s="76" customFormat="1" ht="17.25" customHeight="1" x14ac:dyDescent="0.3">
      <c r="A63" s="308"/>
      <c r="B63" s="309"/>
      <c r="C63" s="344"/>
      <c r="D63" s="345"/>
      <c r="E63" s="345"/>
      <c r="F63" s="345"/>
      <c r="G63" s="345"/>
      <c r="H63" s="345"/>
      <c r="I63" s="346"/>
    </row>
    <row r="64" spans="1:10" s="76" customFormat="1" ht="17.25" customHeight="1" thickBot="1" x14ac:dyDescent="0.35">
      <c r="A64" s="310"/>
      <c r="B64" s="311"/>
      <c r="C64" s="329"/>
      <c r="D64" s="329"/>
      <c r="E64" s="329"/>
      <c r="F64" s="329"/>
      <c r="G64" s="329"/>
      <c r="H64" s="329"/>
      <c r="I64" s="330"/>
    </row>
    <row r="65" spans="1:9" s="76" customFormat="1" ht="17.25" customHeight="1" x14ac:dyDescent="0.3">
      <c r="A65" s="333" t="s">
        <v>46</v>
      </c>
      <c r="B65" s="336" t="s">
        <v>47</v>
      </c>
      <c r="C65" s="323"/>
      <c r="D65" s="323"/>
      <c r="E65" s="323"/>
      <c r="F65" s="323"/>
      <c r="G65" s="323"/>
      <c r="H65" s="323"/>
      <c r="I65" s="324"/>
    </row>
    <row r="66" spans="1:9" s="76" customFormat="1" ht="17.25" customHeight="1" x14ac:dyDescent="0.3">
      <c r="A66" s="334"/>
      <c r="B66" s="337"/>
      <c r="C66" s="331"/>
      <c r="D66" s="331"/>
      <c r="E66" s="331"/>
      <c r="F66" s="331"/>
      <c r="G66" s="331"/>
      <c r="H66" s="331"/>
      <c r="I66" s="332"/>
    </row>
    <row r="67" spans="1:9" s="76" customFormat="1" ht="17.25" customHeight="1" x14ac:dyDescent="0.3">
      <c r="A67" s="334"/>
      <c r="B67" s="338" t="s">
        <v>48</v>
      </c>
      <c r="C67" s="326"/>
      <c r="D67" s="326"/>
      <c r="E67" s="326"/>
      <c r="F67" s="326"/>
      <c r="G67" s="326"/>
      <c r="H67" s="326"/>
      <c r="I67" s="327"/>
    </row>
    <row r="68" spans="1:9" s="76" customFormat="1" ht="17.25" customHeight="1" x14ac:dyDescent="0.3">
      <c r="A68" s="334"/>
      <c r="B68" s="337"/>
      <c r="C68" s="331"/>
      <c r="D68" s="331"/>
      <c r="E68" s="331"/>
      <c r="F68" s="331"/>
      <c r="G68" s="331"/>
      <c r="H68" s="331"/>
      <c r="I68" s="332"/>
    </row>
    <row r="69" spans="1:9" s="76" customFormat="1" ht="17.25" customHeight="1" thickBot="1" x14ac:dyDescent="0.35">
      <c r="A69" s="335"/>
      <c r="B69" s="339"/>
      <c r="C69" s="328"/>
      <c r="D69" s="329"/>
      <c r="E69" s="329"/>
      <c r="F69" s="329"/>
      <c r="G69" s="329"/>
      <c r="H69" s="329"/>
      <c r="I69" s="330"/>
    </row>
    <row r="70" spans="1:9" s="76" customFormat="1" ht="17.25" customHeight="1" x14ac:dyDescent="0.3">
      <c r="A70" s="306" t="s">
        <v>49</v>
      </c>
      <c r="B70" s="307"/>
      <c r="C70" s="331"/>
      <c r="D70" s="331"/>
      <c r="E70" s="331"/>
      <c r="F70" s="331"/>
      <c r="G70" s="331"/>
      <c r="H70" s="331"/>
      <c r="I70" s="332"/>
    </row>
    <row r="71" spans="1:9" s="76" customFormat="1" ht="17.25" customHeight="1" x14ac:dyDescent="0.3">
      <c r="A71" s="308"/>
      <c r="B71" s="309"/>
      <c r="C71" s="331"/>
      <c r="D71" s="331"/>
      <c r="E71" s="331"/>
      <c r="F71" s="331"/>
      <c r="G71" s="331"/>
      <c r="H71" s="331"/>
      <c r="I71" s="332"/>
    </row>
    <row r="72" spans="1:9" s="76" customFormat="1" ht="17.25" customHeight="1" thickBot="1" x14ac:dyDescent="0.35">
      <c r="A72" s="310"/>
      <c r="B72" s="311"/>
      <c r="C72" s="328"/>
      <c r="D72" s="329"/>
      <c r="E72" s="329"/>
      <c r="F72" s="329"/>
      <c r="G72" s="329"/>
      <c r="H72" s="329"/>
      <c r="I72" s="330"/>
    </row>
    <row r="73" spans="1:9" s="76" customFormat="1" ht="17.25" customHeight="1" x14ac:dyDescent="0.3">
      <c r="A73" s="306" t="s">
        <v>50</v>
      </c>
      <c r="B73" s="307"/>
      <c r="C73" s="322"/>
      <c r="D73" s="323"/>
      <c r="E73" s="323"/>
      <c r="F73" s="323"/>
      <c r="G73" s="323"/>
      <c r="H73" s="323"/>
      <c r="I73" s="324"/>
    </row>
    <row r="74" spans="1:9" s="76" customFormat="1" ht="17.25" customHeight="1" thickBot="1" x14ac:dyDescent="0.35">
      <c r="A74" s="310"/>
      <c r="B74" s="311"/>
      <c r="C74" s="325"/>
      <c r="D74" s="326"/>
      <c r="E74" s="326"/>
      <c r="F74" s="326"/>
      <c r="G74" s="326"/>
      <c r="H74" s="326"/>
      <c r="I74" s="327"/>
    </row>
    <row r="75" spans="1:9" s="76" customFormat="1" ht="17.25" customHeight="1" x14ac:dyDescent="0.3">
      <c r="A75" s="306" t="s">
        <v>51</v>
      </c>
      <c r="B75" s="30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02" t="s">
        <v>61</v>
      </c>
      <c r="B78" s="303"/>
      <c r="C78" s="315" t="s">
        <v>62</v>
      </c>
      <c r="D78" s="316"/>
      <c r="E78" s="317" t="s">
        <v>63</v>
      </c>
      <c r="F78" s="316"/>
      <c r="G78" s="318" t="s">
        <v>64</v>
      </c>
      <c r="H78" s="319"/>
      <c r="I78" s="90" t="s">
        <v>65</v>
      </c>
    </row>
    <row r="79" spans="1:9" s="76" customFormat="1" ht="17.25" customHeight="1" thickBot="1" x14ac:dyDescent="0.35">
      <c r="A79" s="304"/>
      <c r="B79" s="305"/>
      <c r="C79" s="92"/>
      <c r="D79" s="93"/>
      <c r="E79" s="94"/>
      <c r="F79" s="93"/>
      <c r="G79" s="320"/>
      <c r="H79" s="321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9" t="s">
        <v>66</v>
      </c>
      <c r="I80" s="299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zoomScale="90" zoomScaleNormal="90" workbookViewId="0">
      <selection activeCell="I12" sqref="I12"/>
    </sheetView>
  </sheetViews>
  <sheetFormatPr defaultColWidth="9" defaultRowHeight="16.5" x14ac:dyDescent="0.3"/>
  <cols>
    <col min="1" max="1" width="7.875" style="2" customWidth="1"/>
    <col min="2" max="2" width="15.625" style="2" customWidth="1"/>
    <col min="3" max="9" width="13.375" style="2" customWidth="1"/>
    <col min="10" max="10" width="1.375" style="134" customWidth="1"/>
    <col min="11" max="11" width="18.125" style="134" customWidth="1"/>
    <col min="12" max="12" width="9.5" style="2" bestFit="1" customWidth="1"/>
    <col min="13" max="16384" width="9" style="2"/>
  </cols>
  <sheetData>
    <row r="1" spans="1:14" ht="39" thickBot="1" x14ac:dyDescent="0.35">
      <c r="A1" s="372" t="s">
        <v>0</v>
      </c>
      <c r="B1" s="373"/>
      <c r="C1" s="373"/>
      <c r="D1" s="373"/>
      <c r="E1" s="373"/>
      <c r="F1" s="373"/>
      <c r="G1" s="373"/>
      <c r="H1" s="373"/>
      <c r="I1" s="374"/>
      <c r="J1" s="132"/>
      <c r="K1" s="132"/>
    </row>
    <row r="2" spans="1:14" x14ac:dyDescent="0.3">
      <c r="A2" s="375" t="s">
        <v>1</v>
      </c>
      <c r="B2" s="376"/>
      <c r="C2" s="377" t="s">
        <v>81</v>
      </c>
      <c r="D2" s="378"/>
      <c r="E2" s="371" t="s">
        <v>77</v>
      </c>
      <c r="F2" s="380" t="s">
        <v>2</v>
      </c>
      <c r="G2" s="381"/>
      <c r="H2" s="382" t="s">
        <v>76</v>
      </c>
      <c r="I2" s="383"/>
      <c r="J2" s="133"/>
      <c r="K2" s="133"/>
    </row>
    <row r="3" spans="1:14" x14ac:dyDescent="0.3">
      <c r="A3" s="384" t="s">
        <v>3</v>
      </c>
      <c r="B3" s="385"/>
      <c r="C3" s="4"/>
      <c r="D3" s="5" t="s">
        <v>4</v>
      </c>
      <c r="E3" s="379"/>
      <c r="F3" s="386"/>
      <c r="G3" s="387"/>
      <c r="H3" s="388">
        <f>G11</f>
        <v>64875310</v>
      </c>
      <c r="I3" s="389"/>
      <c r="J3" s="133"/>
      <c r="K3" s="133"/>
    </row>
    <row r="4" spans="1:14" hidden="1" x14ac:dyDescent="0.3">
      <c r="A4" s="166"/>
      <c r="B4" s="167"/>
      <c r="C4" s="168"/>
      <c r="D4" s="119"/>
      <c r="E4" s="169"/>
      <c r="F4" s="161"/>
      <c r="G4" s="84"/>
      <c r="H4" s="170"/>
      <c r="I4" s="171"/>
      <c r="J4" s="133"/>
      <c r="K4" s="133"/>
    </row>
    <row r="5" spans="1:14" hidden="1" x14ac:dyDescent="0.3">
      <c r="A5" s="166"/>
      <c r="B5" s="167"/>
      <c r="C5" s="168"/>
      <c r="D5" s="119"/>
      <c r="E5" s="169"/>
      <c r="F5" s="161"/>
      <c r="G5" s="84"/>
      <c r="H5" s="170"/>
      <c r="I5" s="171"/>
      <c r="J5" s="133"/>
      <c r="K5" s="133"/>
    </row>
    <row r="6" spans="1:14" hidden="1" x14ac:dyDescent="0.3">
      <c r="A6" s="166"/>
      <c r="B6" s="167"/>
      <c r="C6" s="168"/>
      <c r="D6" s="119"/>
      <c r="E6" s="169"/>
      <c r="F6" s="161"/>
      <c r="G6" s="84"/>
      <c r="H6" s="170"/>
      <c r="I6" s="171"/>
      <c r="J6" s="133"/>
      <c r="K6" s="133"/>
    </row>
    <row r="7" spans="1:14" hidden="1" x14ac:dyDescent="0.3">
      <c r="A7" s="166"/>
      <c r="B7" s="167"/>
      <c r="C7" s="168"/>
      <c r="D7" s="119"/>
      <c r="E7" s="169"/>
      <c r="F7" s="161"/>
      <c r="G7" s="84"/>
      <c r="H7" s="170"/>
      <c r="I7" s="171"/>
      <c r="J7" s="133"/>
      <c r="K7" s="133"/>
    </row>
    <row r="8" spans="1:14" ht="18" customHeight="1" thickBot="1" x14ac:dyDescent="0.35">
      <c r="A8" s="114"/>
      <c r="B8" s="115"/>
      <c r="C8" s="115"/>
      <c r="D8" s="115"/>
      <c r="E8" s="115"/>
      <c r="F8" s="115"/>
      <c r="G8" s="115"/>
      <c r="H8" s="115"/>
      <c r="I8" s="6"/>
      <c r="J8" s="133"/>
      <c r="K8" s="133"/>
    </row>
    <row r="9" spans="1:14" ht="18" customHeight="1" x14ac:dyDescent="0.3">
      <c r="A9" s="312" t="s">
        <v>10</v>
      </c>
      <c r="B9" s="415" t="s">
        <v>11</v>
      </c>
      <c r="C9" s="370" t="s">
        <v>68</v>
      </c>
      <c r="D9" s="371"/>
      <c r="E9" s="371" t="s">
        <v>67</v>
      </c>
      <c r="F9" s="371"/>
      <c r="G9" s="371" t="s">
        <v>69</v>
      </c>
      <c r="H9" s="371"/>
      <c r="I9" s="300" t="s">
        <v>78</v>
      </c>
      <c r="J9" s="133"/>
      <c r="K9" s="133"/>
    </row>
    <row r="10" spans="1:14" ht="18" customHeight="1" x14ac:dyDescent="0.3">
      <c r="A10" s="313"/>
      <c r="B10" s="416"/>
      <c r="C10" s="138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01"/>
      <c r="J10" s="133"/>
      <c r="K10" s="133"/>
    </row>
    <row r="11" spans="1:14" ht="17.25" thickBot="1" x14ac:dyDescent="0.35">
      <c r="A11" s="314"/>
      <c r="B11" s="417"/>
      <c r="C11" s="125">
        <f>SUM('1일:31일'!C11)</f>
        <v>57400500</v>
      </c>
      <c r="D11" s="125">
        <f>SUM('1일:31일'!D11)</f>
        <v>4096</v>
      </c>
      <c r="E11" s="125">
        <f>SUM('1일:31일'!E11)</f>
        <v>7474810</v>
      </c>
      <c r="F11" s="125">
        <f>SUM('1일:31일'!F11)</f>
        <v>297</v>
      </c>
      <c r="G11" s="125">
        <f>SUM('1일:31일'!G11)</f>
        <v>64875310</v>
      </c>
      <c r="H11" s="125">
        <f>SUM('1일:31일'!H11)</f>
        <v>4393</v>
      </c>
      <c r="I11" s="125">
        <f>G11/H11</f>
        <v>14767.882995674938</v>
      </c>
      <c r="J11" s="133"/>
      <c r="K11" s="133"/>
    </row>
    <row r="12" spans="1:14" ht="30" customHeight="1" thickBot="1" x14ac:dyDescent="0.35">
      <c r="A12" s="420" t="s">
        <v>14</v>
      </c>
      <c r="B12" s="107" t="s">
        <v>15</v>
      </c>
      <c r="C12" s="142" t="s">
        <v>82</v>
      </c>
      <c r="D12" s="143" t="s">
        <v>83</v>
      </c>
      <c r="E12" s="144" t="s">
        <v>84</v>
      </c>
      <c r="F12" s="418" t="s">
        <v>85</v>
      </c>
      <c r="G12" s="419"/>
      <c r="H12" s="143" t="s">
        <v>86</v>
      </c>
      <c r="I12" s="145" t="s">
        <v>87</v>
      </c>
      <c r="J12" s="131"/>
      <c r="K12" s="140" t="s">
        <v>15</v>
      </c>
      <c r="L12" s="229" t="s">
        <v>92</v>
      </c>
      <c r="M12" s="230" t="s">
        <v>93</v>
      </c>
      <c r="N12" s="177" t="s">
        <v>102</v>
      </c>
    </row>
    <row r="13" spans="1:14" ht="16.5" customHeight="1" x14ac:dyDescent="0.3">
      <c r="A13" s="421"/>
      <c r="B13" s="126" t="s">
        <v>23</v>
      </c>
      <c r="C13" s="146">
        <f>SUM('1일:31일'!C13)</f>
        <v>822</v>
      </c>
      <c r="D13" s="146">
        <f>SUM('1일:31일'!D13)</f>
        <v>1</v>
      </c>
      <c r="E13" s="146">
        <f>SUM('1일:31일'!E13)</f>
        <v>10</v>
      </c>
      <c r="F13" s="146">
        <f>SUM('1일:31일'!F13)</f>
        <v>0</v>
      </c>
      <c r="G13" s="146"/>
      <c r="H13" s="146">
        <f>SUM('1일:31일'!H13)</f>
        <v>23</v>
      </c>
      <c r="I13" s="146">
        <f>SUM('1일:31일'!I13)</f>
        <v>777.5</v>
      </c>
      <c r="J13" s="135"/>
      <c r="K13" s="228" t="s">
        <v>23</v>
      </c>
      <c r="L13" s="232">
        <f>(I13+I14*0.5)/(C13+F13)</f>
        <v>0.94586374695863751</v>
      </c>
      <c r="M13" s="225">
        <f>1-L13</f>
        <v>5.4136253041362492E-2</v>
      </c>
      <c r="N13" s="233">
        <f>(H13+H14*0.5)/(C13+F13)</f>
        <v>3.0413625304136254E-2</v>
      </c>
    </row>
    <row r="14" spans="1:14" ht="16.5" customHeight="1" x14ac:dyDescent="0.3">
      <c r="A14" s="421"/>
      <c r="B14" s="27" t="s">
        <v>24</v>
      </c>
      <c r="C14" s="146">
        <f>SUM('1일:31일'!C14)</f>
        <v>0</v>
      </c>
      <c r="D14" s="146">
        <f>SUM('1일:31일'!D14)</f>
        <v>1</v>
      </c>
      <c r="E14" s="146">
        <f>SUM('1일:31일'!E14)</f>
        <v>16</v>
      </c>
      <c r="F14" s="146">
        <f>SUM('1일:31일'!F14)</f>
        <v>0</v>
      </c>
      <c r="G14" s="146"/>
      <c r="H14" s="146">
        <f>SUM('1일:31일'!H14)</f>
        <v>4</v>
      </c>
      <c r="I14" s="146">
        <f>SUM('1일:31일'!I14)</f>
        <v>0</v>
      </c>
      <c r="J14" s="135"/>
      <c r="K14" s="228" t="s">
        <v>24</v>
      </c>
      <c r="L14" s="234"/>
      <c r="M14" s="151"/>
      <c r="N14" s="149"/>
    </row>
    <row r="15" spans="1:14" ht="16.5" customHeight="1" x14ac:dyDescent="0.3">
      <c r="A15" s="421"/>
      <c r="B15" s="27" t="s">
        <v>25</v>
      </c>
      <c r="C15" s="146">
        <f>SUM('1일:31일'!C15)</f>
        <v>583</v>
      </c>
      <c r="D15" s="146">
        <f>SUM('1일:31일'!D15)</f>
        <v>0</v>
      </c>
      <c r="E15" s="146">
        <f>SUM('1일:31일'!E15)</f>
        <v>9</v>
      </c>
      <c r="F15" s="146">
        <f>SUM('1일:31일'!F15)</f>
        <v>0</v>
      </c>
      <c r="G15" s="146"/>
      <c r="H15" s="146">
        <f>SUM('1일:31일'!H15)</f>
        <v>78</v>
      </c>
      <c r="I15" s="146" t="e">
        <f>SUM('1일:31일'!I15)</f>
        <v>#VALUE!</v>
      </c>
      <c r="J15" s="135"/>
      <c r="K15" s="228" t="s">
        <v>25</v>
      </c>
      <c r="L15" s="235" t="e">
        <f>(I15+I16*0.5)/(C15+F15)</f>
        <v>#VALUE!</v>
      </c>
      <c r="M15" s="150" t="e">
        <f t="shared" ref="M15:M39" si="0">1-L15</f>
        <v>#VALUE!</v>
      </c>
      <c r="N15" s="139">
        <f>(H15+H16*0.5)/(C15+F15)</f>
        <v>0.13636363636363635</v>
      </c>
    </row>
    <row r="16" spans="1:14" ht="16.5" customHeight="1" x14ac:dyDescent="0.3">
      <c r="A16" s="421"/>
      <c r="B16" s="27" t="s">
        <v>26</v>
      </c>
      <c r="C16" s="146">
        <f>SUM('1일:31일'!C16)</f>
        <v>0</v>
      </c>
      <c r="D16" s="146">
        <f>SUM('1일:31일'!D16)</f>
        <v>0</v>
      </c>
      <c r="E16" s="146">
        <f>SUM('1일:31일'!E16)</f>
        <v>16</v>
      </c>
      <c r="F16" s="146">
        <f>SUM('1일:31일'!F16)</f>
        <v>0</v>
      </c>
      <c r="G16" s="146"/>
      <c r="H16" s="146">
        <f>SUM('1일:31일'!H16)</f>
        <v>3</v>
      </c>
      <c r="I16" s="146">
        <f>SUM('1일:31일'!I16)</f>
        <v>0</v>
      </c>
      <c r="J16" s="135"/>
      <c r="K16" s="228" t="s">
        <v>26</v>
      </c>
      <c r="L16" s="234"/>
      <c r="M16" s="151"/>
      <c r="N16" s="149"/>
    </row>
    <row r="17" spans="1:14" ht="16.5" customHeight="1" x14ac:dyDescent="0.3">
      <c r="A17" s="421"/>
      <c r="B17" s="27" t="s">
        <v>27</v>
      </c>
      <c r="C17" s="146">
        <f>SUM('1일:31일'!C17)</f>
        <v>647</v>
      </c>
      <c r="D17" s="146">
        <f>SUM('1일:31일'!D17)</f>
        <v>0</v>
      </c>
      <c r="E17" s="146">
        <f>SUM('1일:31일'!E17)</f>
        <v>14</v>
      </c>
      <c r="F17" s="146">
        <f>SUM('1일:31일'!F17)</f>
        <v>0</v>
      </c>
      <c r="G17" s="146"/>
      <c r="H17" s="146">
        <f>SUM('1일:31일'!H17)</f>
        <v>19</v>
      </c>
      <c r="I17" s="146">
        <f>SUM('1일:31일'!I17)</f>
        <v>609.5</v>
      </c>
      <c r="J17" s="135"/>
      <c r="K17" s="228" t="s">
        <v>27</v>
      </c>
      <c r="L17" s="235">
        <f t="shared" ref="L17:L19" si="1">(I17+I18*0.5)/(C17+F17)</f>
        <v>0.94204018547140644</v>
      </c>
      <c r="M17" s="150">
        <f t="shared" si="0"/>
        <v>5.7959814528593556E-2</v>
      </c>
      <c r="N17" s="139">
        <f>(H17+H18*0.5)/(C17+F17)</f>
        <v>3.0911901081916538E-2</v>
      </c>
    </row>
    <row r="18" spans="1:14" ht="16.5" customHeight="1" x14ac:dyDescent="0.3">
      <c r="A18" s="421"/>
      <c r="B18" s="27" t="s">
        <v>28</v>
      </c>
      <c r="C18" s="146">
        <f>SUM('1일:31일'!C18)</f>
        <v>0</v>
      </c>
      <c r="D18" s="146">
        <f>SUM('1일:31일'!D18)</f>
        <v>0</v>
      </c>
      <c r="E18" s="146">
        <f>SUM('1일:31일'!E18)</f>
        <v>7</v>
      </c>
      <c r="F18" s="146">
        <f>SUM('1일:31일'!F18)</f>
        <v>0</v>
      </c>
      <c r="G18" s="146"/>
      <c r="H18" s="146">
        <f>SUM('1일:31일'!H18)</f>
        <v>2</v>
      </c>
      <c r="I18" s="146">
        <f>SUM('1일:31일'!I18)</f>
        <v>0</v>
      </c>
      <c r="J18" s="135"/>
      <c r="K18" s="228" t="s">
        <v>28</v>
      </c>
      <c r="L18" s="234"/>
      <c r="M18" s="151"/>
      <c r="N18" s="149"/>
    </row>
    <row r="19" spans="1:14" ht="16.5" customHeight="1" x14ac:dyDescent="0.3">
      <c r="A19" s="421"/>
      <c r="B19" s="27" t="s">
        <v>29</v>
      </c>
      <c r="C19" s="146">
        <f>SUM('1일:31일'!C19)</f>
        <v>333</v>
      </c>
      <c r="D19" s="146">
        <f>SUM('1일:31일'!D19)</f>
        <v>2</v>
      </c>
      <c r="E19" s="146">
        <f>SUM('1일:31일'!E19)</f>
        <v>8</v>
      </c>
      <c r="F19" s="146">
        <f>SUM('1일:31일'!F19)</f>
        <v>0</v>
      </c>
      <c r="G19" s="146"/>
      <c r="H19" s="146">
        <f>SUM('1일:31일'!H19)</f>
        <v>26</v>
      </c>
      <c r="I19" s="146" t="e">
        <f>SUM('1일:31일'!I19)</f>
        <v>#VALUE!</v>
      </c>
      <c r="J19" s="135"/>
      <c r="K19" s="228" t="s">
        <v>29</v>
      </c>
      <c r="L19" s="235" t="e">
        <f t="shared" si="1"/>
        <v>#VALUE!</v>
      </c>
      <c r="M19" s="150" t="e">
        <f t="shared" si="0"/>
        <v>#VALUE!</v>
      </c>
      <c r="N19" s="139">
        <f>(H19+H20*0.5)/(C19+F19)</f>
        <v>8.5585585585585586E-2</v>
      </c>
    </row>
    <row r="20" spans="1:14" ht="16.5" customHeight="1" thickBot="1" x14ac:dyDescent="0.35">
      <c r="A20" s="421"/>
      <c r="B20" s="27" t="s">
        <v>30</v>
      </c>
      <c r="C20" s="146">
        <f>SUM('1일:31일'!C20)</f>
        <v>0</v>
      </c>
      <c r="D20" s="146">
        <f>SUM('1일:31일'!D20)</f>
        <v>5</v>
      </c>
      <c r="E20" s="146">
        <f>SUM('1일:31일'!E20)</f>
        <v>14</v>
      </c>
      <c r="F20" s="146">
        <f>SUM('1일:31일'!F20)</f>
        <v>0</v>
      </c>
      <c r="G20" s="146"/>
      <c r="H20" s="146">
        <f>SUM('1일:31일'!H20)</f>
        <v>5</v>
      </c>
      <c r="I20" s="146">
        <f>SUM('1일:31일'!I20)</f>
        <v>0</v>
      </c>
      <c r="J20" s="135"/>
      <c r="K20" s="228" t="s">
        <v>30</v>
      </c>
      <c r="L20" s="236"/>
      <c r="M20" s="193"/>
      <c r="N20" s="237"/>
    </row>
    <row r="21" spans="1:14" ht="16.5" customHeight="1" x14ac:dyDescent="0.3">
      <c r="A21" s="421"/>
      <c r="B21" s="58" t="s">
        <v>31</v>
      </c>
      <c r="C21" s="146">
        <f>SUM('1일:31일'!C21)</f>
        <v>1775</v>
      </c>
      <c r="D21" s="146">
        <f>SUM('1일:31일'!D21)</f>
        <v>0</v>
      </c>
      <c r="E21" s="146">
        <f>SUM('1일:31일'!E21)</f>
        <v>66</v>
      </c>
      <c r="F21" s="146">
        <f>SUM('1일:31일'!F21)</f>
        <v>0</v>
      </c>
      <c r="G21" s="146"/>
      <c r="H21" s="146">
        <f>SUM('1일:31일'!H21)</f>
        <v>99</v>
      </c>
      <c r="I21" s="146">
        <f>SUM('1일:31일'!I21)</f>
        <v>1610</v>
      </c>
      <c r="J21" s="135"/>
      <c r="K21" s="238" t="s">
        <v>31</v>
      </c>
      <c r="L21" s="241">
        <f>I21/(C21+F21)</f>
        <v>0.90704225352112677</v>
      </c>
      <c r="M21" s="225">
        <f>1-L21</f>
        <v>9.2957746478873227E-2</v>
      </c>
      <c r="N21" s="233">
        <f>H21/(C21+F21)</f>
        <v>5.5774647887323947E-2</v>
      </c>
    </row>
    <row r="22" spans="1:14" ht="16.5" customHeight="1" x14ac:dyDescent="0.3">
      <c r="A22" s="421"/>
      <c r="B22" s="126" t="s">
        <v>32</v>
      </c>
      <c r="C22" s="146">
        <f>SUM('1일:31일'!C22)</f>
        <v>844</v>
      </c>
      <c r="D22" s="146">
        <f>SUM('1일:31일'!D22)</f>
        <v>2</v>
      </c>
      <c r="E22" s="146">
        <f>SUM('1일:31일'!E22)</f>
        <v>32</v>
      </c>
      <c r="F22" s="146">
        <f>SUM('1일:31일'!F22)</f>
        <v>0</v>
      </c>
      <c r="G22" s="146"/>
      <c r="H22" s="146">
        <f>SUM('1일:31일'!H22)</f>
        <v>108</v>
      </c>
      <c r="I22" s="146">
        <f>SUM('1일:31일'!I22)</f>
        <v>702</v>
      </c>
      <c r="J22" s="135"/>
      <c r="K22" s="228" t="s">
        <v>32</v>
      </c>
      <c r="L22" s="235">
        <f>I22/(C22+F22)</f>
        <v>0.83175355450236965</v>
      </c>
      <c r="M22" s="150">
        <f>1-L22</f>
        <v>0.16824644549763035</v>
      </c>
      <c r="N22" s="139">
        <f>H22/(C22+F22)</f>
        <v>0.12796208530805686</v>
      </c>
    </row>
    <row r="23" spans="1:14" ht="16.5" customHeight="1" x14ac:dyDescent="0.3">
      <c r="A23" s="421"/>
      <c r="B23" s="27" t="s">
        <v>33</v>
      </c>
      <c r="C23" s="146">
        <f>SUM('1일:31일'!C23)</f>
        <v>3664</v>
      </c>
      <c r="D23" s="146">
        <f>SUM('1일:31일'!D23)</f>
        <v>8</v>
      </c>
      <c r="E23" s="146">
        <f>SUM('1일:31일'!E23)</f>
        <v>96</v>
      </c>
      <c r="F23" s="146">
        <f>SUM('1일:31일'!F23)</f>
        <v>0</v>
      </c>
      <c r="G23" s="146"/>
      <c r="H23" s="146">
        <f>SUM('1일:31일'!H23)</f>
        <v>238</v>
      </c>
      <c r="I23" s="146">
        <f>SUM('1일:31일'!I23)</f>
        <v>3077</v>
      </c>
      <c r="J23" s="135"/>
      <c r="K23" s="228" t="s">
        <v>33</v>
      </c>
      <c r="L23" s="424">
        <f>(I23+I24)/(C23+F23+F24)</f>
        <v>0.83979257641921401</v>
      </c>
      <c r="M23" s="425">
        <f t="shared" ref="M23" si="2">1-L23</f>
        <v>0.16020742358078599</v>
      </c>
      <c r="N23" s="422">
        <f>(H23+H24)/(C23+F23+F24)</f>
        <v>0.11490174672489083</v>
      </c>
    </row>
    <row r="24" spans="1:14" ht="16.5" customHeight="1" x14ac:dyDescent="0.3">
      <c r="A24" s="421"/>
      <c r="B24" s="127" t="s">
        <v>34</v>
      </c>
      <c r="C24" s="146">
        <f>SUM('1일:31일'!C24)</f>
        <v>0</v>
      </c>
      <c r="D24" s="146">
        <f>SUM('1일:31일'!D24)</f>
        <v>12</v>
      </c>
      <c r="E24" s="146">
        <f>SUM('1일:31일'!E24)</f>
        <v>50</v>
      </c>
      <c r="F24" s="146">
        <f>SUM('1일:31일'!F24)</f>
        <v>0</v>
      </c>
      <c r="G24" s="146"/>
      <c r="H24" s="146">
        <f>SUM('1일:31일'!H24)</f>
        <v>183</v>
      </c>
      <c r="I24" s="146">
        <f>SUM('1일:31일'!I24)</f>
        <v>0</v>
      </c>
      <c r="J24" s="135"/>
      <c r="K24" s="228" t="s">
        <v>34</v>
      </c>
      <c r="L24" s="424"/>
      <c r="M24" s="425"/>
      <c r="N24" s="422"/>
    </row>
    <row r="25" spans="1:14" ht="16.5" customHeight="1" x14ac:dyDescent="0.3">
      <c r="A25" s="421"/>
      <c r="B25" s="21" t="s">
        <v>35</v>
      </c>
      <c r="C25" s="146">
        <f>SUM('1일:31일'!C25)</f>
        <v>670</v>
      </c>
      <c r="D25" s="146">
        <f>SUM('1일:31일'!D25)</f>
        <v>3</v>
      </c>
      <c r="E25" s="146">
        <f>SUM('1일:31일'!E25)</f>
        <v>16</v>
      </c>
      <c r="F25" s="146">
        <f>SUM('1일:31일'!F25)</f>
        <v>0</v>
      </c>
      <c r="G25" s="146"/>
      <c r="H25" s="146">
        <f>SUM('1일:31일'!H25)</f>
        <v>108</v>
      </c>
      <c r="I25" s="146">
        <f>SUM('1일:31일'!I25)</f>
        <v>543</v>
      </c>
      <c r="J25" s="135"/>
      <c r="K25" s="228" t="s">
        <v>35</v>
      </c>
      <c r="L25" s="235">
        <f>I25/(C25+F25)</f>
        <v>0.81044776119402984</v>
      </c>
      <c r="M25" s="150">
        <f t="shared" si="0"/>
        <v>0.18955223880597016</v>
      </c>
      <c r="N25" s="139">
        <f>H25/(C25+F25)</f>
        <v>0.16119402985074627</v>
      </c>
    </row>
    <row r="26" spans="1:14" ht="16.5" customHeight="1" x14ac:dyDescent="0.3">
      <c r="A26" s="421"/>
      <c r="B26" s="127" t="s">
        <v>36</v>
      </c>
      <c r="C26" s="146">
        <f>SUM('1일:31일'!C26)</f>
        <v>692</v>
      </c>
      <c r="D26" s="146">
        <f>SUM('1일:31일'!D26)</f>
        <v>0</v>
      </c>
      <c r="E26" s="146">
        <f>SUM('1일:31일'!E26)</f>
        <v>4</v>
      </c>
      <c r="F26" s="146">
        <f>SUM('1일:31일'!F26)</f>
        <v>0</v>
      </c>
      <c r="G26" s="146"/>
      <c r="H26" s="146">
        <f>SUM('1일:31일'!H26)</f>
        <v>11</v>
      </c>
      <c r="I26" s="146">
        <f>SUM('1일:31일'!I26)</f>
        <v>677</v>
      </c>
      <c r="J26" s="135"/>
      <c r="K26" s="228" t="s">
        <v>36</v>
      </c>
      <c r="L26" s="235">
        <f>I26/(C26+F26)</f>
        <v>0.97832369942196529</v>
      </c>
      <c r="M26" s="150">
        <f t="shared" si="0"/>
        <v>2.1676300578034713E-2</v>
      </c>
      <c r="N26" s="139">
        <f t="shared" ref="N26:N27" si="3">H26/(C26+F26)</f>
        <v>1.5895953757225433E-2</v>
      </c>
    </row>
    <row r="27" spans="1:14" ht="16.5" customHeight="1" x14ac:dyDescent="0.3">
      <c r="A27" s="421"/>
      <c r="B27" s="21" t="s">
        <v>37</v>
      </c>
      <c r="C27" s="146">
        <f>SUM('1일:31일'!C27)</f>
        <v>669</v>
      </c>
      <c r="D27" s="146">
        <f>SUM('1일:31일'!D27)</f>
        <v>3</v>
      </c>
      <c r="E27" s="146">
        <f>SUM('1일:31일'!E27)</f>
        <v>6</v>
      </c>
      <c r="F27" s="146">
        <f>SUM('1일:31일'!F27)</f>
        <v>0</v>
      </c>
      <c r="G27" s="146"/>
      <c r="H27" s="146">
        <f>SUM('1일:31일'!H27)</f>
        <v>95</v>
      </c>
      <c r="I27" s="146">
        <f>SUM('1일:31일'!I27)</f>
        <v>565</v>
      </c>
      <c r="J27" s="135"/>
      <c r="K27" s="228" t="s">
        <v>37</v>
      </c>
      <c r="L27" s="235">
        <f>I27/(C27+F27)</f>
        <v>0.84454409566517186</v>
      </c>
      <c r="M27" s="150">
        <f t="shared" si="0"/>
        <v>0.15545590433482814</v>
      </c>
      <c r="N27" s="139">
        <f t="shared" si="3"/>
        <v>0.14200298953662183</v>
      </c>
    </row>
    <row r="28" spans="1:14" ht="16.5" customHeight="1" x14ac:dyDescent="0.3">
      <c r="A28" s="421"/>
      <c r="B28" s="127" t="s">
        <v>38</v>
      </c>
      <c r="C28" s="146">
        <f>SUM('1일:31일'!C28)</f>
        <v>896</v>
      </c>
      <c r="D28" s="146">
        <f>SUM('1일:31일'!D28)</f>
        <v>2</v>
      </c>
      <c r="E28" s="146">
        <f>SUM('1일:31일'!E28)</f>
        <v>20</v>
      </c>
      <c r="F28" s="146">
        <f>SUM('1일:31일'!F28)</f>
        <v>0</v>
      </c>
      <c r="G28" s="146"/>
      <c r="H28" s="146">
        <f>SUM('1일:31일'!H28)</f>
        <v>188</v>
      </c>
      <c r="I28" s="146">
        <f>SUM('1일:31일'!I28)</f>
        <v>686</v>
      </c>
      <c r="J28" s="135"/>
      <c r="K28" s="228" t="s">
        <v>38</v>
      </c>
      <c r="L28" s="235">
        <f>I28/(C28+F28)</f>
        <v>0.765625</v>
      </c>
      <c r="M28" s="150">
        <f t="shared" si="0"/>
        <v>0.234375</v>
      </c>
      <c r="N28" s="139">
        <f>H28/(C28+F28)</f>
        <v>0.20982142857142858</v>
      </c>
    </row>
    <row r="29" spans="1:14" ht="16.5" customHeight="1" x14ac:dyDescent="0.3">
      <c r="A29" s="421"/>
      <c r="B29" s="21" t="s">
        <v>39</v>
      </c>
      <c r="C29" s="146">
        <f>SUM('1일:31일'!C29)</f>
        <v>145</v>
      </c>
      <c r="D29" s="146">
        <f>SUM('1일:31일'!D29)</f>
        <v>0</v>
      </c>
      <c r="E29" s="146">
        <f>SUM('1일:31일'!E29)</f>
        <v>0</v>
      </c>
      <c r="F29" s="146">
        <f>SUM('1일:31일'!F29)</f>
        <v>0</v>
      </c>
      <c r="G29" s="146"/>
      <c r="H29" s="146">
        <f>SUM('1일:31일'!H29)</f>
        <v>6</v>
      </c>
      <c r="I29" s="146">
        <f>SUM('1일:31일'!I29)</f>
        <v>139</v>
      </c>
      <c r="J29" s="135"/>
      <c r="K29" s="228" t="s">
        <v>39</v>
      </c>
      <c r="L29" s="235">
        <f>I29/(C29+F29)</f>
        <v>0.95862068965517244</v>
      </c>
      <c r="M29" s="150">
        <f t="shared" si="0"/>
        <v>4.1379310344827558E-2</v>
      </c>
      <c r="N29" s="139">
        <f>H29/(C29+F29)</f>
        <v>4.1379310344827586E-2</v>
      </c>
    </row>
    <row r="30" spans="1:14" ht="16.5" customHeight="1" x14ac:dyDescent="0.3">
      <c r="A30" s="421"/>
      <c r="B30" s="56" t="s">
        <v>40</v>
      </c>
      <c r="C30" s="146">
        <f>SUM('1일:31일'!C30)</f>
        <v>1859</v>
      </c>
      <c r="D30" s="146">
        <f>SUM('1일:31일'!D30)</f>
        <v>35</v>
      </c>
      <c r="E30" s="146">
        <f>SUM('1일:31일'!E30)</f>
        <v>10</v>
      </c>
      <c r="F30" s="146">
        <f>SUM('1일:31일'!F30)</f>
        <v>0</v>
      </c>
      <c r="G30" s="146"/>
      <c r="H30" s="146">
        <f>SUM('1일:31일'!H30)</f>
        <v>201</v>
      </c>
      <c r="I30" s="146" t="e">
        <f>SUM('1일:31일'!I30)</f>
        <v>#VALUE!</v>
      </c>
      <c r="J30" s="135"/>
      <c r="K30" s="238" t="s">
        <v>40</v>
      </c>
      <c r="L30" s="424" t="e">
        <f>(I30+I31)/(C30+F30+F31)</f>
        <v>#VALUE!</v>
      </c>
      <c r="M30" s="425" t="e">
        <f t="shared" si="0"/>
        <v>#VALUE!</v>
      </c>
      <c r="N30" s="422">
        <f>(H30+H31)/(C30+F30+F31)</f>
        <v>0.10812264658418505</v>
      </c>
    </row>
    <row r="31" spans="1:14" ht="16.5" customHeight="1" thickBot="1" x14ac:dyDescent="0.35">
      <c r="A31" s="421"/>
      <c r="B31" s="58" t="s">
        <v>41</v>
      </c>
      <c r="C31" s="146">
        <f>SUM('1일:31일'!C31)</f>
        <v>5</v>
      </c>
      <c r="D31" s="146">
        <f>SUM('1일:31일'!D31)</f>
        <v>0</v>
      </c>
      <c r="E31" s="146">
        <f>SUM('1일:31일'!E31)</f>
        <v>15</v>
      </c>
      <c r="F31" s="146">
        <f>SUM('1일:31일'!F31)</f>
        <v>0</v>
      </c>
      <c r="G31" s="146"/>
      <c r="H31" s="146">
        <f>SUM('1일:31일'!H31)</f>
        <v>0</v>
      </c>
      <c r="I31" s="146">
        <f>SUM('1일:31일'!I31)</f>
        <v>0</v>
      </c>
      <c r="J31" s="135"/>
      <c r="K31" s="242" t="s">
        <v>41</v>
      </c>
      <c r="L31" s="426"/>
      <c r="M31" s="427"/>
      <c r="N31" s="423"/>
    </row>
    <row r="32" spans="1:14" ht="16.5" customHeight="1" x14ac:dyDescent="0.3">
      <c r="A32" s="421"/>
      <c r="B32" s="179" t="s">
        <v>117</v>
      </c>
      <c r="C32" s="146">
        <f>SUM('1일:31일'!C32)</f>
        <v>0</v>
      </c>
      <c r="D32" s="146">
        <f>SUM('1일:31일'!D32)</f>
        <v>0</v>
      </c>
      <c r="E32" s="146">
        <f>SUM('1일:31일'!E32)</f>
        <v>0</v>
      </c>
      <c r="F32" s="146">
        <f>SUM('1일:31일'!F32)</f>
        <v>0</v>
      </c>
      <c r="G32" s="146"/>
      <c r="H32" s="146">
        <f>SUM('1일:31일'!H32)</f>
        <v>0</v>
      </c>
      <c r="I32" s="146">
        <f>SUM('1일:31일'!I32)</f>
        <v>0</v>
      </c>
      <c r="J32" s="135"/>
      <c r="K32" s="243" t="s">
        <v>117</v>
      </c>
      <c r="L32" s="239"/>
      <c r="M32" s="231" t="e">
        <f t="shared" ref="M32:M33" si="4">D32/I32</f>
        <v>#DIV/0!</v>
      </c>
      <c r="N32" s="240"/>
    </row>
    <row r="33" spans="1:14" ht="16.5" customHeight="1" x14ac:dyDescent="0.3">
      <c r="A33" s="421"/>
      <c r="B33" s="179" t="s">
        <v>119</v>
      </c>
      <c r="C33" s="146">
        <f>SUM('1일:31일'!C33)</f>
        <v>0</v>
      </c>
      <c r="D33" s="146">
        <f>SUM('1일:31일'!D33)</f>
        <v>2</v>
      </c>
      <c r="E33" s="146">
        <f>SUM('1일:31일'!E33)</f>
        <v>0</v>
      </c>
      <c r="F33" s="146">
        <f>SUM('1일:31일'!F33)</f>
        <v>0</v>
      </c>
      <c r="G33" s="146"/>
      <c r="H33" s="146">
        <f>SUM('1일:31일'!H33)</f>
        <v>0</v>
      </c>
      <c r="I33" s="146">
        <f>SUM('1일:31일'!I33)</f>
        <v>27</v>
      </c>
      <c r="J33" s="135"/>
      <c r="K33" s="244" t="s">
        <v>119</v>
      </c>
      <c r="L33" s="165"/>
      <c r="M33" s="150">
        <f t="shared" si="4"/>
        <v>7.407407407407407E-2</v>
      </c>
      <c r="N33" s="194"/>
    </row>
    <row r="34" spans="1:14" ht="16.5" customHeight="1" thickBot="1" x14ac:dyDescent="0.35">
      <c r="A34" s="421"/>
      <c r="B34" s="179" t="s">
        <v>121</v>
      </c>
      <c r="C34" s="146">
        <f>SUM('1일:31일'!C34)</f>
        <v>0</v>
      </c>
      <c r="D34" s="146">
        <f>SUM('1일:31일'!D34)</f>
        <v>2</v>
      </c>
      <c r="E34" s="146">
        <f>SUM('1일:31일'!E34)</f>
        <v>1</v>
      </c>
      <c r="F34" s="146">
        <f>SUM('1일:31일'!F34)</f>
        <v>0</v>
      </c>
      <c r="G34" s="146"/>
      <c r="H34" s="146">
        <f>SUM('1일:31일'!H34)</f>
        <v>0</v>
      </c>
      <c r="I34" s="146">
        <f>SUM('1일:31일'!I34)</f>
        <v>48</v>
      </c>
      <c r="J34" s="135"/>
      <c r="K34" s="245" t="s">
        <v>121</v>
      </c>
      <c r="L34" s="218"/>
      <c r="M34" s="219">
        <f>D34/I34</f>
        <v>4.1666666666666664E-2</v>
      </c>
      <c r="N34" s="220"/>
    </row>
    <row r="35" spans="1:14" ht="16.5" customHeight="1" x14ac:dyDescent="0.3">
      <c r="A35" s="421"/>
      <c r="B35" s="191" t="s">
        <v>79</v>
      </c>
      <c r="C35" s="146">
        <f>SUM('1일:31일'!C35)</f>
        <v>0</v>
      </c>
      <c r="D35" s="146">
        <f>SUM('1일:31일'!D35)</f>
        <v>10</v>
      </c>
      <c r="E35" s="146">
        <f>SUM('1일:31일'!E35)</f>
        <v>57</v>
      </c>
      <c r="F35" s="146">
        <f>SUM('1일:31일'!F35)</f>
        <v>0</v>
      </c>
      <c r="G35" s="146"/>
      <c r="H35" s="146">
        <f>SUM('1일:31일'!H35)</f>
        <v>0</v>
      </c>
      <c r="I35" s="146">
        <f>SUM('1일:31일'!I35)</f>
        <v>419</v>
      </c>
      <c r="J35" s="135"/>
      <c r="K35" s="246" t="s">
        <v>79</v>
      </c>
      <c r="L35" s="224"/>
      <c r="M35" s="209">
        <f>D35/I35</f>
        <v>2.386634844868735E-2</v>
      </c>
      <c r="N35" s="226"/>
    </row>
    <row r="36" spans="1:14" ht="17.25" customHeight="1" x14ac:dyDescent="0.3">
      <c r="A36" s="421"/>
      <c r="B36" s="153" t="s">
        <v>80</v>
      </c>
      <c r="C36" s="146">
        <f>SUM('1일:31일'!C36)</f>
        <v>539</v>
      </c>
      <c r="D36" s="146">
        <f>SUM('1일:31일'!D36)</f>
        <v>0</v>
      </c>
      <c r="E36" s="146">
        <f>SUM('1일:31일'!E36)</f>
        <v>15</v>
      </c>
      <c r="F36" s="146">
        <f>SUM('1일:31일'!F36)</f>
        <v>0</v>
      </c>
      <c r="G36" s="146"/>
      <c r="H36" s="146">
        <f>SUM('1일:31일'!H36)</f>
        <v>20</v>
      </c>
      <c r="I36" s="146">
        <f>SUM('1일:31일'!I36)</f>
        <v>504</v>
      </c>
      <c r="J36" s="2"/>
      <c r="K36" s="247" t="s">
        <v>80</v>
      </c>
      <c r="L36" s="283">
        <f>I36/(C36+F36)</f>
        <v>0.93506493506493504</v>
      </c>
      <c r="M36" s="150">
        <f t="shared" si="0"/>
        <v>6.4935064935064957E-2</v>
      </c>
      <c r="N36" s="197">
        <f t="shared" ref="N36:N37" si="5">H36/(C36+F36)</f>
        <v>3.7105751391465679E-2</v>
      </c>
    </row>
    <row r="37" spans="1:14" ht="17.25" customHeight="1" thickBot="1" x14ac:dyDescent="0.35">
      <c r="A37" s="421"/>
      <c r="B37" s="163" t="s">
        <v>107</v>
      </c>
      <c r="C37" s="146">
        <f>SUM('1일:31일'!C37)</f>
        <v>0</v>
      </c>
      <c r="D37" s="146">
        <f>SUM('1일:31일'!D37)</f>
        <v>0</v>
      </c>
      <c r="E37" s="146">
        <f>SUM('1일:31일'!E37)</f>
        <v>0</v>
      </c>
      <c r="F37" s="146">
        <f>SUM('1일:31일'!F37)</f>
        <v>0</v>
      </c>
      <c r="G37" s="146"/>
      <c r="H37" s="146">
        <f>SUM('1일:31일'!H37)</f>
        <v>0</v>
      </c>
      <c r="I37" s="146">
        <f>SUM('1일:31일'!I37)</f>
        <v>0</v>
      </c>
      <c r="J37" s="2"/>
      <c r="K37" s="248" t="s">
        <v>107</v>
      </c>
      <c r="L37" s="227" t="e">
        <f>(I37+I38*0.5)/(C37+F37)</f>
        <v>#DIV/0!</v>
      </c>
      <c r="M37" s="152" t="e">
        <f t="shared" si="0"/>
        <v>#DIV/0!</v>
      </c>
      <c r="N37" s="201" t="e">
        <f t="shared" si="5"/>
        <v>#DIV/0!</v>
      </c>
    </row>
    <row r="38" spans="1:14" ht="17.25" customHeight="1" x14ac:dyDescent="0.3">
      <c r="A38" s="421"/>
      <c r="B38" s="178" t="s">
        <v>131</v>
      </c>
      <c r="C38" s="146">
        <f>SUM('1일:31일'!C38)</f>
        <v>0</v>
      </c>
      <c r="D38" s="146">
        <f>SUM('1일:31일'!D38)</f>
        <v>0</v>
      </c>
      <c r="E38" s="146">
        <f>SUM('1일:31일'!E38)</f>
        <v>0</v>
      </c>
      <c r="F38" s="146">
        <f>SUM('1일:31일'!F38)</f>
        <v>0</v>
      </c>
      <c r="G38" s="146"/>
      <c r="H38" s="146">
        <f>SUM('1일:31일'!H38)</f>
        <v>0</v>
      </c>
      <c r="I38" s="146">
        <f>SUM('1일:31일'!I38)</f>
        <v>0</v>
      </c>
      <c r="J38" s="2"/>
      <c r="K38" s="249" t="s">
        <v>131</v>
      </c>
      <c r="L38" s="221"/>
      <c r="M38" s="222"/>
      <c r="N38" s="223"/>
    </row>
    <row r="39" spans="1:14" ht="17.25" customHeight="1" thickBot="1" x14ac:dyDescent="0.35">
      <c r="A39" s="421"/>
      <c r="B39" s="178" t="s">
        <v>109</v>
      </c>
      <c r="C39" s="146">
        <f>SUM('1일:31일'!C39)</f>
        <v>51</v>
      </c>
      <c r="D39" s="146">
        <f>SUM('1일:31일'!D39)</f>
        <v>0</v>
      </c>
      <c r="E39" s="146">
        <f>SUM('1일:31일'!E39)</f>
        <v>3.5</v>
      </c>
      <c r="F39" s="146">
        <f>SUM('1일:31일'!F39)</f>
        <v>0</v>
      </c>
      <c r="G39" s="146"/>
      <c r="H39" s="146">
        <f>SUM('1일:31일'!H39)</f>
        <v>6</v>
      </c>
      <c r="I39" s="146">
        <f>SUM('1일:31일'!I39)</f>
        <v>41</v>
      </c>
      <c r="J39" s="2"/>
      <c r="K39" s="249" t="s">
        <v>109</v>
      </c>
      <c r="L39" s="198">
        <f>(I39+I40*0.5)/(C39+F39)</f>
        <v>0.80392156862745101</v>
      </c>
      <c r="M39" s="200">
        <f t="shared" si="0"/>
        <v>0.19607843137254899</v>
      </c>
      <c r="N39" s="201">
        <f>H39/(C39+F39)</f>
        <v>0.11764705882352941</v>
      </c>
    </row>
    <row r="40" spans="1:14" ht="16.5" customHeight="1" thickBot="1" x14ac:dyDescent="0.35">
      <c r="A40" s="421"/>
      <c r="B40" s="178" t="s">
        <v>133</v>
      </c>
      <c r="C40" s="146">
        <f>SUM('1일:31일'!C40)</f>
        <v>0</v>
      </c>
      <c r="D40" s="146">
        <f>SUM('1일:31일'!D40)</f>
        <v>0</v>
      </c>
      <c r="E40" s="146">
        <f>SUM('1일:31일'!E40)</f>
        <v>1</v>
      </c>
      <c r="F40" s="146">
        <f>SUM('1일:31일'!F40)</f>
        <v>0</v>
      </c>
      <c r="G40" s="146"/>
      <c r="H40" s="146">
        <f>SUM('1일:31일'!H40)</f>
        <v>0</v>
      </c>
      <c r="I40" s="146">
        <f>SUM('1일:31일'!I40)</f>
        <v>0</v>
      </c>
      <c r="J40" s="133"/>
      <c r="K40" s="249" t="s">
        <v>133</v>
      </c>
      <c r="L40" s="199"/>
      <c r="M40" s="202"/>
      <c r="N40" s="203"/>
    </row>
    <row r="41" spans="1:14" s="76" customFormat="1" ht="17.25" thickBot="1" x14ac:dyDescent="0.35">
      <c r="A41" s="421"/>
      <c r="B41" s="178" t="s">
        <v>111</v>
      </c>
      <c r="C41" s="146">
        <f>SUM('1일:31일'!C41)</f>
        <v>0</v>
      </c>
      <c r="D41" s="146">
        <f>SUM('1일:31일'!D41)</f>
        <v>0</v>
      </c>
      <c r="E41" s="146">
        <f>SUM('1일:31일'!E41)</f>
        <v>0</v>
      </c>
      <c r="F41" s="146">
        <f>SUM('1일:31일'!F41)</f>
        <v>0</v>
      </c>
      <c r="G41" s="146"/>
      <c r="H41" s="146">
        <f>SUM('1일:31일'!H41)</f>
        <v>0</v>
      </c>
      <c r="I41" s="146">
        <f>SUM('1일:31일'!I41)</f>
        <v>0</v>
      </c>
      <c r="J41" s="134"/>
      <c r="K41" s="249" t="s">
        <v>111</v>
      </c>
      <c r="L41" s="198" t="e">
        <f>(I41+I42*0.5)/(C41+F41)</f>
        <v>#DIV/0!</v>
      </c>
      <c r="M41" s="200" t="e">
        <f t="shared" ref="M41" si="6">1-L41</f>
        <v>#DIV/0!</v>
      </c>
      <c r="N41" s="201" t="e">
        <f>H41/(C41+F41)</f>
        <v>#DIV/0!</v>
      </c>
    </row>
    <row r="42" spans="1:14" ht="17.25" thickBot="1" x14ac:dyDescent="0.35">
      <c r="A42" s="421"/>
      <c r="B42" s="178" t="s">
        <v>135</v>
      </c>
      <c r="C42" s="146">
        <f>SUM('1일:31일'!C42)</f>
        <v>0</v>
      </c>
      <c r="D42" s="146">
        <f>SUM('1일:31일'!D42)</f>
        <v>0</v>
      </c>
      <c r="E42" s="146">
        <f>SUM('1일:31일'!E42)</f>
        <v>0</v>
      </c>
      <c r="F42" s="146">
        <f>SUM('1일:31일'!F42)</f>
        <v>0</v>
      </c>
      <c r="G42" s="146"/>
      <c r="H42" s="146">
        <f>SUM('1일:31일'!H42)</f>
        <v>0</v>
      </c>
      <c r="I42" s="146">
        <f>SUM('1일:31일'!I42)</f>
        <v>0</v>
      </c>
      <c r="K42" s="249" t="s">
        <v>135</v>
      </c>
      <c r="L42" s="199"/>
      <c r="M42" s="202"/>
      <c r="N42" s="203"/>
    </row>
    <row r="43" spans="1:14" x14ac:dyDescent="0.3">
      <c r="A43" s="421"/>
      <c r="B43" s="178" t="s">
        <v>113</v>
      </c>
      <c r="C43" s="146">
        <f>SUM('1일:31일'!C43)</f>
        <v>0</v>
      </c>
      <c r="D43" s="146">
        <f>SUM('1일:31일'!D35)</f>
        <v>10</v>
      </c>
      <c r="E43" s="146">
        <f>SUM('1일:31일'!E35)</f>
        <v>57</v>
      </c>
      <c r="F43" s="146">
        <f>SUM('1일:31일'!F35)</f>
        <v>0</v>
      </c>
      <c r="G43" s="146"/>
      <c r="H43" s="146">
        <f>SUM('1일:31일'!H35)</f>
        <v>0</v>
      </c>
      <c r="I43" s="146">
        <f>SUM('1일:31일'!I43)</f>
        <v>0</v>
      </c>
      <c r="K43" s="249" t="s">
        <v>113</v>
      </c>
      <c r="L43" s="212"/>
      <c r="M43" s="209" t="e">
        <f>D43/I43</f>
        <v>#DIV/0!</v>
      </c>
      <c r="N43" s="215"/>
    </row>
    <row r="44" spans="1:14" x14ac:dyDescent="0.3">
      <c r="A44" s="421"/>
      <c r="B44" s="178" t="s">
        <v>125</v>
      </c>
      <c r="C44" s="146">
        <f>SUM('1일:31일'!C44)</f>
        <v>0</v>
      </c>
      <c r="D44" s="146">
        <f>SUM('1일:31일'!D36)</f>
        <v>0</v>
      </c>
      <c r="E44" s="146">
        <f>SUM('1일:31일'!E36)</f>
        <v>15</v>
      </c>
      <c r="F44" s="146">
        <f>SUM('1일:31일'!F36)</f>
        <v>0</v>
      </c>
      <c r="G44" s="146"/>
      <c r="H44" s="146">
        <f>SUM('1일:31일'!H36)</f>
        <v>20</v>
      </c>
      <c r="I44" s="146">
        <f>SUM('1일:31일'!I44)</f>
        <v>28</v>
      </c>
      <c r="K44" s="249" t="s">
        <v>125</v>
      </c>
      <c r="L44" s="213"/>
      <c r="M44" s="210">
        <f t="shared" ref="M44:M50" si="7">D44/I44</f>
        <v>0</v>
      </c>
      <c r="N44" s="216"/>
    </row>
    <row r="45" spans="1:14" ht="17.25" thickBot="1" x14ac:dyDescent="0.35">
      <c r="A45" s="421"/>
      <c r="B45" s="164" t="s">
        <v>115</v>
      </c>
      <c r="C45" s="146">
        <f>SUM('1일:31일'!C45)</f>
        <v>0</v>
      </c>
      <c r="D45" s="146">
        <f>SUM('1일:31일'!D37)</f>
        <v>0</v>
      </c>
      <c r="E45" s="146">
        <f>SUM('1일:31일'!E37)</f>
        <v>0</v>
      </c>
      <c r="F45" s="146">
        <f>SUM('1일:31일'!F37)</f>
        <v>0</v>
      </c>
      <c r="G45" s="146"/>
      <c r="H45" s="146">
        <f>SUM('1일:31일'!H37)</f>
        <v>0</v>
      </c>
      <c r="I45" s="146">
        <f>SUM('1일:31일'!I45)</f>
        <v>0</v>
      </c>
      <c r="K45" s="250" t="s">
        <v>115</v>
      </c>
      <c r="L45" s="214"/>
      <c r="M45" s="211" t="e">
        <f t="shared" si="7"/>
        <v>#DIV/0!</v>
      </c>
      <c r="N45" s="217"/>
    </row>
    <row r="46" spans="1:14" ht="17.25" thickBot="1" x14ac:dyDescent="0.35">
      <c r="A46" s="421"/>
      <c r="B46" s="120" t="s">
        <v>89</v>
      </c>
      <c r="C46" s="146">
        <f>SUM('1일:31일'!C46)</f>
        <v>412</v>
      </c>
      <c r="D46" s="146">
        <f>SUM('1일:31일'!D45)</f>
        <v>0</v>
      </c>
      <c r="E46" s="146">
        <f>SUM('1일:31일'!E45)</f>
        <v>0</v>
      </c>
      <c r="F46" s="146">
        <f>SUM('1일:31일'!F45)</f>
        <v>0</v>
      </c>
      <c r="G46" s="146"/>
      <c r="H46" s="146">
        <f>SUM('1일:31일'!H45)</f>
        <v>0</v>
      </c>
      <c r="I46" s="146">
        <f>SUM('1일:31일'!I46)</f>
        <v>381</v>
      </c>
      <c r="K46" s="246" t="s">
        <v>89</v>
      </c>
      <c r="L46" s="224">
        <f>I46/(C46+F46)</f>
        <v>0.92475728155339809</v>
      </c>
      <c r="M46" s="209">
        <f t="shared" si="7"/>
        <v>0</v>
      </c>
      <c r="N46" s="215">
        <f t="shared" ref="N46:N48" si="8">H46/(C46+F46)</f>
        <v>0</v>
      </c>
    </row>
    <row r="47" spans="1:14" ht="17.25" thickBot="1" x14ac:dyDescent="0.35">
      <c r="A47" s="421"/>
      <c r="B47" s="120" t="s">
        <v>88</v>
      </c>
      <c r="C47" s="146">
        <f>SUM('1일:31일'!C47)</f>
        <v>211</v>
      </c>
      <c r="D47" s="146">
        <f>SUM('1일:31일'!D46)</f>
        <v>0</v>
      </c>
      <c r="E47" s="146">
        <f>SUM('1일:31일'!E46)</f>
        <v>0</v>
      </c>
      <c r="F47" s="146">
        <f>SUM('1일:31일'!F46)</f>
        <v>0</v>
      </c>
      <c r="G47" s="146"/>
      <c r="H47" s="146">
        <f>SUM('1일:31일'!H46)</f>
        <v>31</v>
      </c>
      <c r="I47" s="146">
        <f>SUM('1일:31일'!I47)</f>
        <v>202</v>
      </c>
      <c r="K47" s="251" t="s">
        <v>88</v>
      </c>
      <c r="L47" s="224">
        <f t="shared" ref="L47:L48" si="9">I47/(C47+F47)</f>
        <v>0.95734597156398105</v>
      </c>
      <c r="M47" s="210">
        <f t="shared" si="7"/>
        <v>0</v>
      </c>
      <c r="N47" s="216">
        <f t="shared" si="8"/>
        <v>0.14691943127962084</v>
      </c>
    </row>
    <row r="48" spans="1:14" x14ac:dyDescent="0.3">
      <c r="A48" s="421"/>
      <c r="B48" s="56" t="s">
        <v>123</v>
      </c>
      <c r="C48" s="146">
        <f>SUM('1일:31일'!C48)</f>
        <v>20</v>
      </c>
      <c r="D48" s="146">
        <f>SUM('1일:31일'!D47)</f>
        <v>0</v>
      </c>
      <c r="E48" s="146">
        <f>SUM('1일:31일'!E47)</f>
        <v>0</v>
      </c>
      <c r="F48" s="146">
        <f>SUM('1일:31일'!F47)</f>
        <v>0</v>
      </c>
      <c r="G48" s="146"/>
      <c r="H48" s="146">
        <f>SUM('1일:31일'!H47)</f>
        <v>9</v>
      </c>
      <c r="I48" s="146">
        <f>SUM('1일:31일'!I48)</f>
        <v>20</v>
      </c>
      <c r="K48" s="252" t="s">
        <v>123</v>
      </c>
      <c r="L48" s="224">
        <f t="shared" si="9"/>
        <v>1</v>
      </c>
      <c r="M48" s="210">
        <f t="shared" si="7"/>
        <v>0</v>
      </c>
      <c r="N48" s="216">
        <f t="shared" si="8"/>
        <v>0.45</v>
      </c>
    </row>
    <row r="49" spans="1:14" x14ac:dyDescent="0.3">
      <c r="A49" s="421"/>
      <c r="B49" s="179" t="s">
        <v>127</v>
      </c>
      <c r="C49" s="146">
        <f>SUM('1일:31일'!C49)</f>
        <v>0</v>
      </c>
      <c r="D49" s="146">
        <f>SUM('1일:31일'!D48)</f>
        <v>0</v>
      </c>
      <c r="E49" s="146">
        <f>SUM('1일:31일'!E48)</f>
        <v>0</v>
      </c>
      <c r="F49" s="146">
        <f>SUM('1일:31일'!F48)</f>
        <v>0</v>
      </c>
      <c r="G49" s="146"/>
      <c r="H49" s="146">
        <f>SUM('1일:31일'!H48)</f>
        <v>0</v>
      </c>
      <c r="I49" s="146">
        <f>SUM('1일:31일'!I49)</f>
        <v>0</v>
      </c>
      <c r="K49" s="244" t="s">
        <v>127</v>
      </c>
      <c r="L49" s="213"/>
      <c r="M49" s="210" t="e">
        <f t="shared" si="7"/>
        <v>#DIV/0!</v>
      </c>
      <c r="N49" s="216"/>
    </row>
    <row r="50" spans="1:14" ht="17.25" thickBot="1" x14ac:dyDescent="0.35">
      <c r="A50" s="421"/>
      <c r="B50" s="58" t="s">
        <v>129</v>
      </c>
      <c r="C50" s="146">
        <f>SUM('1일:31일'!C50)</f>
        <v>0</v>
      </c>
      <c r="D50" s="146">
        <f>SUM('1일:31일'!D50)</f>
        <v>0</v>
      </c>
      <c r="E50" s="146">
        <f>SUM('1일:31일'!E50)</f>
        <v>0</v>
      </c>
      <c r="F50" s="146">
        <f>SUM('1일:31일'!F50)</f>
        <v>0</v>
      </c>
      <c r="G50" s="146"/>
      <c r="H50" s="146">
        <f>SUM('1일:31일'!H50)</f>
        <v>0</v>
      </c>
      <c r="I50" s="146">
        <f>SUM('1일:31일'!I50)</f>
        <v>0</v>
      </c>
      <c r="K50" s="245" t="s">
        <v>129</v>
      </c>
      <c r="L50" s="214"/>
      <c r="M50" s="211" t="e">
        <f t="shared" si="7"/>
        <v>#DIV/0!</v>
      </c>
      <c r="N50" s="217"/>
    </row>
    <row r="51" spans="1:14" ht="17.25" thickBot="1" x14ac:dyDescent="0.35">
      <c r="A51" s="421"/>
      <c r="B51" s="128" t="s">
        <v>42</v>
      </c>
      <c r="C51" s="147">
        <f>SUM(C13:C50)</f>
        <v>14837</v>
      </c>
      <c r="D51" s="66">
        <f>SUM(D13:D50)</f>
        <v>98</v>
      </c>
      <c r="E51" s="69">
        <f>SUM(E13:E50)</f>
        <v>558.5</v>
      </c>
      <c r="F51" s="67">
        <f>SUM(F13:F50)</f>
        <v>0</v>
      </c>
      <c r="G51" s="148" t="s">
        <v>22</v>
      </c>
      <c r="H51" s="67">
        <f>SUM(H13:H50)</f>
        <v>1483</v>
      </c>
      <c r="I51" s="67" t="e">
        <f>SUM(I13:I50)</f>
        <v>#VALUE!</v>
      </c>
      <c r="K51" s="131" t="s">
        <v>106</v>
      </c>
      <c r="L51" s="172" t="e">
        <f>SUM(L13:L50)/31</f>
        <v>#VALUE!</v>
      </c>
      <c r="M51" s="172" t="e">
        <f>SUM(M13:M50)/31</f>
        <v>#VALUE!</v>
      </c>
      <c r="N51" s="172" t="e">
        <f>SUM(N13:N50)/31</f>
        <v>#DIV/0!</v>
      </c>
    </row>
    <row r="52" spans="1:14" ht="17.25" x14ac:dyDescent="0.3">
      <c r="G52" s="97"/>
      <c r="H52" s="176" t="s">
        <v>66</v>
      </c>
    </row>
  </sheetData>
  <mergeCells count="23">
    <mergeCell ref="N23:N24"/>
    <mergeCell ref="N30:N31"/>
    <mergeCell ref="C9:D9"/>
    <mergeCell ref="E9:F9"/>
    <mergeCell ref="G9:H9"/>
    <mergeCell ref="I9:I10"/>
    <mergeCell ref="L23:L24"/>
    <mergeCell ref="M23:M24"/>
    <mergeCell ref="L30:L31"/>
    <mergeCell ref="M30:M31"/>
    <mergeCell ref="A9:A11"/>
    <mergeCell ref="B9:B11"/>
    <mergeCell ref="F12:G12"/>
    <mergeCell ref="A12:A51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8" orientation="portrait" r:id="rId1"/>
  <colBreaks count="1" manualBreakCount="1">
    <brk id="8" max="58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이름이 지정된 범위</vt:lpstr>
      </vt:variant>
      <vt:variant>
        <vt:i4>2</vt:i4>
      </vt:variant>
    </vt:vector>
  </HeadingPairs>
  <TitlesOfParts>
    <vt:vector size="35" baseType="lpstr">
      <vt:lpstr>사용법</vt:lpstr>
      <vt:lpstr>1일</vt:lpstr>
      <vt:lpstr>2일</vt:lpstr>
      <vt:lpstr>3일</vt:lpstr>
      <vt:lpstr>4일</vt:lpstr>
      <vt:lpstr>5일</vt:lpstr>
      <vt:lpstr>6일</vt:lpstr>
      <vt:lpstr>7일</vt:lpstr>
      <vt:lpstr>8일</vt:lpstr>
      <vt:lpstr>9일</vt:lpstr>
      <vt:lpstr>10일</vt:lpstr>
      <vt:lpstr>11일</vt:lpstr>
      <vt:lpstr>12일</vt:lpstr>
      <vt:lpstr>13일</vt:lpstr>
      <vt:lpstr>14일</vt:lpstr>
      <vt:lpstr>15일</vt:lpstr>
      <vt:lpstr>16일</vt:lpstr>
      <vt:lpstr>17일</vt:lpstr>
      <vt:lpstr>18일</vt:lpstr>
      <vt:lpstr>19일</vt:lpstr>
      <vt:lpstr>20일</vt:lpstr>
      <vt:lpstr>21일</vt:lpstr>
      <vt:lpstr>22일</vt:lpstr>
      <vt:lpstr>23일</vt:lpstr>
      <vt:lpstr>24일</vt:lpstr>
      <vt:lpstr>25일</vt:lpstr>
      <vt:lpstr>26일</vt:lpstr>
      <vt:lpstr>27일</vt:lpstr>
      <vt:lpstr>28일</vt:lpstr>
      <vt:lpstr>29일</vt:lpstr>
      <vt:lpstr>30일</vt:lpstr>
      <vt:lpstr>31일</vt:lpstr>
      <vt:lpstr>결산</vt:lpstr>
      <vt:lpstr>'1일'!Print_Area</vt:lpstr>
      <vt:lpstr>결산!Print_Area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yoonis</cp:lastModifiedBy>
  <cp:lastPrinted>2022-01-08T02:12:48Z</cp:lastPrinted>
  <dcterms:created xsi:type="dcterms:W3CDTF">2021-11-17T07:36:39Z</dcterms:created>
  <dcterms:modified xsi:type="dcterms:W3CDTF">2026-06-30T10:46:25Z</dcterms:modified>
</cp:coreProperties>
</file>