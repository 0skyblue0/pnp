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onis\Desktop\"/>
    </mc:Choice>
  </mc:AlternateContent>
  <bookViews>
    <workbookView xWindow="0" yWindow="0" windowWidth="15600" windowHeight="9150" tabRatio="922" firstSheet="12" activeTab="31"/>
  </bookViews>
  <sheets>
    <sheet name="사용법" sheetId="96" r:id="rId1"/>
    <sheet name="1일" sheetId="1" r:id="rId2"/>
    <sheet name="2일" sheetId="62" r:id="rId3"/>
    <sheet name="3일" sheetId="68" r:id="rId4"/>
    <sheet name="4일" sheetId="69" r:id="rId5"/>
    <sheet name="5일" sheetId="70" r:id="rId6"/>
    <sheet name="6일" sheetId="71" r:id="rId7"/>
    <sheet name="7일" sheetId="72" r:id="rId8"/>
    <sheet name="8일" sheetId="73" r:id="rId9"/>
    <sheet name="9일" sheetId="74" r:id="rId10"/>
    <sheet name="10일" sheetId="75" r:id="rId11"/>
    <sheet name="11일" sheetId="76" r:id="rId12"/>
    <sheet name="12일" sheetId="77" r:id="rId13"/>
    <sheet name="13일" sheetId="78" r:id="rId14"/>
    <sheet name="14일" sheetId="79" r:id="rId15"/>
    <sheet name="15일" sheetId="80" r:id="rId16"/>
    <sheet name="16일" sheetId="81" r:id="rId17"/>
    <sheet name="17일" sheetId="82" r:id="rId18"/>
    <sheet name="18일" sheetId="83" r:id="rId19"/>
    <sheet name="19일" sheetId="84" r:id="rId20"/>
    <sheet name="20일" sheetId="85" r:id="rId21"/>
    <sheet name="21일" sheetId="86" r:id="rId22"/>
    <sheet name="22일" sheetId="87" r:id="rId23"/>
    <sheet name="23일" sheetId="88" r:id="rId24"/>
    <sheet name="24일" sheetId="89" r:id="rId25"/>
    <sheet name="25일" sheetId="90" r:id="rId26"/>
    <sheet name="26일" sheetId="91" r:id="rId27"/>
    <sheet name="27일" sheetId="92" r:id="rId28"/>
    <sheet name="28일" sheetId="93" r:id="rId29"/>
    <sheet name="29일" sheetId="94" r:id="rId30"/>
    <sheet name="30일" sheetId="95" r:id="rId31"/>
    <sheet name="31일" sheetId="67" r:id="rId32"/>
    <sheet name="결산" sheetId="36" r:id="rId33"/>
  </sheets>
  <definedNames>
    <definedName name="_xlnm.Print_Area" localSheetId="10">'10일'!#REF!</definedName>
    <definedName name="_xlnm.Print_Area" localSheetId="11">'11일'!#REF!</definedName>
    <definedName name="_xlnm.Print_Area" localSheetId="12">'12일'!#REF!</definedName>
    <definedName name="_xlnm.Print_Area" localSheetId="13">'13일'!#REF!</definedName>
    <definedName name="_xlnm.Print_Area" localSheetId="14">'14일'!#REF!</definedName>
    <definedName name="_xlnm.Print_Area" localSheetId="15">'15일'!#REF!</definedName>
    <definedName name="_xlnm.Print_Area" localSheetId="16">'16일'!#REF!</definedName>
    <definedName name="_xlnm.Print_Area" localSheetId="17">'17일'!#REF!</definedName>
    <definedName name="_xlnm.Print_Area" localSheetId="18">'18일'!#REF!</definedName>
    <definedName name="_xlnm.Print_Area" localSheetId="19">'19일'!#REF!</definedName>
    <definedName name="_xlnm.Print_Area" localSheetId="1">'1일'!$A$1:$I$80</definedName>
    <definedName name="_xlnm.Print_Area" localSheetId="20">'20일'!#REF!</definedName>
    <definedName name="_xlnm.Print_Area" localSheetId="21">'21일'!#REF!</definedName>
    <definedName name="_xlnm.Print_Area" localSheetId="22">'22일'!#REF!</definedName>
    <definedName name="_xlnm.Print_Area" localSheetId="23">'23일'!#REF!</definedName>
    <definedName name="_xlnm.Print_Area" localSheetId="24">'24일'!#REF!</definedName>
    <definedName name="_xlnm.Print_Area" localSheetId="25">'25일'!#REF!</definedName>
    <definedName name="_xlnm.Print_Area" localSheetId="26">'26일'!#REF!</definedName>
    <definedName name="_xlnm.Print_Area" localSheetId="27">'27일'!#REF!</definedName>
    <definedName name="_xlnm.Print_Area" localSheetId="28">'28일'!#REF!</definedName>
    <definedName name="_xlnm.Print_Area" localSheetId="29">'29일'!#REF!</definedName>
    <definedName name="_xlnm.Print_Area" localSheetId="2">'2일'!#REF!</definedName>
    <definedName name="_xlnm.Print_Area" localSheetId="30">'30일'!#REF!</definedName>
    <definedName name="_xlnm.Print_Area" localSheetId="31">'31일'!#REF!</definedName>
    <definedName name="_xlnm.Print_Area" localSheetId="3">'3일'!#REF!</definedName>
    <definedName name="_xlnm.Print_Area" localSheetId="4">'4일'!#REF!</definedName>
    <definedName name="_xlnm.Print_Area" localSheetId="5">'5일'!#REF!</definedName>
    <definedName name="_xlnm.Print_Area" localSheetId="6">'6일'!#REF!</definedName>
    <definedName name="_xlnm.Print_Area" localSheetId="7">'7일'!#REF!</definedName>
    <definedName name="_xlnm.Print_Area" localSheetId="8">'8일'!#REF!</definedName>
    <definedName name="_xlnm.Print_Area" localSheetId="9">'9일'!#REF!</definedName>
    <definedName name="_xlnm.Print_Area" localSheetId="32">결산!$A$1:$I$41</definedName>
  </definedNames>
  <calcPr calcId="152511" calcMode="manual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91" l="1"/>
  <c r="D11" i="36" l="1"/>
  <c r="E51" i="1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I32" i="36"/>
  <c r="I33" i="36"/>
  <c r="I34" i="36"/>
  <c r="I38" i="36"/>
  <c r="I40" i="36"/>
  <c r="I42" i="36"/>
  <c r="I43" i="36"/>
  <c r="I44" i="36"/>
  <c r="I45" i="36"/>
  <c r="I49" i="36"/>
  <c r="I50" i="36"/>
  <c r="I39" i="1"/>
  <c r="H32" i="36"/>
  <c r="H33" i="36"/>
  <c r="H34" i="36"/>
  <c r="H35" i="36"/>
  <c r="H36" i="36"/>
  <c r="H37" i="36"/>
  <c r="H38" i="36"/>
  <c r="H39" i="36"/>
  <c r="H40" i="36"/>
  <c r="H41" i="36"/>
  <c r="H42" i="36"/>
  <c r="F32" i="36"/>
  <c r="F33" i="36"/>
  <c r="F34" i="36"/>
  <c r="F35" i="36"/>
  <c r="F36" i="36"/>
  <c r="F37" i="36"/>
  <c r="F38" i="36"/>
  <c r="F39" i="36"/>
  <c r="F40" i="36"/>
  <c r="F41" i="36"/>
  <c r="F42" i="36"/>
  <c r="E32" i="36"/>
  <c r="E33" i="36"/>
  <c r="E34" i="36"/>
  <c r="E35" i="36"/>
  <c r="E36" i="36"/>
  <c r="E37" i="36"/>
  <c r="E38" i="36"/>
  <c r="E39" i="36"/>
  <c r="E40" i="36"/>
  <c r="E41" i="36"/>
  <c r="E42" i="36"/>
  <c r="D32" i="36"/>
  <c r="D33" i="36"/>
  <c r="D34" i="36"/>
  <c r="D35" i="36"/>
  <c r="D36" i="36"/>
  <c r="D37" i="36"/>
  <c r="D38" i="36"/>
  <c r="D39" i="36"/>
  <c r="D40" i="36"/>
  <c r="D41" i="36"/>
  <c r="D42" i="36"/>
  <c r="C32" i="36"/>
  <c r="C33" i="36"/>
  <c r="C34" i="36"/>
  <c r="I39" i="62"/>
  <c r="I41" i="62"/>
  <c r="I41" i="68"/>
  <c r="I39" i="68" s="1"/>
  <c r="I41" i="69"/>
  <c r="I39" i="69" s="1"/>
  <c r="I41" i="70"/>
  <c r="I41" i="71"/>
  <c r="I39" i="71" s="1"/>
  <c r="I41" i="72"/>
  <c r="I39" i="72" s="1"/>
  <c r="I41" i="73"/>
  <c r="I39" i="73" s="1"/>
  <c r="I41" i="74"/>
  <c r="I39" i="74" s="1"/>
  <c r="I39" i="75"/>
  <c r="I41" i="75"/>
  <c r="I41" i="76"/>
  <c r="I39" i="76" s="1"/>
  <c r="I41" i="77"/>
  <c r="I39" i="77" s="1"/>
  <c r="I41" i="78"/>
  <c r="I41" i="79"/>
  <c r="I39" i="79" s="1"/>
  <c r="I41" i="80"/>
  <c r="I39" i="80" s="1"/>
  <c r="I41" i="81"/>
  <c r="I39" i="81" s="1"/>
  <c r="I41" i="82"/>
  <c r="I39" i="82" s="1"/>
  <c r="I39" i="83"/>
  <c r="I41" i="83"/>
  <c r="I41" i="84"/>
  <c r="I39" i="84" s="1"/>
  <c r="I41" i="85"/>
  <c r="I39" i="85" s="1"/>
  <c r="I41" i="86"/>
  <c r="I39" i="86" s="1"/>
  <c r="I41" i="87"/>
  <c r="I39" i="87" s="1"/>
  <c r="I41" i="88"/>
  <c r="I39" i="88" s="1"/>
  <c r="I41" i="89"/>
  <c r="I39" i="89" s="1"/>
  <c r="I41" i="90"/>
  <c r="I39" i="90" s="1"/>
  <c r="I39" i="91"/>
  <c r="I41" i="91"/>
  <c r="I41" i="92"/>
  <c r="I39" i="92" s="1"/>
  <c r="I41" i="93"/>
  <c r="I39" i="93" s="1"/>
  <c r="I41" i="94"/>
  <c r="I39" i="94" s="1"/>
  <c r="I41" i="95"/>
  <c r="I39" i="95" s="1"/>
  <c r="I41" i="67"/>
  <c r="I39" i="67" s="1"/>
  <c r="I41" i="1"/>
  <c r="I39" i="70"/>
  <c r="I39" i="78"/>
  <c r="I37" i="62"/>
  <c r="I37" i="68"/>
  <c r="I37" i="71"/>
  <c r="I37" i="72"/>
  <c r="I37" i="75"/>
  <c r="I37" i="76"/>
  <c r="I37" i="79"/>
  <c r="I37" i="80"/>
  <c r="I37" i="83"/>
  <c r="I37" i="84"/>
  <c r="I37" i="86"/>
  <c r="I37" i="87"/>
  <c r="I37" i="88"/>
  <c r="I37" i="92"/>
  <c r="I37" i="94"/>
  <c r="I37" i="95"/>
  <c r="I37" i="67"/>
  <c r="I37" i="69"/>
  <c r="I37" i="70"/>
  <c r="I37" i="73"/>
  <c r="I37" i="74"/>
  <c r="I37" i="77"/>
  <c r="I37" i="78"/>
  <c r="I37" i="81"/>
  <c r="I37" i="82"/>
  <c r="I37" i="85"/>
  <c r="I37" i="89"/>
  <c r="I37" i="93"/>
  <c r="I37" i="1"/>
  <c r="I13" i="62"/>
  <c r="I13" i="68"/>
  <c r="I13" i="69"/>
  <c r="I13" i="70"/>
  <c r="I13" i="71"/>
  <c r="I13" i="72"/>
  <c r="I13" i="73"/>
  <c r="I13" i="74"/>
  <c r="I13" i="75"/>
  <c r="I13" i="76"/>
  <c r="I13" i="77"/>
  <c r="I13" i="78"/>
  <c r="I13" i="79"/>
  <c r="I13" i="80"/>
  <c r="I13" i="81"/>
  <c r="I13" i="82"/>
  <c r="I13" i="83"/>
  <c r="I13" i="84"/>
  <c r="I13" i="85"/>
  <c r="I13" i="86"/>
  <c r="I13" i="87"/>
  <c r="I13" i="88"/>
  <c r="I13" i="89"/>
  <c r="I13" i="90"/>
  <c r="I13" i="91"/>
  <c r="I13" i="92"/>
  <c r="I13" i="93"/>
  <c r="I13" i="94"/>
  <c r="I13" i="95"/>
  <c r="I13" i="67"/>
  <c r="I13" i="1"/>
  <c r="I36" i="62"/>
  <c r="I36" i="68"/>
  <c r="I36" i="69"/>
  <c r="I36" i="70"/>
  <c r="I36" i="71"/>
  <c r="I36" i="72"/>
  <c r="I36" i="73"/>
  <c r="I36" i="74"/>
  <c r="I36" i="75"/>
  <c r="I36" i="76"/>
  <c r="I36" i="77"/>
  <c r="I36" i="78"/>
  <c r="I36" i="79"/>
  <c r="I36" i="80"/>
  <c r="I36" i="81"/>
  <c r="I36" i="82"/>
  <c r="I36" i="83"/>
  <c r="I36" i="84"/>
  <c r="I36" i="85"/>
  <c r="I36" i="86"/>
  <c r="I36" i="87"/>
  <c r="I36" i="88"/>
  <c r="I36" i="89"/>
  <c r="I36" i="90"/>
  <c r="I36" i="91"/>
  <c r="I36" i="92"/>
  <c r="I36" i="93"/>
  <c r="I36" i="94"/>
  <c r="I36" i="95"/>
  <c r="I36" i="67"/>
  <c r="I36" i="1"/>
  <c r="I14" i="36"/>
  <c r="D13" i="36"/>
  <c r="E13" i="36"/>
  <c r="F13" i="36"/>
  <c r="H13" i="36"/>
  <c r="D14" i="36"/>
  <c r="E14" i="36"/>
  <c r="F14" i="36"/>
  <c r="H14" i="36"/>
  <c r="D15" i="36"/>
  <c r="E15" i="36"/>
  <c r="F15" i="36"/>
  <c r="H15" i="36"/>
  <c r="D16" i="36"/>
  <c r="E16" i="36"/>
  <c r="F16" i="36"/>
  <c r="H16" i="36"/>
  <c r="I16" i="36"/>
  <c r="D17" i="36"/>
  <c r="E17" i="36"/>
  <c r="F17" i="36"/>
  <c r="H17" i="36"/>
  <c r="D18" i="36"/>
  <c r="E18" i="36"/>
  <c r="F18" i="36"/>
  <c r="H18" i="36"/>
  <c r="I18" i="36"/>
  <c r="D19" i="36"/>
  <c r="E19" i="36"/>
  <c r="F19" i="36"/>
  <c r="H19" i="36"/>
  <c r="D20" i="36"/>
  <c r="E20" i="36"/>
  <c r="F20" i="36"/>
  <c r="H20" i="36"/>
  <c r="I20" i="36"/>
  <c r="D21" i="36"/>
  <c r="E21" i="36"/>
  <c r="F21" i="36"/>
  <c r="H21" i="36"/>
  <c r="D22" i="36"/>
  <c r="E22" i="36"/>
  <c r="F22" i="36"/>
  <c r="H22" i="36"/>
  <c r="D23" i="36"/>
  <c r="E23" i="36"/>
  <c r="F23" i="36"/>
  <c r="H23" i="36"/>
  <c r="D24" i="36"/>
  <c r="E24" i="36"/>
  <c r="F24" i="36"/>
  <c r="H24" i="36"/>
  <c r="I24" i="36"/>
  <c r="D25" i="36"/>
  <c r="E25" i="36"/>
  <c r="F25" i="36"/>
  <c r="H25" i="36"/>
  <c r="D26" i="36"/>
  <c r="E26" i="36"/>
  <c r="F26" i="36"/>
  <c r="H26" i="36"/>
  <c r="D27" i="36"/>
  <c r="E27" i="36"/>
  <c r="F27" i="36"/>
  <c r="H27" i="36"/>
  <c r="D28" i="36"/>
  <c r="E28" i="36"/>
  <c r="F28" i="36"/>
  <c r="H28" i="36"/>
  <c r="D29" i="36"/>
  <c r="E29" i="36"/>
  <c r="F29" i="36"/>
  <c r="H29" i="36"/>
  <c r="D30" i="36"/>
  <c r="E30" i="36"/>
  <c r="F30" i="36"/>
  <c r="H30" i="36"/>
  <c r="D31" i="36"/>
  <c r="E31" i="36"/>
  <c r="F31" i="36"/>
  <c r="H31" i="36"/>
  <c r="I31" i="36"/>
  <c r="D43" i="36"/>
  <c r="E43" i="36"/>
  <c r="F43" i="36"/>
  <c r="H43" i="36"/>
  <c r="D44" i="36"/>
  <c r="E44" i="36"/>
  <c r="F44" i="36"/>
  <c r="H44" i="36"/>
  <c r="D45" i="36"/>
  <c r="E45" i="36"/>
  <c r="F45" i="36"/>
  <c r="H45" i="36"/>
  <c r="D46" i="36"/>
  <c r="E46" i="36"/>
  <c r="F46" i="36"/>
  <c r="H46" i="36"/>
  <c r="D47" i="36"/>
  <c r="E47" i="36"/>
  <c r="F47" i="36"/>
  <c r="H47" i="36"/>
  <c r="D48" i="36"/>
  <c r="E48" i="36"/>
  <c r="F48" i="36"/>
  <c r="H48" i="36"/>
  <c r="D49" i="36"/>
  <c r="M49" i="36" s="1"/>
  <c r="E49" i="36"/>
  <c r="F49" i="36"/>
  <c r="H49" i="36"/>
  <c r="D50" i="36"/>
  <c r="E50" i="36"/>
  <c r="F50" i="36"/>
  <c r="H50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13" i="36"/>
  <c r="C11" i="36"/>
  <c r="H51" i="67"/>
  <c r="F51" i="67"/>
  <c r="E51" i="67"/>
  <c r="D51" i="67"/>
  <c r="C51" i="67"/>
  <c r="I48" i="67"/>
  <c r="I47" i="67"/>
  <c r="I46" i="67"/>
  <c r="I30" i="67"/>
  <c r="I29" i="67"/>
  <c r="I28" i="67"/>
  <c r="I27" i="67"/>
  <c r="I26" i="67"/>
  <c r="I25" i="67"/>
  <c r="I23" i="67"/>
  <c r="I22" i="67"/>
  <c r="I21" i="67"/>
  <c r="I19" i="67"/>
  <c r="I17" i="67"/>
  <c r="I15" i="67"/>
  <c r="F11" i="67"/>
  <c r="H11" i="67" s="1"/>
  <c r="E11" i="67"/>
  <c r="G11" i="67" s="1"/>
  <c r="H51" i="95"/>
  <c r="F51" i="95"/>
  <c r="E51" i="95"/>
  <c r="D51" i="95"/>
  <c r="C51" i="95"/>
  <c r="I48" i="95"/>
  <c r="I47" i="95"/>
  <c r="I46" i="95"/>
  <c r="I30" i="95"/>
  <c r="I29" i="95"/>
  <c r="I28" i="95"/>
  <c r="I27" i="95"/>
  <c r="I26" i="95"/>
  <c r="I25" i="95"/>
  <c r="I23" i="95"/>
  <c r="I22" i="95"/>
  <c r="I21" i="95"/>
  <c r="I19" i="95"/>
  <c r="I17" i="95"/>
  <c r="I15" i="95"/>
  <c r="F11" i="95"/>
  <c r="H11" i="95" s="1"/>
  <c r="E11" i="95"/>
  <c r="G11" i="95" s="1"/>
  <c r="H51" i="94"/>
  <c r="F51" i="94"/>
  <c r="E51" i="94"/>
  <c r="D51" i="94"/>
  <c r="C51" i="94"/>
  <c r="I48" i="94"/>
  <c r="I47" i="94"/>
  <c r="I46" i="94"/>
  <c r="I30" i="94"/>
  <c r="I29" i="94"/>
  <c r="I28" i="94"/>
  <c r="I27" i="94"/>
  <c r="I26" i="94"/>
  <c r="I25" i="94"/>
  <c r="I23" i="94"/>
  <c r="I22" i="94"/>
  <c r="I21" i="94"/>
  <c r="I19" i="94"/>
  <c r="I17" i="94"/>
  <c r="I15" i="94"/>
  <c r="F11" i="94"/>
  <c r="H11" i="94" s="1"/>
  <c r="E11" i="94"/>
  <c r="G11" i="94" s="1"/>
  <c r="H51" i="93"/>
  <c r="F51" i="93"/>
  <c r="E51" i="93"/>
  <c r="D51" i="93"/>
  <c r="C51" i="93"/>
  <c r="I48" i="93"/>
  <c r="I47" i="93"/>
  <c r="I46" i="93"/>
  <c r="I30" i="93"/>
  <c r="I29" i="93"/>
  <c r="I28" i="93"/>
  <c r="I27" i="93"/>
  <c r="I26" i="93"/>
  <c r="I25" i="93"/>
  <c r="I23" i="93"/>
  <c r="I22" i="93"/>
  <c r="I21" i="93"/>
  <c r="I19" i="93"/>
  <c r="I17" i="93"/>
  <c r="I15" i="93"/>
  <c r="F11" i="93"/>
  <c r="H11" i="93" s="1"/>
  <c r="E11" i="93"/>
  <c r="G11" i="93" s="1"/>
  <c r="H51" i="92"/>
  <c r="F51" i="92"/>
  <c r="E51" i="92"/>
  <c r="D51" i="92"/>
  <c r="C51" i="92"/>
  <c r="I48" i="92"/>
  <c r="I47" i="92"/>
  <c r="I46" i="92"/>
  <c r="I30" i="92"/>
  <c r="I29" i="92"/>
  <c r="I28" i="92"/>
  <c r="I27" i="92"/>
  <c r="I26" i="92"/>
  <c r="I25" i="92"/>
  <c r="I23" i="92"/>
  <c r="I22" i="92"/>
  <c r="I21" i="92"/>
  <c r="I19" i="92"/>
  <c r="I17" i="92"/>
  <c r="I15" i="92"/>
  <c r="F11" i="92"/>
  <c r="H11" i="92" s="1"/>
  <c r="E11" i="92"/>
  <c r="G11" i="92" s="1"/>
  <c r="H51" i="91"/>
  <c r="F51" i="91"/>
  <c r="E51" i="91"/>
  <c r="D51" i="91"/>
  <c r="C51" i="91"/>
  <c r="I48" i="91"/>
  <c r="I47" i="91"/>
  <c r="I46" i="91"/>
  <c r="I30" i="91"/>
  <c r="I29" i="91"/>
  <c r="I28" i="91"/>
  <c r="I27" i="91"/>
  <c r="I26" i="91"/>
  <c r="I25" i="91"/>
  <c r="I23" i="91"/>
  <c r="I22" i="91"/>
  <c r="I21" i="91"/>
  <c r="I19" i="91"/>
  <c r="I17" i="91"/>
  <c r="I15" i="91"/>
  <c r="F11" i="91"/>
  <c r="H11" i="91" s="1"/>
  <c r="E11" i="91"/>
  <c r="G11" i="91" s="1"/>
  <c r="H51" i="90"/>
  <c r="F51" i="90"/>
  <c r="E51" i="90"/>
  <c r="D51" i="90"/>
  <c r="C51" i="90"/>
  <c r="I48" i="90"/>
  <c r="I47" i="90"/>
  <c r="I46" i="90"/>
  <c r="I30" i="90"/>
  <c r="I29" i="90"/>
  <c r="I28" i="90"/>
  <c r="I27" i="90"/>
  <c r="I26" i="90"/>
  <c r="I25" i="90"/>
  <c r="I23" i="90"/>
  <c r="I22" i="90"/>
  <c r="I21" i="90"/>
  <c r="I19" i="90"/>
  <c r="I17" i="90"/>
  <c r="I15" i="90"/>
  <c r="F11" i="90"/>
  <c r="H11" i="90" s="1"/>
  <c r="E11" i="90"/>
  <c r="G11" i="90" s="1"/>
  <c r="H51" i="89"/>
  <c r="F51" i="89"/>
  <c r="E51" i="89"/>
  <c r="D51" i="89"/>
  <c r="C51" i="89"/>
  <c r="I48" i="89"/>
  <c r="I47" i="89"/>
  <c r="I46" i="89"/>
  <c r="I30" i="89"/>
  <c r="I29" i="89"/>
  <c r="I28" i="89"/>
  <c r="I27" i="89"/>
  <c r="I26" i="89"/>
  <c r="I25" i="89"/>
  <c r="I23" i="89"/>
  <c r="I22" i="89"/>
  <c r="I21" i="89"/>
  <c r="I19" i="89"/>
  <c r="I17" i="89"/>
  <c r="I15" i="89"/>
  <c r="F11" i="89"/>
  <c r="H11" i="89" s="1"/>
  <c r="I11" i="89" s="1"/>
  <c r="E11" i="89"/>
  <c r="G11" i="89" s="1"/>
  <c r="H51" i="88"/>
  <c r="F51" i="88"/>
  <c r="E51" i="88"/>
  <c r="D51" i="88"/>
  <c r="C51" i="88"/>
  <c r="I48" i="88"/>
  <c r="I47" i="88"/>
  <c r="I46" i="88"/>
  <c r="I30" i="88"/>
  <c r="I29" i="88"/>
  <c r="I28" i="88"/>
  <c r="I27" i="88"/>
  <c r="I26" i="88"/>
  <c r="I25" i="88"/>
  <c r="I23" i="88"/>
  <c r="I22" i="88"/>
  <c r="I21" i="88"/>
  <c r="I19" i="88"/>
  <c r="I17" i="88"/>
  <c r="I15" i="88"/>
  <c r="F11" i="88"/>
  <c r="H11" i="88" s="1"/>
  <c r="E11" i="88"/>
  <c r="G11" i="88" s="1"/>
  <c r="I11" i="88" s="1"/>
  <c r="H51" i="87"/>
  <c r="F51" i="87"/>
  <c r="E51" i="87"/>
  <c r="D51" i="87"/>
  <c r="C51" i="87"/>
  <c r="I48" i="87"/>
  <c r="I47" i="87"/>
  <c r="I46" i="87"/>
  <c r="I30" i="87"/>
  <c r="I29" i="87"/>
  <c r="I28" i="87"/>
  <c r="I27" i="87"/>
  <c r="I26" i="87"/>
  <c r="I25" i="87"/>
  <c r="I23" i="87"/>
  <c r="I22" i="87"/>
  <c r="I21" i="87"/>
  <c r="I19" i="87"/>
  <c r="I17" i="87"/>
  <c r="I15" i="87"/>
  <c r="F11" i="87"/>
  <c r="H11" i="87" s="1"/>
  <c r="E11" i="87"/>
  <c r="G11" i="87" s="1"/>
  <c r="H51" i="86"/>
  <c r="F51" i="86"/>
  <c r="E51" i="86"/>
  <c r="D51" i="86"/>
  <c r="C51" i="86"/>
  <c r="I48" i="86"/>
  <c r="I47" i="86"/>
  <c r="I46" i="86"/>
  <c r="I30" i="86"/>
  <c r="I29" i="86"/>
  <c r="I28" i="86"/>
  <c r="I27" i="86"/>
  <c r="I26" i="86"/>
  <c r="I25" i="86"/>
  <c r="I23" i="86"/>
  <c r="I22" i="86"/>
  <c r="I21" i="86"/>
  <c r="I19" i="86"/>
  <c r="I17" i="86"/>
  <c r="I15" i="86"/>
  <c r="F11" i="86"/>
  <c r="H11" i="86" s="1"/>
  <c r="E11" i="86"/>
  <c r="G11" i="86" s="1"/>
  <c r="H51" i="85"/>
  <c r="F51" i="85"/>
  <c r="E51" i="85"/>
  <c r="D51" i="85"/>
  <c r="C51" i="85"/>
  <c r="I48" i="85"/>
  <c r="I47" i="85"/>
  <c r="I46" i="85"/>
  <c r="I30" i="85"/>
  <c r="I29" i="85"/>
  <c r="I28" i="85"/>
  <c r="I27" i="85"/>
  <c r="I26" i="85"/>
  <c r="I25" i="85"/>
  <c r="I23" i="85"/>
  <c r="I22" i="85"/>
  <c r="I21" i="85"/>
  <c r="I19" i="85"/>
  <c r="I17" i="85"/>
  <c r="I15" i="85"/>
  <c r="F11" i="85"/>
  <c r="H11" i="85" s="1"/>
  <c r="I11" i="85" s="1"/>
  <c r="E11" i="85"/>
  <c r="G11" i="85" s="1"/>
  <c r="H51" i="84"/>
  <c r="F51" i="84"/>
  <c r="E51" i="84"/>
  <c r="D51" i="84"/>
  <c r="C51" i="84"/>
  <c r="I48" i="84"/>
  <c r="I47" i="84"/>
  <c r="I46" i="84"/>
  <c r="I30" i="84"/>
  <c r="I29" i="84"/>
  <c r="I28" i="84"/>
  <c r="I27" i="84"/>
  <c r="I26" i="84"/>
  <c r="I25" i="84"/>
  <c r="I23" i="84"/>
  <c r="I22" i="84"/>
  <c r="I21" i="84"/>
  <c r="I19" i="84"/>
  <c r="I17" i="84"/>
  <c r="I15" i="84"/>
  <c r="F11" i="84"/>
  <c r="H11" i="84" s="1"/>
  <c r="E11" i="84"/>
  <c r="G11" i="84" s="1"/>
  <c r="H51" i="83"/>
  <c r="F51" i="83"/>
  <c r="E51" i="83"/>
  <c r="D51" i="83"/>
  <c r="C51" i="83"/>
  <c r="I48" i="83"/>
  <c r="I47" i="83"/>
  <c r="I46" i="83"/>
  <c r="I30" i="83"/>
  <c r="I29" i="83"/>
  <c r="I28" i="83"/>
  <c r="I27" i="83"/>
  <c r="I26" i="83"/>
  <c r="I25" i="83"/>
  <c r="I23" i="83"/>
  <c r="I22" i="83"/>
  <c r="I21" i="83"/>
  <c r="I19" i="83"/>
  <c r="I17" i="83"/>
  <c r="I15" i="83"/>
  <c r="F11" i="83"/>
  <c r="H11" i="83" s="1"/>
  <c r="E11" i="83"/>
  <c r="G11" i="83" s="1"/>
  <c r="H51" i="82"/>
  <c r="F51" i="82"/>
  <c r="E51" i="82"/>
  <c r="D51" i="82"/>
  <c r="C51" i="82"/>
  <c r="I48" i="82"/>
  <c r="I47" i="82"/>
  <c r="I46" i="82"/>
  <c r="I30" i="82"/>
  <c r="I29" i="82"/>
  <c r="I28" i="82"/>
  <c r="I27" i="82"/>
  <c r="I26" i="82"/>
  <c r="I25" i="82"/>
  <c r="I23" i="82"/>
  <c r="I22" i="82"/>
  <c r="I21" i="82"/>
  <c r="I19" i="82"/>
  <c r="I17" i="82"/>
  <c r="I15" i="82"/>
  <c r="F11" i="82"/>
  <c r="H11" i="82" s="1"/>
  <c r="E11" i="82"/>
  <c r="G11" i="82" s="1"/>
  <c r="I11" i="82" s="1"/>
  <c r="H51" i="81"/>
  <c r="F51" i="81"/>
  <c r="E51" i="81"/>
  <c r="D51" i="81"/>
  <c r="C51" i="81"/>
  <c r="I48" i="81"/>
  <c r="I47" i="81"/>
  <c r="I46" i="81"/>
  <c r="I30" i="81"/>
  <c r="I29" i="81"/>
  <c r="I28" i="81"/>
  <c r="I27" i="81"/>
  <c r="I26" i="81"/>
  <c r="I25" i="81"/>
  <c r="I23" i="81"/>
  <c r="I22" i="81"/>
  <c r="I21" i="81"/>
  <c r="I19" i="81"/>
  <c r="I17" i="81"/>
  <c r="I15" i="81"/>
  <c r="F11" i="81"/>
  <c r="H11" i="81" s="1"/>
  <c r="E11" i="81"/>
  <c r="G11" i="81" s="1"/>
  <c r="H51" i="80"/>
  <c r="F51" i="80"/>
  <c r="E51" i="80"/>
  <c r="D51" i="80"/>
  <c r="C51" i="80"/>
  <c r="I48" i="80"/>
  <c r="I47" i="80"/>
  <c r="I46" i="80"/>
  <c r="I30" i="80"/>
  <c r="I29" i="80"/>
  <c r="I28" i="80"/>
  <c r="I27" i="80"/>
  <c r="I26" i="80"/>
  <c r="I25" i="80"/>
  <c r="I23" i="80"/>
  <c r="I22" i="80"/>
  <c r="I21" i="80"/>
  <c r="I19" i="80"/>
  <c r="I17" i="80"/>
  <c r="I15" i="80"/>
  <c r="F11" i="80"/>
  <c r="H11" i="80" s="1"/>
  <c r="E11" i="80"/>
  <c r="G11" i="80" s="1"/>
  <c r="H51" i="79"/>
  <c r="F51" i="79"/>
  <c r="E51" i="79"/>
  <c r="D51" i="79"/>
  <c r="C51" i="79"/>
  <c r="I48" i="79"/>
  <c r="I47" i="79"/>
  <c r="I46" i="79"/>
  <c r="I30" i="79"/>
  <c r="I29" i="79"/>
  <c r="I28" i="79"/>
  <c r="I27" i="79"/>
  <c r="I26" i="79"/>
  <c r="I25" i="79"/>
  <c r="I23" i="79"/>
  <c r="I22" i="79"/>
  <c r="I21" i="79"/>
  <c r="I19" i="79"/>
  <c r="I17" i="79"/>
  <c r="I15" i="79"/>
  <c r="F11" i="79"/>
  <c r="H11" i="79" s="1"/>
  <c r="I11" i="79" s="1"/>
  <c r="E11" i="79"/>
  <c r="G11" i="79" s="1"/>
  <c r="H51" i="78"/>
  <c r="F51" i="78"/>
  <c r="E51" i="78"/>
  <c r="D51" i="78"/>
  <c r="C51" i="78"/>
  <c r="I48" i="78"/>
  <c r="I47" i="78"/>
  <c r="I46" i="78"/>
  <c r="I30" i="78"/>
  <c r="I29" i="78"/>
  <c r="I28" i="78"/>
  <c r="I27" i="78"/>
  <c r="I26" i="78"/>
  <c r="I25" i="78"/>
  <c r="I23" i="78"/>
  <c r="I22" i="78"/>
  <c r="I21" i="78"/>
  <c r="I19" i="78"/>
  <c r="I17" i="78"/>
  <c r="I15" i="78"/>
  <c r="F11" i="78"/>
  <c r="H11" i="78" s="1"/>
  <c r="E11" i="78"/>
  <c r="G11" i="78" s="1"/>
  <c r="H51" i="77"/>
  <c r="F51" i="77"/>
  <c r="E51" i="77"/>
  <c r="D51" i="77"/>
  <c r="C51" i="77"/>
  <c r="I48" i="77"/>
  <c r="I47" i="77"/>
  <c r="I46" i="77"/>
  <c r="I30" i="77"/>
  <c r="I29" i="77"/>
  <c r="I28" i="77"/>
  <c r="I27" i="77"/>
  <c r="I26" i="77"/>
  <c r="I25" i="77"/>
  <c r="I23" i="77"/>
  <c r="I22" i="77"/>
  <c r="I21" i="77"/>
  <c r="I19" i="77"/>
  <c r="I17" i="77"/>
  <c r="I15" i="77"/>
  <c r="F11" i="77"/>
  <c r="H11" i="77" s="1"/>
  <c r="E11" i="77"/>
  <c r="G11" i="77" s="1"/>
  <c r="H51" i="76"/>
  <c r="F51" i="76"/>
  <c r="E51" i="76"/>
  <c r="D51" i="76"/>
  <c r="C51" i="76"/>
  <c r="I48" i="76"/>
  <c r="I47" i="76"/>
  <c r="I46" i="76"/>
  <c r="I30" i="76"/>
  <c r="I29" i="76"/>
  <c r="I28" i="76"/>
  <c r="I27" i="76"/>
  <c r="I26" i="76"/>
  <c r="I25" i="76"/>
  <c r="I23" i="76"/>
  <c r="I22" i="76"/>
  <c r="I21" i="76"/>
  <c r="I19" i="76"/>
  <c r="I17" i="76"/>
  <c r="I15" i="76"/>
  <c r="F11" i="76"/>
  <c r="H11" i="76" s="1"/>
  <c r="E11" i="76"/>
  <c r="G11" i="76" s="1"/>
  <c r="H51" i="75"/>
  <c r="F51" i="75"/>
  <c r="E51" i="75"/>
  <c r="D51" i="75"/>
  <c r="C51" i="75"/>
  <c r="I48" i="75"/>
  <c r="I47" i="75"/>
  <c r="I46" i="75"/>
  <c r="I30" i="75"/>
  <c r="I29" i="75"/>
  <c r="I28" i="75"/>
  <c r="I27" i="75"/>
  <c r="I26" i="75"/>
  <c r="I25" i="75"/>
  <c r="I23" i="75"/>
  <c r="I22" i="75"/>
  <c r="I21" i="75"/>
  <c r="I19" i="75"/>
  <c r="I17" i="75"/>
  <c r="I15" i="75"/>
  <c r="F11" i="75"/>
  <c r="H11" i="75" s="1"/>
  <c r="E11" i="75"/>
  <c r="G11" i="75" s="1"/>
  <c r="H51" i="74"/>
  <c r="F51" i="74"/>
  <c r="E51" i="74"/>
  <c r="D51" i="74"/>
  <c r="C51" i="74"/>
  <c r="I48" i="74"/>
  <c r="I47" i="74"/>
  <c r="I46" i="74"/>
  <c r="I30" i="74"/>
  <c r="I29" i="74"/>
  <c r="I28" i="74"/>
  <c r="I27" i="74"/>
  <c r="I26" i="74"/>
  <c r="I25" i="74"/>
  <c r="I23" i="74"/>
  <c r="I22" i="74"/>
  <c r="I21" i="74"/>
  <c r="I19" i="74"/>
  <c r="I17" i="74"/>
  <c r="I15" i="74"/>
  <c r="F11" i="74"/>
  <c r="H11" i="74" s="1"/>
  <c r="E11" i="74"/>
  <c r="G11" i="74" s="1"/>
  <c r="H51" i="73"/>
  <c r="F51" i="73"/>
  <c r="E51" i="73"/>
  <c r="D51" i="73"/>
  <c r="C51" i="73"/>
  <c r="I48" i="73"/>
  <c r="I47" i="73"/>
  <c r="I46" i="73"/>
  <c r="I30" i="73"/>
  <c r="I29" i="73"/>
  <c r="I28" i="73"/>
  <c r="I27" i="73"/>
  <c r="I26" i="73"/>
  <c r="I25" i="73"/>
  <c r="I23" i="73"/>
  <c r="I22" i="73"/>
  <c r="I21" i="73"/>
  <c r="I19" i="73"/>
  <c r="I17" i="73"/>
  <c r="I15" i="73"/>
  <c r="F11" i="73"/>
  <c r="H11" i="73" s="1"/>
  <c r="E11" i="73"/>
  <c r="G11" i="73" s="1"/>
  <c r="H51" i="72"/>
  <c r="F51" i="72"/>
  <c r="E51" i="72"/>
  <c r="D51" i="72"/>
  <c r="C51" i="72"/>
  <c r="I48" i="72"/>
  <c r="I47" i="72"/>
  <c r="I46" i="72"/>
  <c r="I30" i="72"/>
  <c r="I29" i="72"/>
  <c r="I28" i="72"/>
  <c r="I27" i="72"/>
  <c r="I26" i="72"/>
  <c r="I25" i="72"/>
  <c r="I23" i="72"/>
  <c r="I22" i="72"/>
  <c r="I21" i="72"/>
  <c r="I19" i="72"/>
  <c r="I17" i="72"/>
  <c r="I15" i="72"/>
  <c r="F11" i="72"/>
  <c r="H11" i="72" s="1"/>
  <c r="E11" i="72"/>
  <c r="G11" i="72" s="1"/>
  <c r="H51" i="71"/>
  <c r="F51" i="71"/>
  <c r="E51" i="71"/>
  <c r="D51" i="71"/>
  <c r="C51" i="71"/>
  <c r="I48" i="71"/>
  <c r="I47" i="71"/>
  <c r="I46" i="71"/>
  <c r="I30" i="71"/>
  <c r="I29" i="71"/>
  <c r="I28" i="71"/>
  <c r="I27" i="71"/>
  <c r="I26" i="71"/>
  <c r="I25" i="71"/>
  <c r="I23" i="71"/>
  <c r="I22" i="71"/>
  <c r="I21" i="71"/>
  <c r="I19" i="71"/>
  <c r="I17" i="71"/>
  <c r="I15" i="71"/>
  <c r="F11" i="71"/>
  <c r="H11" i="71" s="1"/>
  <c r="E11" i="71"/>
  <c r="G11" i="71" s="1"/>
  <c r="H51" i="70"/>
  <c r="F51" i="70"/>
  <c r="E51" i="70"/>
  <c r="D51" i="70"/>
  <c r="C51" i="70"/>
  <c r="I48" i="70"/>
  <c r="I47" i="70"/>
  <c r="I46" i="70"/>
  <c r="I30" i="70"/>
  <c r="I29" i="70"/>
  <c r="I28" i="70"/>
  <c r="I27" i="70"/>
  <c r="I26" i="70"/>
  <c r="I25" i="70"/>
  <c r="I23" i="70"/>
  <c r="I22" i="70"/>
  <c r="I21" i="70"/>
  <c r="I19" i="70"/>
  <c r="I17" i="70"/>
  <c r="I15" i="70"/>
  <c r="F11" i="70"/>
  <c r="H11" i="70" s="1"/>
  <c r="E11" i="70"/>
  <c r="G11" i="70" s="1"/>
  <c r="H51" i="69"/>
  <c r="F51" i="69"/>
  <c r="E51" i="69"/>
  <c r="D51" i="69"/>
  <c r="C51" i="69"/>
  <c r="I48" i="69"/>
  <c r="I47" i="69"/>
  <c r="I46" i="69"/>
  <c r="I30" i="69"/>
  <c r="I29" i="69"/>
  <c r="I28" i="69"/>
  <c r="I27" i="69"/>
  <c r="I26" i="69"/>
  <c r="I25" i="69"/>
  <c r="I23" i="69"/>
  <c r="I22" i="69"/>
  <c r="I21" i="69"/>
  <c r="I19" i="69"/>
  <c r="I17" i="69"/>
  <c r="I15" i="69"/>
  <c r="F11" i="69"/>
  <c r="H11" i="69" s="1"/>
  <c r="I11" i="69" s="1"/>
  <c r="E11" i="69"/>
  <c r="G11" i="69" s="1"/>
  <c r="H51" i="68"/>
  <c r="F51" i="68"/>
  <c r="E51" i="68"/>
  <c r="D51" i="68"/>
  <c r="C51" i="68"/>
  <c r="I48" i="68"/>
  <c r="I47" i="68"/>
  <c r="I46" i="68"/>
  <c r="I30" i="68"/>
  <c r="I29" i="68"/>
  <c r="I28" i="68"/>
  <c r="I27" i="68"/>
  <c r="I26" i="68"/>
  <c r="I25" i="68"/>
  <c r="I23" i="68"/>
  <c r="I22" i="68"/>
  <c r="I21" i="68"/>
  <c r="I19" i="68"/>
  <c r="I17" i="68"/>
  <c r="I15" i="68"/>
  <c r="F11" i="68"/>
  <c r="H11" i="68" s="1"/>
  <c r="E11" i="68"/>
  <c r="G11" i="68" s="1"/>
  <c r="H51" i="62"/>
  <c r="F51" i="62"/>
  <c r="E51" i="62"/>
  <c r="D51" i="62"/>
  <c r="C51" i="62"/>
  <c r="I48" i="62"/>
  <c r="I47" i="62"/>
  <c r="I46" i="62"/>
  <c r="I30" i="62"/>
  <c r="I29" i="62"/>
  <c r="I28" i="62"/>
  <c r="I27" i="62"/>
  <c r="I26" i="62"/>
  <c r="I25" i="62"/>
  <c r="I23" i="62"/>
  <c r="I22" i="62"/>
  <c r="I21" i="62"/>
  <c r="I19" i="62"/>
  <c r="I17" i="62"/>
  <c r="I15" i="62"/>
  <c r="F11" i="62"/>
  <c r="H11" i="62" s="1"/>
  <c r="E11" i="62"/>
  <c r="G11" i="62" s="1"/>
  <c r="I11" i="67" l="1"/>
  <c r="I11" i="95"/>
  <c r="I11" i="94"/>
  <c r="I11" i="93"/>
  <c r="I11" i="92"/>
  <c r="I11" i="91"/>
  <c r="I11" i="90"/>
  <c r="I11" i="87"/>
  <c r="I11" i="86"/>
  <c r="I11" i="84"/>
  <c r="I11" i="83"/>
  <c r="I11" i="81"/>
  <c r="I11" i="80"/>
  <c r="I37" i="36"/>
  <c r="I11" i="78"/>
  <c r="I11" i="77"/>
  <c r="I11" i="75"/>
  <c r="I11" i="70"/>
  <c r="I11" i="68"/>
  <c r="I36" i="36"/>
  <c r="L36" i="36" s="1"/>
  <c r="I11" i="62"/>
  <c r="M43" i="36"/>
  <c r="I11" i="71"/>
  <c r="I11" i="72"/>
  <c r="I11" i="73"/>
  <c r="I11" i="74"/>
  <c r="I11" i="76"/>
  <c r="N28" i="36"/>
  <c r="M50" i="36"/>
  <c r="M45" i="36"/>
  <c r="I41" i="36"/>
  <c r="L41" i="36" s="1"/>
  <c r="M41" i="36" s="1"/>
  <c r="I39" i="36"/>
  <c r="M34" i="36"/>
  <c r="N21" i="36"/>
  <c r="N48" i="36"/>
  <c r="N46" i="36"/>
  <c r="N39" i="36"/>
  <c r="M33" i="36"/>
  <c r="M32" i="36"/>
  <c r="N47" i="36"/>
  <c r="M44" i="36"/>
  <c r="N29" i="36"/>
  <c r="N36" i="36"/>
  <c r="N41" i="36"/>
  <c r="N37" i="36"/>
  <c r="I51" i="91"/>
  <c r="I51" i="92"/>
  <c r="I51" i="74"/>
  <c r="I51" i="94"/>
  <c r="I51" i="82"/>
  <c r="I51" i="72"/>
  <c r="I51" i="71"/>
  <c r="I51" i="89"/>
  <c r="I51" i="62"/>
  <c r="I51" i="69"/>
  <c r="I51" i="84"/>
  <c r="I51" i="80"/>
  <c r="I51" i="95"/>
  <c r="I51" i="70"/>
  <c r="I51" i="87"/>
  <c r="I51" i="93"/>
  <c r="I51" i="68"/>
  <c r="I51" i="75"/>
  <c r="I51" i="76"/>
  <c r="I51" i="78"/>
  <c r="I51" i="83"/>
  <c r="I51" i="88"/>
  <c r="I51" i="90"/>
  <c r="I51" i="81"/>
  <c r="I51" i="86"/>
  <c r="I51" i="79"/>
  <c r="I51" i="85"/>
  <c r="I51" i="73"/>
  <c r="I51" i="77"/>
  <c r="I51" i="67"/>
  <c r="C51" i="36"/>
  <c r="N30" i="36"/>
  <c r="N26" i="36"/>
  <c r="N22" i="36"/>
  <c r="N15" i="36"/>
  <c r="N17" i="36"/>
  <c r="N13" i="36"/>
  <c r="N27" i="36"/>
  <c r="N25" i="36"/>
  <c r="N23" i="36"/>
  <c r="N19" i="36"/>
  <c r="N51" i="36" l="1"/>
  <c r="I35" i="36"/>
  <c r="M35" i="36" s="1"/>
  <c r="C51" i="1" l="1"/>
  <c r="I48" i="1"/>
  <c r="I48" i="36" s="1"/>
  <c r="I47" i="1"/>
  <c r="I47" i="36" s="1"/>
  <c r="I46" i="1"/>
  <c r="L47" i="36" l="1"/>
  <c r="M47" i="36"/>
  <c r="L48" i="36"/>
  <c r="M48" i="36"/>
  <c r="M36" i="36"/>
  <c r="I46" i="36"/>
  <c r="L37" i="36"/>
  <c r="M37" i="36" s="1"/>
  <c r="L46" i="36" l="1"/>
  <c r="M46" i="36"/>
  <c r="E11" i="1"/>
  <c r="F11" i="1"/>
  <c r="H51" i="1"/>
  <c r="F51" i="1"/>
  <c r="D51" i="1"/>
  <c r="I30" i="1"/>
  <c r="I30" i="36" s="1"/>
  <c r="I29" i="1"/>
  <c r="I29" i="36" s="1"/>
  <c r="I28" i="1"/>
  <c r="I28" i="36" s="1"/>
  <c r="L28" i="36" s="1"/>
  <c r="I27" i="1"/>
  <c r="I27" i="36" s="1"/>
  <c r="I26" i="1"/>
  <c r="I26" i="36" s="1"/>
  <c r="I25" i="1"/>
  <c r="I25" i="36" s="1"/>
  <c r="I23" i="1"/>
  <c r="I23" i="36" s="1"/>
  <c r="I22" i="1"/>
  <c r="I22" i="36" s="1"/>
  <c r="I21" i="1"/>
  <c r="I21" i="36" s="1"/>
  <c r="L21" i="36" s="1"/>
  <c r="M21" i="36" s="1"/>
  <c r="I19" i="1"/>
  <c r="I19" i="36" s="1"/>
  <c r="I17" i="1"/>
  <c r="I17" i="36" s="1"/>
  <c r="I15" i="1"/>
  <c r="I15" i="36" s="1"/>
  <c r="I13" i="36"/>
  <c r="L13" i="36" s="1"/>
  <c r="M13" i="36" l="1"/>
  <c r="F11" i="36"/>
  <c r="H11" i="1"/>
  <c r="H11" i="36" s="1"/>
  <c r="G11" i="1"/>
  <c r="E11" i="36"/>
  <c r="L22" i="36"/>
  <c r="M22" i="36" s="1"/>
  <c r="L17" i="36"/>
  <c r="M17" i="36" s="1"/>
  <c r="L23" i="36"/>
  <c r="M23" i="36" s="1"/>
  <c r="M28" i="36"/>
  <c r="L19" i="36"/>
  <c r="M19" i="36" s="1"/>
  <c r="L25" i="36"/>
  <c r="M25" i="36" s="1"/>
  <c r="L29" i="36"/>
  <c r="M29" i="36" s="1"/>
  <c r="L27" i="36"/>
  <c r="M27" i="36" s="1"/>
  <c r="L26" i="36"/>
  <c r="M26" i="36" s="1"/>
  <c r="L30" i="36"/>
  <c r="M30" i="36" s="1"/>
  <c r="L15" i="36"/>
  <c r="M15" i="36" s="1"/>
  <c r="H51" i="36"/>
  <c r="I51" i="1"/>
  <c r="L39" i="36" s="1"/>
  <c r="M39" i="36" s="1"/>
  <c r="H3" i="1" l="1"/>
  <c r="H3" i="62" s="1"/>
  <c r="H3" i="68" s="1"/>
  <c r="H3" i="69" s="1"/>
  <c r="H3" i="70" s="1"/>
  <c r="H3" i="71" s="1"/>
  <c r="H3" i="72" s="1"/>
  <c r="H3" i="73" s="1"/>
  <c r="H3" i="74" s="1"/>
  <c r="H3" i="75" s="1"/>
  <c r="H3" i="76" s="1"/>
  <c r="H3" i="77" s="1"/>
  <c r="H3" i="78" s="1"/>
  <c r="H3" i="79" s="1"/>
  <c r="H3" i="80" s="1"/>
  <c r="H3" i="81" s="1"/>
  <c r="H3" i="82" s="1"/>
  <c r="H3" i="83" s="1"/>
  <c r="H3" i="84" s="1"/>
  <c r="H3" i="85" s="1"/>
  <c r="H3" i="86" s="1"/>
  <c r="H3" i="87" s="1"/>
  <c r="H3" i="88" s="1"/>
  <c r="H3" i="89" s="1"/>
  <c r="H3" i="90" s="1"/>
  <c r="H3" i="91" s="1"/>
  <c r="H3" i="92" s="1"/>
  <c r="H3" i="93" s="1"/>
  <c r="H3" i="94" s="1"/>
  <c r="H3" i="95" s="1"/>
  <c r="H3" i="67" s="1"/>
  <c r="I11" i="1"/>
  <c r="G11" i="36"/>
  <c r="L51" i="36"/>
  <c r="I51" i="36"/>
  <c r="M51" i="36"/>
  <c r="D51" i="36"/>
  <c r="F51" i="36"/>
  <c r="E51" i="36"/>
  <c r="H3" i="36" l="1"/>
  <c r="I11" i="36"/>
</calcChain>
</file>

<file path=xl/comments1.xml><?xml version="1.0" encoding="utf-8"?>
<comments xmlns="http://schemas.openxmlformats.org/spreadsheetml/2006/main">
  <authors>
    <author>만든 이</author>
    <author>Windows 사용자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2" authorId="1" shapeId="0">
      <text>
        <r>
          <rPr>
            <b/>
            <sz val="9"/>
            <color indexed="81"/>
            <rFont val="돋움"/>
            <family val="3"/>
            <charset val="129"/>
          </rPr>
          <t>호밀시리즈는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8" authorId="1" shapeId="0">
      <text>
        <r>
          <rPr>
            <sz val="9"/>
            <color indexed="81"/>
            <rFont val="Tahoma"/>
            <family val="2"/>
          </rPr>
          <t>Half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Whole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>.</t>
        </r>
      </text>
    </comment>
    <comment ref="I40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3" authorId="1" shapeId="0">
      <text>
        <r>
          <rPr>
            <b/>
            <sz val="9"/>
            <color indexed="81"/>
            <rFont val="돋움"/>
            <family val="3"/>
            <charset val="129"/>
          </rPr>
          <t>슈톨렌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파네토네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미니파네토네는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49" authorId="1" shapeId="0">
      <text>
        <r>
          <rPr>
            <b/>
            <sz val="9"/>
            <color indexed="81"/>
            <rFont val="돋움"/>
            <family val="3"/>
            <charset val="129"/>
          </rPr>
          <t>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기입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<sst xmlns="http://schemas.openxmlformats.org/spreadsheetml/2006/main" count="4036" uniqueCount="834">
  <si>
    <t>일 일 업 무 보 고 서</t>
    <phoneticPr fontId="4" type="noConversion"/>
  </si>
  <si>
    <t>일     시</t>
    <phoneticPr fontId="6" type="noConversion"/>
  </si>
  <si>
    <t>작성자</t>
    <phoneticPr fontId="4" type="noConversion"/>
  </si>
  <si>
    <t>지 점 명</t>
    <phoneticPr fontId="6" type="noConversion"/>
  </si>
  <si>
    <t>점</t>
    <phoneticPr fontId="6" type="noConversion"/>
  </si>
  <si>
    <t>날씨</t>
    <phoneticPr fontId="4" type="noConversion"/>
  </si>
  <si>
    <t>외부온도</t>
  </si>
  <si>
    <t>내부온도</t>
  </si>
  <si>
    <t>외부습도</t>
    <phoneticPr fontId="4" type="noConversion"/>
  </si>
  <si>
    <t>내부습도</t>
  </si>
  <si>
    <t>1. 금일
매출
실적</t>
    <phoneticPr fontId="6" type="noConversion"/>
  </si>
  <si>
    <t>실적</t>
    <phoneticPr fontId="6" type="noConversion"/>
  </si>
  <si>
    <t>매출액(원)</t>
    <phoneticPr fontId="6" type="noConversion"/>
  </si>
  <si>
    <t>매출건수(건)</t>
    <phoneticPr fontId="6" type="noConversion"/>
  </si>
  <si>
    <t>2. 제품
판매량</t>
    <phoneticPr fontId="4" type="noConversion"/>
  </si>
  <si>
    <t>제품명</t>
  </si>
  <si>
    <t>생산량(ea)</t>
    <phoneticPr fontId="4" type="noConversion"/>
  </si>
  <si>
    <t>손실량(ea)</t>
    <phoneticPr fontId="4" type="noConversion"/>
  </si>
  <si>
    <t>시식량(ea)</t>
    <phoneticPr fontId="4" type="noConversion"/>
  </si>
  <si>
    <t>기타(ea) In (+) / Out (-)</t>
    <phoneticPr fontId="4" type="noConversion"/>
  </si>
  <si>
    <t>재고량(ea)</t>
    <phoneticPr fontId="4" type="noConversion"/>
  </si>
  <si>
    <t>판매량(ea)</t>
    <phoneticPr fontId="4" type="noConversion"/>
  </si>
  <si>
    <t xml:space="preserve"> </t>
    <phoneticPr fontId="6" type="noConversion"/>
  </si>
  <si>
    <t>바게트</t>
    <phoneticPr fontId="6" type="noConversion"/>
  </si>
  <si>
    <t>바게트(H)</t>
    <phoneticPr fontId="6" type="noConversion"/>
  </si>
  <si>
    <t>화바게트</t>
    <phoneticPr fontId="6" type="noConversion"/>
  </si>
  <si>
    <t>화바게트(H)</t>
    <phoneticPr fontId="6" type="noConversion"/>
  </si>
  <si>
    <t>깜파뉴</t>
    <phoneticPr fontId="6" type="noConversion"/>
  </si>
  <si>
    <t>깜파뉴(H)</t>
    <phoneticPr fontId="6" type="noConversion"/>
  </si>
  <si>
    <t>식 빵</t>
    <phoneticPr fontId="6" type="noConversion"/>
  </si>
  <si>
    <t>식 빵(H)</t>
    <phoneticPr fontId="6" type="noConversion"/>
  </si>
  <si>
    <t>블랙올리브</t>
    <phoneticPr fontId="4" type="noConversion"/>
  </si>
  <si>
    <t xml:space="preserve">허 브 </t>
    <phoneticPr fontId="6" type="noConversion"/>
  </si>
  <si>
    <t xml:space="preserve">치아바타 </t>
  </si>
  <si>
    <t>화치아바타</t>
  </si>
  <si>
    <t xml:space="preserve">크로아상 </t>
    <phoneticPr fontId="6" type="noConversion"/>
  </si>
  <si>
    <t>뺑오쇼콜라</t>
    <phoneticPr fontId="6" type="noConversion"/>
  </si>
  <si>
    <t xml:space="preserve">플레인 스콘 </t>
    <phoneticPr fontId="6" type="noConversion"/>
  </si>
  <si>
    <t>크랜베리 스콘</t>
    <phoneticPr fontId="6" type="noConversion"/>
  </si>
  <si>
    <t>브 레 첼</t>
  </si>
  <si>
    <t>스틱브레첼</t>
    <phoneticPr fontId="4" type="noConversion"/>
  </si>
  <si>
    <t>버터브레첼</t>
    <phoneticPr fontId="6" type="noConversion"/>
  </si>
  <si>
    <t>합 계</t>
    <phoneticPr fontId="4" type="noConversion"/>
  </si>
  <si>
    <t>배 민</t>
    <phoneticPr fontId="6" type="noConversion"/>
  </si>
  <si>
    <t>제로페이</t>
  </si>
  <si>
    <t>4. 서비스내역 및
   손님 특이사항</t>
    <phoneticPr fontId="4" type="noConversion"/>
  </si>
  <si>
    <t>6. 매장
   관리</t>
    <phoneticPr fontId="6" type="noConversion"/>
  </si>
  <si>
    <t>시설/장비
특이사항</t>
    <phoneticPr fontId="4" type="noConversion"/>
  </si>
  <si>
    <t>청결/위생 
관련업무</t>
    <phoneticPr fontId="4" type="noConversion"/>
  </si>
  <si>
    <t>7. 지시 및 전달사항</t>
    <phoneticPr fontId="4" type="noConversion"/>
  </si>
  <si>
    <t>8. 내일 준비사항</t>
    <phoneticPr fontId="4" type="noConversion"/>
  </si>
  <si>
    <t>9. 직원 특이사항</t>
    <phoneticPr fontId="4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</si>
  <si>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</si>
  <si>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</si>
  <si>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</si>
  <si>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</si>
  <si>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</si>
  <si>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</si>
  <si>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</si>
  <si>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금일</t>
    <phoneticPr fontId="6" type="noConversion"/>
  </si>
  <si>
    <t>내일</t>
    <phoneticPr fontId="6" type="noConversion"/>
  </si>
  <si>
    <t>10. 시설 점검사항</t>
    <phoneticPr fontId="4" type="noConversion"/>
  </si>
  <si>
    <t>첫 출 근 자</t>
  </si>
  <si>
    <t>최 종 퇴 근 자</t>
  </si>
  <si>
    <t>위생/마감 점검</t>
    <phoneticPr fontId="4" type="noConversion"/>
  </si>
  <si>
    <t>최종 점검</t>
  </si>
  <si>
    <t>Paul &amp; Paulina</t>
  </si>
  <si>
    <t>POS 외 매출</t>
    <phoneticPr fontId="6" type="noConversion"/>
  </si>
  <si>
    <t>POS 매출</t>
    <phoneticPr fontId="6" type="noConversion"/>
  </si>
  <si>
    <t>총 매출</t>
    <phoneticPr fontId="6" type="noConversion"/>
  </si>
  <si>
    <t>총 매출액(원)</t>
    <phoneticPr fontId="6" type="noConversion"/>
  </si>
  <si>
    <t>총 매출건수(건)</t>
    <phoneticPr fontId="6" type="noConversion"/>
  </si>
  <si>
    <t>3. 예약 및 POS 외 매출</t>
    <phoneticPr fontId="4" type="noConversion"/>
  </si>
  <si>
    <t>5. 제품의견 / 손실</t>
    <phoneticPr fontId="4" type="noConversion"/>
  </si>
  <si>
    <t>매출건수(건)</t>
  </si>
  <si>
    <t>매출액(원)</t>
  </si>
  <si>
    <t>누계 매출액</t>
    <phoneticPr fontId="3" type="noConversion"/>
  </si>
  <si>
    <t>확인</t>
    <phoneticPr fontId="3" type="noConversion"/>
  </si>
  <si>
    <t>객단가</t>
    <phoneticPr fontId="3" type="noConversion"/>
  </si>
  <si>
    <t>구름빵</t>
    <phoneticPr fontId="3" type="noConversion"/>
  </si>
  <si>
    <t>무화과 호밀스틱</t>
    <phoneticPr fontId="3" type="noConversion"/>
  </si>
  <si>
    <t>2022 년 1 월</t>
    <phoneticPr fontId="3" type="noConversion"/>
  </si>
  <si>
    <t>누계생산량(ea)</t>
    <phoneticPr fontId="4" type="noConversion"/>
  </si>
  <si>
    <t>누계손실량(ea)</t>
    <phoneticPr fontId="4" type="noConversion"/>
  </si>
  <si>
    <t>누계시식량(ea)</t>
    <phoneticPr fontId="4" type="noConversion"/>
  </si>
  <si>
    <t>누계 기타(ea) In (+) / Out (-)</t>
    <phoneticPr fontId="4" type="noConversion"/>
  </si>
  <si>
    <t>누계재고량(ea)</t>
    <phoneticPr fontId="4" type="noConversion"/>
  </si>
  <si>
    <t>누계판매량(ea)</t>
    <phoneticPr fontId="4" type="noConversion"/>
  </si>
  <si>
    <t>치킨샌드위치</t>
    <phoneticPr fontId="3" type="noConversion"/>
  </si>
  <si>
    <t>햄치즈샌드위치</t>
    <phoneticPr fontId="3" type="noConversion"/>
  </si>
  <si>
    <t>쿠팡이츠</t>
    <phoneticPr fontId="6" type="noConversion"/>
  </si>
  <si>
    <t>배 민</t>
    <phoneticPr fontId="6" type="noConversion"/>
  </si>
  <si>
    <t>판매율</t>
    <phoneticPr fontId="6" type="noConversion"/>
  </si>
  <si>
    <t>로스율</t>
    <phoneticPr fontId="3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</si>
  <si>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</si>
  <si>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</si>
  <si>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</si>
  <si>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</si>
  <si>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</si>
  <si>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</si>
  <si>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</si>
  <si>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위생/마감 점검</t>
    <phoneticPr fontId="4" type="noConversion"/>
  </si>
  <si>
    <t>재고율</t>
    <phoneticPr fontId="3" type="noConversion"/>
  </si>
  <si>
    <t>택배</t>
    <phoneticPr fontId="6" type="noConversion"/>
  </si>
  <si>
    <t>납품</t>
    <phoneticPr fontId="6" type="noConversion"/>
  </si>
  <si>
    <t>합계</t>
    <phoneticPr fontId="3" type="noConversion"/>
  </si>
  <si>
    <t>봄날깜빠뉴</t>
    <phoneticPr fontId="3" type="noConversion"/>
  </si>
  <si>
    <t>여름메밀빵</t>
    <phoneticPr fontId="3" type="noConversion"/>
  </si>
  <si>
    <t>여름메밀빵</t>
    <phoneticPr fontId="3" type="noConversion"/>
  </si>
  <si>
    <t>가을애깜빠뉴</t>
    <phoneticPr fontId="3" type="noConversion"/>
  </si>
  <si>
    <t>가을애깜빠뉴</t>
    <phoneticPr fontId="3" type="noConversion"/>
  </si>
  <si>
    <t>슈톨렌</t>
    <phoneticPr fontId="3" type="noConversion"/>
  </si>
  <si>
    <t>슈톨렌</t>
    <phoneticPr fontId="3" type="noConversion"/>
  </si>
  <si>
    <t>파네토네</t>
    <phoneticPr fontId="3" type="noConversion"/>
  </si>
  <si>
    <t>파네토네</t>
    <phoneticPr fontId="3" type="noConversion"/>
  </si>
  <si>
    <t>호라산 통밀</t>
    <phoneticPr fontId="3" type="noConversion"/>
  </si>
  <si>
    <t>호라산 통밀</t>
    <phoneticPr fontId="3" type="noConversion"/>
  </si>
  <si>
    <t>호밀비트</t>
    <phoneticPr fontId="3" type="noConversion"/>
  </si>
  <si>
    <t>호밀비트</t>
    <phoneticPr fontId="3" type="noConversion"/>
  </si>
  <si>
    <t>호밀후르츠</t>
    <phoneticPr fontId="3" type="noConversion"/>
  </si>
  <si>
    <t>호밀후르츠</t>
    <phoneticPr fontId="3" type="noConversion"/>
  </si>
  <si>
    <t>멜란자네</t>
    <phoneticPr fontId="3" type="noConversion"/>
  </si>
  <si>
    <t>멜란자네</t>
    <phoneticPr fontId="3" type="noConversion"/>
  </si>
  <si>
    <t>미니파네토네(여름)</t>
    <phoneticPr fontId="3" type="noConversion"/>
  </si>
  <si>
    <t>미니파네토네(여름)</t>
    <phoneticPr fontId="3" type="noConversion"/>
  </si>
  <si>
    <t>수프+샌드위치</t>
    <phoneticPr fontId="3" type="noConversion"/>
  </si>
  <si>
    <t>수프+샌드위치</t>
    <phoneticPr fontId="3" type="noConversion"/>
  </si>
  <si>
    <t>수프+빵</t>
    <phoneticPr fontId="3" type="noConversion"/>
  </si>
  <si>
    <t>수프+빵</t>
    <phoneticPr fontId="3" type="noConversion"/>
  </si>
  <si>
    <t>봄날깜빠뉴(H)</t>
    <phoneticPr fontId="3" type="noConversion"/>
  </si>
  <si>
    <t>봄날깜빠뉴(H)</t>
    <phoneticPr fontId="3" type="noConversion"/>
  </si>
  <si>
    <t>여름메밀빵(H)</t>
    <phoneticPr fontId="3" type="noConversion"/>
  </si>
  <si>
    <t>여름메밀빵(H)</t>
    <phoneticPr fontId="3" type="noConversion"/>
  </si>
  <si>
    <t>가을애깜빠뉴(H)</t>
    <phoneticPr fontId="3" type="noConversion"/>
  </si>
  <si>
    <t>가을애깜빠뉴(H)</t>
    <phoneticPr fontId="3" type="noConversion"/>
  </si>
  <si>
    <t xml:space="preserve">생산량 X, 재고량X, 판매량O, 시식량O, 손실량O </t>
  </si>
  <si>
    <t xml:space="preserve">손실량, 시식량 기준 : 수프 1잔 기준으로 절반 이하면 0.5 /절반 이상이면 1로 표기 </t>
    <phoneticPr fontId="3" type="noConversion"/>
  </si>
  <si>
    <t xml:space="preserve"> 기입X</t>
    <phoneticPr fontId="3" type="noConversion"/>
  </si>
  <si>
    <t>수동기입</t>
    <phoneticPr fontId="3" type="noConversion"/>
  </si>
  <si>
    <t>수식입력 되어 있으니 기입X</t>
    <phoneticPr fontId="3" type="noConversion"/>
  </si>
  <si>
    <t>(미니파네토네는 계절제품 상관없이 입력)</t>
    <phoneticPr fontId="3" type="noConversion"/>
  </si>
  <si>
    <t xml:space="preserve">선물 </t>
    <phoneticPr fontId="3" type="noConversion"/>
  </si>
  <si>
    <t xml:space="preserve">쿠팡 </t>
    <phoneticPr fontId="3" type="noConversion"/>
  </si>
  <si>
    <t>쿠팡잇츠 판매 내역</t>
    <phoneticPr fontId="3" type="noConversion"/>
  </si>
  <si>
    <t xml:space="preserve">배민 </t>
    <phoneticPr fontId="3" type="noConversion"/>
  </si>
  <si>
    <t xml:space="preserve">배달의민족 판매 내역 </t>
    <phoneticPr fontId="3" type="noConversion"/>
  </si>
  <si>
    <t>제로페이</t>
    <phoneticPr fontId="3" type="noConversion"/>
  </si>
  <si>
    <t xml:space="preserve">택배 </t>
    <phoneticPr fontId="3" type="noConversion"/>
  </si>
  <si>
    <t xml:space="preserve">택배 판매 내역 </t>
    <phoneticPr fontId="3" type="noConversion"/>
  </si>
  <si>
    <t xml:space="preserve">납품 </t>
    <phoneticPr fontId="3" type="noConversion"/>
  </si>
  <si>
    <t xml:space="preserve">월말결제를 주로 하는 모든 납품 업체 </t>
    <phoneticPr fontId="3" type="noConversion"/>
  </si>
  <si>
    <t xml:space="preserve">일일업무보고서 사용법 </t>
    <phoneticPr fontId="3" type="noConversion"/>
  </si>
  <si>
    <t xml:space="preserve">&lt;셀 색깔별 사용 법 &gt; </t>
    <phoneticPr fontId="3" type="noConversion"/>
  </si>
  <si>
    <t xml:space="preserve">&lt;메뉴 별 사용 법&gt; </t>
    <phoneticPr fontId="3" type="noConversion"/>
  </si>
  <si>
    <t xml:space="preserve">호밀시리즈 (호라산, 호밀후르츠, 호밀비트) </t>
    <phoneticPr fontId="3" type="noConversion"/>
  </si>
  <si>
    <t xml:space="preserve">생산량 X, 재고량X, 판매량O, 시식량O, 손실량O </t>
    <phoneticPr fontId="3" type="noConversion"/>
  </si>
  <si>
    <t xml:space="preserve">수프메뉴 </t>
    <phoneticPr fontId="3" type="noConversion"/>
  </si>
  <si>
    <t xml:space="preserve">* 일일업무 보고서에 숫자로 기입하는 것은 완제품 기준 입니다. </t>
    <phoneticPr fontId="3" type="noConversion"/>
  </si>
  <si>
    <t xml:space="preserve">* 생산 공정상 발생하는 손실은 손실보고서 작성 </t>
    <phoneticPr fontId="3" type="noConversion"/>
  </si>
  <si>
    <t xml:space="preserve">(손실보고서는 생산업무 전반에 발생하는 실수, 손해 모두 작성, 완제품으로 나오더라도 작성)  </t>
    <phoneticPr fontId="3" type="noConversion"/>
  </si>
  <si>
    <r>
      <t>* 일일업무보고서 내용 작성 누락 시 업무태도에 반영</t>
    </r>
    <r>
      <rPr>
        <sz val="11"/>
        <color theme="1"/>
        <rFont val="맑은 고딕"/>
        <family val="3"/>
        <charset val="129"/>
        <scheme val="minor"/>
      </rPr>
      <t>(제품의견, 서비스 내용은 출근직원은 반드시, 한줄이라도 작성할 것)</t>
    </r>
    <phoneticPr fontId="3" type="noConversion"/>
  </si>
  <si>
    <t>선물</t>
    <phoneticPr fontId="6" type="noConversion"/>
  </si>
  <si>
    <t>선물</t>
    <phoneticPr fontId="6" type="noConversion"/>
  </si>
  <si>
    <t>슈톨렌, 파네토네, 미니파네토네(여름),구름빵</t>
    <phoneticPr fontId="3" type="noConversion"/>
  </si>
  <si>
    <t>포스에 입력되지 않은 페이 결제 내역 (카카오, 서울페이 등), 계좌이체는 제외</t>
    <phoneticPr fontId="3" type="noConversion"/>
  </si>
  <si>
    <t>금액을 지불하지 않고 영업시간 내에 제공된 완제품(협찬 포함)</t>
    <phoneticPr fontId="3" type="noConversion"/>
  </si>
  <si>
    <t>2026년  3월  1일 ( 일요일)</t>
    <phoneticPr fontId="3" type="noConversion"/>
  </si>
  <si>
    <t>김도현</t>
    <phoneticPr fontId="3" type="noConversion"/>
  </si>
  <si>
    <t>흐림</t>
    <phoneticPr fontId="3" type="noConversion"/>
  </si>
  <si>
    <t>11</t>
    <phoneticPr fontId="3" type="noConversion"/>
  </si>
  <si>
    <t>25.9</t>
    <phoneticPr fontId="3" type="noConversion"/>
  </si>
  <si>
    <t>손님방문 가족단위로 오시는경우 많았습니다.</t>
    <phoneticPr fontId="3" type="noConversion"/>
  </si>
  <si>
    <t>오픈(김도현) : 당일 치아바타 오븐스프링 좋았고 힘도 적당했으며 구움색도 좋고 식감,풍미 괜찮았습니다.</t>
    <phoneticPr fontId="3" type="noConversion"/>
  </si>
  <si>
    <t>믹싱기청소,도구 세척 완료 하였습니다.</t>
    <phoneticPr fontId="3" type="noConversion"/>
  </si>
  <si>
    <t>준모,윤경,노윤</t>
    <phoneticPr fontId="3" type="noConversion"/>
  </si>
  <si>
    <t>윤경,세은,노윤</t>
    <phoneticPr fontId="3" type="noConversion"/>
  </si>
  <si>
    <t>도현,희주</t>
    <phoneticPr fontId="3" type="noConversion"/>
  </si>
  <si>
    <t>김세은</t>
    <phoneticPr fontId="3" type="noConversion"/>
  </si>
  <si>
    <t>김윤희</t>
    <phoneticPr fontId="3" type="noConversion"/>
  </si>
  <si>
    <t>근처 투썸카페 리뉴얼 공사로 주변이 소란스러웠습니다.</t>
    <phoneticPr fontId="3" type="noConversion"/>
  </si>
  <si>
    <t>따뜻한빵 위주로 시식 진행하였습니다.</t>
    <phoneticPr fontId="3" type="noConversion"/>
  </si>
  <si>
    <t>내일 공휴일로 연희점 빵지원 주말양으로 보낼 예정입니다.</t>
    <phoneticPr fontId="3" type="noConversion"/>
  </si>
  <si>
    <t>내일 공휴일로 심팩홀딩스 납품 없습니다.</t>
    <phoneticPr fontId="3" type="noConversion"/>
  </si>
  <si>
    <t>도우컨 날개청소 완료하였습니다.</t>
    <phoneticPr fontId="3" type="noConversion"/>
  </si>
  <si>
    <t>냉장고 필터청소 했습니다.</t>
    <phoneticPr fontId="3" type="noConversion"/>
  </si>
  <si>
    <t>오픈(정희주) : 플레인스콘이 조금 더 촉촉했으면 좋겠어서 우유 조금 추가해서 반죽했습니다.</t>
    <phoneticPr fontId="3" type="noConversion"/>
  </si>
  <si>
    <t>여의도</t>
    <phoneticPr fontId="3" type="noConversion"/>
  </si>
  <si>
    <t>노란박스 시간이 없어서 못 닦았습니다. 내일 닦도록 하겠습니다.</t>
    <phoneticPr fontId="3" type="noConversion"/>
  </si>
  <si>
    <t xml:space="preserve">마감(김윤희) : 크로와상 마지막판 과발효가 되어서 결이 뭉쳐서 나왔고, 버터의 풍미보다 기름맛이 느껴졌습니다. </t>
    <phoneticPr fontId="3" type="noConversion"/>
  </si>
  <si>
    <t>2026 년  3월  2일 ( 월요일)</t>
    <phoneticPr fontId="3" type="noConversion"/>
  </si>
  <si>
    <t>여의도</t>
    <phoneticPr fontId="3" type="noConversion"/>
  </si>
  <si>
    <t>정희주</t>
    <phoneticPr fontId="3" type="noConversion"/>
  </si>
  <si>
    <t>26</t>
    <phoneticPr fontId="3" type="noConversion"/>
  </si>
  <si>
    <t>6</t>
    <phoneticPr fontId="3" type="noConversion"/>
  </si>
  <si>
    <t>비</t>
    <phoneticPr fontId="3" type="noConversion"/>
  </si>
  <si>
    <t>도현,지림,윤희</t>
    <phoneticPr fontId="3" type="noConversion"/>
  </si>
  <si>
    <t>윤경,세은,진옥,노윤</t>
    <phoneticPr fontId="3" type="noConversion"/>
  </si>
  <si>
    <t>도현,희주</t>
    <phoneticPr fontId="3" type="noConversion"/>
  </si>
  <si>
    <t>윤희</t>
    <phoneticPr fontId="3" type="noConversion"/>
  </si>
  <si>
    <t>준모</t>
    <phoneticPr fontId="3" type="noConversion"/>
  </si>
  <si>
    <t>준모</t>
    <phoneticPr fontId="3" type="noConversion"/>
  </si>
  <si>
    <t>오픈 (정희주) : 치아바타 볼륨감,기공 좋았습니다. 미베 오븐에서 구워진 치아바타가 조금 건조한 식감이었지만 맛은 좋았습니다.</t>
    <phoneticPr fontId="3" type="noConversion"/>
  </si>
  <si>
    <t>오픈 (김도현) : 바게트 반죽 끈적이는 느낌이 강하고 힘이 잘 잡히지 않아 2단믹싱을 많이 잡았습니다.</t>
    <phoneticPr fontId="3" type="noConversion"/>
  </si>
  <si>
    <t>금일 유은희 매니저님 컨시점검/교육 있었습니다.</t>
    <phoneticPr fontId="3" type="noConversion"/>
  </si>
  <si>
    <t>ㄴ 이번주 직원 개별 미팅 예정.</t>
    <phoneticPr fontId="3" type="noConversion"/>
  </si>
  <si>
    <t>내일 심팩홀딩스 납품있습니다.</t>
    <phoneticPr fontId="3" type="noConversion"/>
  </si>
  <si>
    <t>금일 공휴일,날씨 흐린 관계로 손님방문 전체적으로 저조한 편 이었습니다.</t>
    <phoneticPr fontId="3" type="noConversion"/>
  </si>
  <si>
    <t>연희점에서 바게트,호밀빵,호밀슬라이스 이관받았습니다.</t>
    <phoneticPr fontId="3" type="noConversion"/>
  </si>
  <si>
    <t xml:space="preserve">마감(유준모) : 오전 실내 온도가 높아 히터 끄고 갑니다. / 스콘 물량 살짝 많게 느껴졌습니다. </t>
    <phoneticPr fontId="3" type="noConversion"/>
  </si>
  <si>
    <t>가족단위의 손님들이 많이 방문하셨습니다.</t>
    <phoneticPr fontId="3" type="noConversion"/>
  </si>
  <si>
    <t xml:space="preserve">아침에는 조용했다가 점심즈음 손님 약간 몰린편이었습니다. </t>
    <phoneticPr fontId="3" type="noConversion"/>
  </si>
  <si>
    <t>블랙올리브 4개 구매하셨는데 챙겨드리지 못해서 환불처리 도와드렸습니다.</t>
    <phoneticPr fontId="3" type="noConversion"/>
  </si>
  <si>
    <t>2026 년  3월  3일 ( 화요일)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</si>
  <si>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</si>
  <si>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</si>
  <si>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</si>
  <si>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10</t>
    <phoneticPr fontId="3" type="noConversion"/>
  </si>
  <si>
    <t>26</t>
    <phoneticPr fontId="3" type="noConversion"/>
  </si>
  <si>
    <t>파브리 깜빠뉴 20개 납품 완료 했습니다.</t>
    <phoneticPr fontId="3" type="noConversion"/>
  </si>
  <si>
    <t xml:space="preserve">무화과 담궜습니다. </t>
    <phoneticPr fontId="3" type="noConversion"/>
  </si>
  <si>
    <t xml:space="preserve">내일 이태리재 납품 있습니다. </t>
    <phoneticPr fontId="3" type="noConversion"/>
  </si>
  <si>
    <t xml:space="preserve">김세은(오픈) : 치아바타 어느정도 힘 있고 볼륨감도 좋게 나왔습니다. 속이 촉촉하고 맛도 고소했습니다. </t>
    <phoneticPr fontId="3" type="noConversion"/>
  </si>
  <si>
    <t>윤희,도현,진옥,지림</t>
    <phoneticPr fontId="3" type="noConversion"/>
  </si>
  <si>
    <t xml:space="preserve">희주,윤희 </t>
    <phoneticPr fontId="3" type="noConversion"/>
  </si>
  <si>
    <t>세은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</si>
  <si>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</si>
  <si>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</si>
  <si>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</si>
  <si>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 xml:space="preserve">세은,준모,노윤,희주  매니저님과 컨시어즈 교육 있었습니다. </t>
    <phoneticPr fontId="3" type="noConversion"/>
  </si>
  <si>
    <t>유준모(미들) : 냉장 깜빠뉴 성형때 천 높이 너무 낮게 작업됨 (피드백 완료), 냉장 치아바타 발효 빨랐습니다.</t>
    <phoneticPr fontId="3" type="noConversion"/>
  </si>
  <si>
    <t>호밀빵이 자르기 어렵다는 손님의 의견이 있었습니다.</t>
    <phoneticPr fontId="3" type="noConversion"/>
  </si>
  <si>
    <t>포인트적립 태블릿에 연결오류가 있어 잠시동안 수기로 전화번호를 받았습니다.</t>
    <phoneticPr fontId="3" type="noConversion"/>
  </si>
  <si>
    <t>샌드위치 전화예약 문의도 있었으나 조기품절이었습니다. 오전~점심시간 대에 식빵 판매가 꾸준히 이루어졌습니다.</t>
    <phoneticPr fontId="3" type="noConversion"/>
  </si>
  <si>
    <t>신용카드를 놓고 간 손님이 계셨습니다. (오후 4시경, 소량구매 (약 7000-8000원대), 검은색카드)</t>
    <phoneticPr fontId="3" type="noConversion"/>
  </si>
  <si>
    <t>정희주(마감) : 크로와상 오븐에서 나온 제품 뒤집혀 있는게 몇 개 있었습니다. 오늘 크로와상 버터 고르게 잘 들어갔습니다.</t>
    <phoneticPr fontId="3" type="noConversion"/>
  </si>
  <si>
    <t>2026 년  3월  4일 ( 수요일)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</si>
  <si>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</si>
  <si>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</si>
  <si>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</si>
  <si>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10</t>
    <phoneticPr fontId="3" type="noConversion"/>
  </si>
  <si>
    <t>24</t>
    <phoneticPr fontId="3" type="noConversion"/>
  </si>
  <si>
    <t xml:space="preserve">금일 연희점-&gt;여의도 호밀빵 7개 이관 받았습니다. </t>
    <phoneticPr fontId="3" type="noConversion"/>
  </si>
  <si>
    <t xml:space="preserve">여의도-&gt;연희점 올리브오일 6개 이관했습니다. </t>
    <phoneticPr fontId="3" type="noConversion"/>
  </si>
  <si>
    <t xml:space="preserve">김세은(오픈) : 깜빠뉴 발효 상태 좋았고 먹었을 때 , 고소하고 풍미가 잘 느껴졌습니다. </t>
    <phoneticPr fontId="3" type="noConversion"/>
  </si>
  <si>
    <t xml:space="preserve">올리브, 호두 구웠습니다.  / 이태리재 20개 납품 했습니다. </t>
    <phoneticPr fontId="3" type="noConversion"/>
  </si>
  <si>
    <t>윤희,희주</t>
    <phoneticPr fontId="3" type="noConversion"/>
  </si>
  <si>
    <t>희주,준모</t>
    <phoneticPr fontId="3" type="noConversion"/>
  </si>
  <si>
    <t>도현,세은</t>
    <phoneticPr fontId="3" type="noConversion"/>
  </si>
  <si>
    <t>윤경</t>
    <phoneticPr fontId="3" type="noConversion"/>
  </si>
  <si>
    <t>준모</t>
    <phoneticPr fontId="3" type="noConversion"/>
  </si>
  <si>
    <t>준모</t>
    <phoneticPr fontId="3" type="noConversion"/>
  </si>
  <si>
    <t>김도현(오픈) : 바게트 색 박텔보다 미베오븐에서 색이 더 잘나는 편 입니다.</t>
    <phoneticPr fontId="3" type="noConversion"/>
  </si>
  <si>
    <t>내일 연희동으로 올리브오일 6개 추가 이관예정입니다.</t>
    <phoneticPr fontId="3" type="noConversion"/>
  </si>
  <si>
    <t>유준모(마감) : 크로아상 성형시 약간 건조한 느낌 들었습니다.</t>
    <phoneticPr fontId="3" type="noConversion"/>
  </si>
  <si>
    <t>호밀빵 시식: (H) 1개/ 호밀빵 판매: 2개, (H) 3개</t>
    <phoneticPr fontId="3" type="noConversion"/>
  </si>
  <si>
    <t>뻉오쇼콜라가 조기품절되었고, 이후에도 찾으시는 손님 많았습니다.</t>
    <phoneticPr fontId="3" type="noConversion"/>
  </si>
  <si>
    <t>처음 오셔서 어떤 제품이 잘 판매되는지 여쭤보시는 손님이 종종 계셨습니다.</t>
    <phoneticPr fontId="3" type="noConversion"/>
  </si>
  <si>
    <t>부드러운 빵 위주로 찾으시는 손님이 계셨습니다.</t>
    <phoneticPr fontId="3" type="noConversion"/>
  </si>
  <si>
    <t>2026 년 3 월 5 일 ( 목요일)</t>
    <phoneticPr fontId="3" type="noConversion"/>
  </si>
  <si>
    <t>김도현</t>
    <phoneticPr fontId="3" type="noConversion"/>
  </si>
  <si>
    <t>흐림</t>
    <phoneticPr fontId="3" type="noConversion"/>
  </si>
  <si>
    <t>24.8</t>
    <phoneticPr fontId="3" type="noConversion"/>
  </si>
  <si>
    <t>11</t>
    <phoneticPr fontId="3" type="noConversion"/>
  </si>
  <si>
    <t>오픈(김도현) : 당일 스콘 냉이 잘 안먹고 반죽이 질어 찐득 거리는 느낌이 강해보였습니다.</t>
    <phoneticPr fontId="3" type="noConversion"/>
  </si>
  <si>
    <t>준모,희주</t>
    <phoneticPr fontId="3" type="noConversion"/>
  </si>
  <si>
    <t>윤지림</t>
    <phoneticPr fontId="3" type="noConversion"/>
  </si>
  <si>
    <t>도현,세은</t>
    <phoneticPr fontId="3" type="noConversion"/>
  </si>
  <si>
    <t>허윤경</t>
    <phoneticPr fontId="3" type="noConversion"/>
  </si>
  <si>
    <t>김윤희</t>
    <phoneticPr fontId="3" type="noConversion"/>
  </si>
  <si>
    <t>김윤희</t>
    <phoneticPr fontId="3" type="noConversion"/>
  </si>
  <si>
    <t>연희동점으로 올리브오일 6개 이관 하였습니다.</t>
    <phoneticPr fontId="3" type="noConversion"/>
  </si>
  <si>
    <t>연희동에서 생이스트 3개 이관 받았습니다.( 유통기한 임박하여 먼저 사용해야합니다.)</t>
    <phoneticPr fontId="3" type="noConversion"/>
  </si>
  <si>
    <t>내일 심팩홀딩스 납품준비 완료 하였습니다.</t>
    <phoneticPr fontId="3" type="noConversion"/>
  </si>
  <si>
    <t>솔른 깜빠뉴 10개 납품 완료 하였습니다.</t>
    <phoneticPr fontId="3" type="noConversion"/>
  </si>
  <si>
    <t xml:space="preserve">오픈(김세은) : 치아바타 2차 발효가 살짝 많아 껍질이 조금 두껍게 나왔습니다. 풍미는 좋았습니다. </t>
    <phoneticPr fontId="3" type="noConversion"/>
  </si>
  <si>
    <t xml:space="preserve">마감(김윤희) : 뻉오쇼콜라 판매가 잘 되어서 생산량 늘려서 성형하였습니다. </t>
    <phoneticPr fontId="3" type="noConversion"/>
  </si>
  <si>
    <t xml:space="preserve">크렌베리 소분해야합니다. </t>
    <phoneticPr fontId="3" type="noConversion"/>
  </si>
  <si>
    <t>여의도</t>
    <phoneticPr fontId="3" type="noConversion"/>
  </si>
  <si>
    <t xml:space="preserve">파이실 에어컨 작동이 잘 안됩니다. </t>
    <phoneticPr fontId="3" type="noConversion"/>
  </si>
  <si>
    <t>호밀빵 시식: (H) 1개 / 호밀빵 판매: 3개, (H) 1개</t>
    <phoneticPr fontId="3" type="noConversion"/>
  </si>
  <si>
    <t>깜빠뉴가 4시경에 조기품절되어 이후에도 찾으시는 손님 많았습니다. 호밀빵 혹은 바게트로 대체하여 가져가셨습니다.</t>
    <phoneticPr fontId="3" type="noConversion"/>
  </si>
  <si>
    <t>샌드위치가 3시쯤 조기품절되었으며, 이후에도 찾으시는 손님 많았습니다.</t>
    <phoneticPr fontId="3" type="noConversion"/>
  </si>
  <si>
    <t>화이트치아바타와 치아바타의 차이점을 여쭤보시는 손님이 많았습니다.</t>
    <phoneticPr fontId="3" type="noConversion"/>
  </si>
  <si>
    <t>2026년  3월  6일 (금요일)</t>
    <phoneticPr fontId="3" type="noConversion"/>
  </si>
  <si>
    <t>여의도</t>
    <phoneticPr fontId="3" type="noConversion"/>
  </si>
  <si>
    <t>유준모</t>
    <phoneticPr fontId="3" type="noConversion"/>
  </si>
  <si>
    <t>흐림</t>
    <phoneticPr fontId="3" type="noConversion"/>
  </si>
  <si>
    <t>4</t>
    <phoneticPr fontId="3" type="noConversion"/>
  </si>
  <si>
    <t>22</t>
    <phoneticPr fontId="3" type="noConversion"/>
  </si>
  <si>
    <t>유준모(오픈) : 식빵 앞 뒤 발효 차이가 큽니다. 중간에 위치 변경 해주면 좋을거 같습니다.</t>
    <phoneticPr fontId="3" type="noConversion"/>
  </si>
  <si>
    <t>윤님 대표님과 미팅 있었습니다.</t>
    <phoneticPr fontId="3" type="noConversion"/>
  </si>
  <si>
    <t>3월 7일(토) 이태리제 납품 없습니다.</t>
    <phoneticPr fontId="3" type="noConversion"/>
  </si>
  <si>
    <t>지림</t>
    <phoneticPr fontId="3" type="noConversion"/>
  </si>
  <si>
    <t>세은, 도현</t>
    <phoneticPr fontId="3" type="noConversion"/>
  </si>
  <si>
    <t>희주, 준모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</si>
  <si>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</si>
  <si>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</si>
  <si>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</si>
  <si>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정희주(오픈) : 바게트 기공이 열려있진 않았지만 고소하고 단맛이 느껴졌습니다.</t>
    <phoneticPr fontId="3" type="noConversion"/>
  </si>
  <si>
    <t>금일 심팩홀딩스 납품 있었습니다. / 블랙올리브 구웠습니다.</t>
    <phoneticPr fontId="3" type="noConversion"/>
  </si>
  <si>
    <t xml:space="preserve">김세은(미들) : 크로와상에 윤기가 돌고 버터 풍미도 잘 느껴졌습니다. </t>
    <phoneticPr fontId="3" type="noConversion"/>
  </si>
  <si>
    <t>김윤희(마감) : 스콘 모양과 구움색 다 좋았고, 버터의 풍미도 괜찮았습니다.</t>
    <phoneticPr fontId="3" type="noConversion"/>
  </si>
  <si>
    <t>샌드위치에 들어가는 치즈가 해동이 덜 되어서 내일 아침에 잘라야 합니다.</t>
    <phoneticPr fontId="3" type="noConversion"/>
  </si>
  <si>
    <t>깜빠뉴 예약이 많았습니다. 조기품절 되어 아쉬워하며 돌아가시는 손님이 많았습니다.</t>
    <phoneticPr fontId="3" type="noConversion"/>
  </si>
  <si>
    <t>허브빵으로 샌드위치를 만들어먹을 수 있는지 여쭤보시는 손님이 두분 계셨습니다. 구매해가셨습니다.</t>
    <phoneticPr fontId="3" type="noConversion"/>
  </si>
  <si>
    <t>6시부터는 스콘 2종만 남았고, 많이 아쉬워하며 돌아가셨씁니다. 스콘 시식 후에 대부분 구매하셨습니다</t>
    <phoneticPr fontId="3" type="noConversion"/>
  </si>
  <si>
    <t>큰 빵 위주로 많은 제품을 사가셨습니다./ 호밀빵 시식: (H) 1개/ 호밀빵 판매: 3개, (H) 3개</t>
    <phoneticPr fontId="3" type="noConversion"/>
  </si>
  <si>
    <t>2026 년  3월  7일 ( 토요일)</t>
    <phoneticPr fontId="3" type="noConversion"/>
  </si>
  <si>
    <t>여의도</t>
    <phoneticPr fontId="3" type="noConversion"/>
  </si>
  <si>
    <t>정희주</t>
    <phoneticPr fontId="3" type="noConversion"/>
  </si>
  <si>
    <t>맑음</t>
    <phoneticPr fontId="3" type="noConversion"/>
  </si>
  <si>
    <t>5</t>
    <phoneticPr fontId="3" type="noConversion"/>
  </si>
  <si>
    <t>21</t>
    <phoneticPr fontId="3" type="noConversion"/>
  </si>
  <si>
    <t>도현,세은</t>
    <phoneticPr fontId="3" type="noConversion"/>
  </si>
  <si>
    <t>윤경,희주</t>
    <phoneticPr fontId="3" type="noConversion"/>
  </si>
  <si>
    <t>준모,희주</t>
    <phoneticPr fontId="3" type="noConversion"/>
  </si>
  <si>
    <t>윤경</t>
    <phoneticPr fontId="3" type="noConversion"/>
  </si>
  <si>
    <t>윤희</t>
    <phoneticPr fontId="3" type="noConversion"/>
  </si>
  <si>
    <t xml:space="preserve">오픈(정희주) : 치아바타 믹싱 전날보다 줄였지만 힘이 센 느낌이었습니다. </t>
    <phoneticPr fontId="3" type="noConversion"/>
  </si>
  <si>
    <t>금일 이태리제 납품 없고 내일 납품 15개로 변경 하셨습니다.</t>
    <phoneticPr fontId="3" type="noConversion"/>
  </si>
  <si>
    <t xml:space="preserve">희주님 OT 사용 하셨습니다. </t>
    <phoneticPr fontId="3" type="noConversion"/>
  </si>
  <si>
    <t>이태리제 납품 (15개)</t>
    <phoneticPr fontId="3" type="noConversion"/>
  </si>
  <si>
    <t xml:space="preserve">연희동에서 깜빠뉴, 바게트 제품 이관 </t>
    <phoneticPr fontId="3" type="noConversion"/>
  </si>
  <si>
    <t>믹싱기 위 조명 꺼졌습니다.</t>
    <phoneticPr fontId="3" type="noConversion"/>
  </si>
  <si>
    <t>오픈(유준모) : 식빵 도우컨에서 앞 뒤 자리 바꾸고 작업 했습니다. 브레첼 반죽 찰진 느낌이였습니다.</t>
    <phoneticPr fontId="3" type="noConversion"/>
  </si>
  <si>
    <t xml:space="preserve">브레첼 철판 닦았습니다. </t>
    <phoneticPr fontId="3" type="noConversion"/>
  </si>
  <si>
    <t>마감(김윤희) : 치아바타 껍질이 두껍지는 않았지만 오일의 풍미가 잘 느껴지지 않았습니다. / 날씨가 갑자기 추워져서 발효가 전체적으로 느린편이었습니다.</t>
    <phoneticPr fontId="3" type="noConversion"/>
  </si>
  <si>
    <t>전화예약 대부분이 깜빠뉴 혹은 식빵 이었습니다.</t>
    <phoneticPr fontId="3" type="noConversion"/>
  </si>
  <si>
    <t>무화과는 찐득한맛 때문에 싫어했는데 폴앤폴리나 무화과호밀스틱을 시식해보고서 무화과호밀스틱을 꾸준히 구매한다는 손님이 계셨습니다.</t>
    <phoneticPr fontId="3" type="noConversion"/>
  </si>
  <si>
    <t>4시 전까지 손님이 꾸준히 방문하셨습니다/ 사워도우 빵을 판매하는지 여쭤보는 손님이 계셨습니다.</t>
    <phoneticPr fontId="3" type="noConversion"/>
  </si>
  <si>
    <t>호밀빵 시식: (H) 1개 / 호밀빵 판매 2개, (H) 1개/// 치킨샌드위치를 제외한 전제품 전부 품절되었습니다.</t>
    <phoneticPr fontId="3" type="noConversion"/>
  </si>
  <si>
    <t>오픈(김도현) : 식빵 2차발효 힘이 약해 틀위로 많이 올라오지 못한상태로 구웠습니다.(오븐스프링 약함.)</t>
    <phoneticPr fontId="3" type="noConversion"/>
  </si>
  <si>
    <t>윤경,희주</t>
    <phoneticPr fontId="3" type="noConversion"/>
  </si>
  <si>
    <t>윤경,윤희</t>
    <phoneticPr fontId="3" type="noConversion"/>
  </si>
  <si>
    <t>준모,도현</t>
    <phoneticPr fontId="3" type="noConversion"/>
  </si>
  <si>
    <t>김세은</t>
    <phoneticPr fontId="3" type="noConversion"/>
  </si>
  <si>
    <t>김윤희</t>
    <phoneticPr fontId="3" type="noConversion"/>
  </si>
  <si>
    <t>김윤희</t>
    <phoneticPr fontId="3" type="noConversion"/>
  </si>
  <si>
    <t>금일 이태리재 바게트 15개 납품완료 하였습니다.</t>
    <phoneticPr fontId="3" type="noConversion"/>
  </si>
  <si>
    <t>오픈(유준모) : 냉장 바게트, 치아바타 반죽 전 날 대비 발효가 빨랐습니다. / 구름빵 반죽 작업했습니다.(4배합)</t>
    <phoneticPr fontId="3" type="noConversion"/>
  </si>
  <si>
    <t xml:space="preserve">심팩홀딩스 납품 있습니다. </t>
    <phoneticPr fontId="3" type="noConversion"/>
  </si>
  <si>
    <t>노란박스, 도구들 청소하였습니다.</t>
    <phoneticPr fontId="3" type="noConversion"/>
  </si>
  <si>
    <t>에어컨필터, 냉장고필터 청소하였습니다.</t>
    <phoneticPr fontId="3" type="noConversion"/>
  </si>
  <si>
    <t>2026년 3월 8일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</si>
  <si>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</si>
  <si>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</si>
  <si>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</si>
  <si>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5</t>
    <phoneticPr fontId="3" type="noConversion"/>
  </si>
  <si>
    <t>23</t>
    <phoneticPr fontId="3" type="noConversion"/>
  </si>
  <si>
    <t xml:space="preserve">마감(김윤희) : 스콘 구움색 골고루 잘 났습니다. 바스러지는 식감이었고, 버터의 풍미가 좋았습니다. </t>
    <phoneticPr fontId="3" type="noConversion"/>
  </si>
  <si>
    <t>도우컨 날개 청소하였습니다.</t>
    <phoneticPr fontId="3" type="noConversion"/>
  </si>
  <si>
    <t xml:space="preserve">오픈부터 마감까지 손님 꾸준히 쭉 있었습니다. </t>
    <phoneticPr fontId="3" type="noConversion"/>
  </si>
  <si>
    <t xml:space="preserve">오후 시간에 식빵, 깜빠뉴 많이 나갔습니다. </t>
    <phoneticPr fontId="3" type="noConversion"/>
  </si>
  <si>
    <t xml:space="preserve">호밀100% 2개 이관 받았습니다. </t>
    <phoneticPr fontId="3" type="noConversion"/>
  </si>
  <si>
    <t>윤경,윤희</t>
    <phoneticPr fontId="3" type="noConversion"/>
  </si>
  <si>
    <t>세은,준모</t>
    <phoneticPr fontId="3" type="noConversion"/>
  </si>
  <si>
    <t>도현,희주</t>
    <phoneticPr fontId="3" type="noConversion"/>
  </si>
  <si>
    <t>김세은</t>
    <phoneticPr fontId="3" type="noConversion"/>
  </si>
  <si>
    <t>유준모</t>
    <phoneticPr fontId="3" type="noConversion"/>
  </si>
  <si>
    <t>유준모</t>
    <phoneticPr fontId="3" type="noConversion"/>
  </si>
  <si>
    <t>오픈(김도현) : 치아바타 기공 균일하고 오일풍미 좋았습니다./
식빵 반죽 믹싱 시에 힘이 잘 안잡히고 늘어지는 느낌이 강한편 입니다.</t>
    <phoneticPr fontId="3" type="noConversion"/>
  </si>
  <si>
    <t>오픈(정희주) : 치아바타 윤기가 있었습니다. 맛,기공 좋았습니다. 크로와상 물량 18에 조정수없어도 촉촉한 느낌이 강했습니다.</t>
    <phoneticPr fontId="3" type="noConversion"/>
  </si>
  <si>
    <t>2026 년  3월  9일 ( 월요일)</t>
    <phoneticPr fontId="3" type="noConversion"/>
  </si>
  <si>
    <t>정희주</t>
    <phoneticPr fontId="3" type="noConversion"/>
  </si>
  <si>
    <t>여의도</t>
    <phoneticPr fontId="3" type="noConversion"/>
  </si>
  <si>
    <t>흐림</t>
    <phoneticPr fontId="3" type="noConversion"/>
  </si>
  <si>
    <t>7</t>
    <phoneticPr fontId="3" type="noConversion"/>
  </si>
  <si>
    <t>23</t>
    <phoneticPr fontId="3" type="noConversion"/>
  </si>
  <si>
    <t>손님 꾸준히 있는 편이였습니다.</t>
    <phoneticPr fontId="3" type="noConversion"/>
  </si>
  <si>
    <t xml:space="preserve">호밀100% 찾는 손님이 몇분 계셨습니다. </t>
    <phoneticPr fontId="3" type="noConversion"/>
  </si>
  <si>
    <t xml:space="preserve">오후에 2차로 치아바타 구워져서 나와서 따뜻한 빵 시식 했습니다. </t>
    <phoneticPr fontId="3" type="noConversion"/>
  </si>
  <si>
    <t xml:space="preserve">박텔 오븐 청소 했습니다. </t>
    <phoneticPr fontId="3" type="noConversion"/>
  </si>
  <si>
    <t>2026 년  3월  10일 ( 화요일)</t>
    <phoneticPr fontId="3" type="noConversion"/>
  </si>
  <si>
    <t>정희주</t>
    <phoneticPr fontId="3" type="noConversion"/>
  </si>
  <si>
    <t>여의도</t>
    <phoneticPr fontId="3" type="noConversion"/>
  </si>
  <si>
    <t>24</t>
    <phoneticPr fontId="3" type="noConversion"/>
  </si>
  <si>
    <t>맑음</t>
    <phoneticPr fontId="3" type="noConversion"/>
  </si>
  <si>
    <t>8</t>
    <phoneticPr fontId="3" type="noConversion"/>
  </si>
  <si>
    <t>5. 제품의견 / 손실</t>
    <phoneticPr fontId="4" type="noConversion"/>
  </si>
  <si>
    <t>5. 제품의견 / 손실</t>
    <phoneticPr fontId="3" type="noConversion"/>
  </si>
  <si>
    <t>오픈(정희주) : 식빵 믹싱이 오래걸려 물량을 줄여도 될 것 같습니다. 치아바타 대체적으로 기공 잘 풀렸지만 중앙이 아주 살짝 덜 풀렸고 맛,식감 좋았습니다.</t>
    <phoneticPr fontId="3" type="noConversion"/>
  </si>
  <si>
    <t>준모,세은</t>
    <phoneticPr fontId="3" type="noConversion"/>
  </si>
  <si>
    <t>도현,희주</t>
    <phoneticPr fontId="3" type="noConversion"/>
  </si>
  <si>
    <t>도현,희주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</si>
  <si>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</si>
  <si>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</si>
  <si>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</si>
  <si>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블랙올리브 굽기</t>
    <phoneticPr fontId="3" type="noConversion"/>
  </si>
  <si>
    <t xml:space="preserve">이태리제와 파브리키친 납품 있습니다. </t>
    <phoneticPr fontId="3" type="noConversion"/>
  </si>
  <si>
    <t xml:space="preserve">오늘 청소 간소화 하였습니다. </t>
    <phoneticPr fontId="3" type="noConversion"/>
  </si>
  <si>
    <t xml:space="preserve">마감(김윤희) : 금일 뺑오쇼콜라 볼륨감과 결이 좋았습니다. / 당일 블랙올리브 힘이 세서 잘 풀리지 않았습니다. </t>
    <phoneticPr fontId="3" type="noConversion"/>
  </si>
  <si>
    <t>오픈 후 한시간동안 손님이 줄을 섰습니다. 시식 반응이 좋았습니다.</t>
    <phoneticPr fontId="3" type="noConversion"/>
  </si>
  <si>
    <t>2시 이전에 무화과호밀스틱이 판매완료되었습니다.</t>
    <phoneticPr fontId="3" type="noConversion"/>
  </si>
  <si>
    <t xml:space="preserve">치아바타류를 많이 찾으셨습니다. </t>
    <phoneticPr fontId="3" type="noConversion"/>
  </si>
  <si>
    <t>호밀빵 시식: (H) 2개 / 호밀빵 판매: 2개, (H) 5개</t>
    <phoneticPr fontId="3" type="noConversion"/>
  </si>
  <si>
    <t>2026 년  3월  11일 ( 수요일)</t>
    <phoneticPr fontId="3" type="noConversion"/>
  </si>
  <si>
    <t>여의도</t>
    <phoneticPr fontId="3" type="noConversion"/>
  </si>
  <si>
    <t>유준모</t>
    <phoneticPr fontId="3" type="noConversion"/>
  </si>
  <si>
    <t>10</t>
    <phoneticPr fontId="3" type="noConversion"/>
  </si>
  <si>
    <t>23</t>
    <phoneticPr fontId="3" type="noConversion"/>
  </si>
  <si>
    <t>금일 심팩홀딩스, 이태리제, 파브리키친 납품 있었습니다.</t>
    <phoneticPr fontId="3" type="noConversion"/>
  </si>
  <si>
    <t>호밀빵 생산 했습니다.</t>
    <phoneticPr fontId="3" type="noConversion"/>
  </si>
  <si>
    <t>피칸, 올리브 구웠습니다.</t>
    <phoneticPr fontId="3" type="noConversion"/>
  </si>
  <si>
    <t>봄날깜빠뉴 작업</t>
    <phoneticPr fontId="3" type="noConversion"/>
  </si>
  <si>
    <t>도현, 희주</t>
    <phoneticPr fontId="3" type="noConversion"/>
  </si>
  <si>
    <t>윤희, 진옥</t>
    <phoneticPr fontId="3" type="noConversion"/>
  </si>
  <si>
    <t>세은, 준모</t>
    <phoneticPr fontId="3" type="noConversion"/>
  </si>
  <si>
    <t>윤경</t>
    <phoneticPr fontId="3" type="noConversion"/>
  </si>
  <si>
    <t>윤희</t>
    <phoneticPr fontId="3" type="noConversion"/>
  </si>
  <si>
    <t>유준모(오픈) : 냉장 바게트 겉면은 발효가 되었지만 안쪽은 힘 쌨습니다.</t>
    <phoneticPr fontId="3" type="noConversion"/>
  </si>
  <si>
    <t xml:space="preserve">김세은(오픈) : 스콘 반죽 셰프님이 봐 주셨습니다. </t>
    <phoneticPr fontId="3" type="noConversion"/>
  </si>
  <si>
    <t xml:space="preserve">김윤희(마감) : 뺑오쇼콜라가 수축되어서 나왔습니다. 기름맛이 약간 나지만 끝에 버터의 풍미도 납니다. </t>
    <phoneticPr fontId="3" type="noConversion"/>
  </si>
  <si>
    <t>맑음</t>
    <phoneticPr fontId="3" type="noConversion"/>
  </si>
  <si>
    <t>호밀빵 시식: (H) 2개 / 호밀빵 판매: 3개, (H) 4개</t>
    <phoneticPr fontId="3" type="noConversion"/>
  </si>
  <si>
    <t>어제 화이트바게트 시식 정말 맛있었다며, 식빵 반과 치아바타를 구매해가신 손님이 계셨습니다.</t>
    <phoneticPr fontId="3" type="noConversion"/>
  </si>
  <si>
    <t>버터가 들어가지않은 빵을 찾는 손님께서 치아바타를 구매하시고, 다음에는 호밀빵을 구매해보겠다고 하셨습니다.</t>
    <phoneticPr fontId="3" type="noConversion"/>
  </si>
  <si>
    <t>초등학생 추정되는 아이손님 두 분이 보호자없이 방문하여 구매해가셨습니다. (두 분 모두 버터브레첼을 사가셨습니다.)</t>
    <phoneticPr fontId="3" type="noConversion"/>
  </si>
  <si>
    <t>여의도</t>
    <phoneticPr fontId="3" type="noConversion"/>
  </si>
  <si>
    <t>유준모</t>
    <phoneticPr fontId="3" type="noConversion"/>
  </si>
  <si>
    <t>2026 년  3월  12일 (목요일)</t>
    <phoneticPr fontId="3" type="noConversion"/>
  </si>
  <si>
    <t>맑음</t>
    <phoneticPr fontId="3" type="noConversion"/>
  </si>
  <si>
    <t>11</t>
    <phoneticPr fontId="3" type="noConversion"/>
  </si>
  <si>
    <t>22</t>
    <phoneticPr fontId="3" type="noConversion"/>
  </si>
  <si>
    <t>유준모(오픈) : 냉장 바게트 반죽 성형 전 벤치타임 충분히 주고 성형 했습니다. / 봄날깜빠뉴 반죽 생산(3배합)</t>
    <phoneticPr fontId="3" type="noConversion"/>
  </si>
  <si>
    <t>금일 심팩홀딩스 납품 있었습니다.</t>
    <phoneticPr fontId="3" type="noConversion"/>
  </si>
  <si>
    <t>봄날깜빠뉴 반죽 생산 했습니다. (3배합)</t>
    <phoneticPr fontId="3" type="noConversion"/>
  </si>
  <si>
    <t>매니저님과 팀장님, 윤경님 미팅 있었습니다.</t>
    <phoneticPr fontId="3" type="noConversion"/>
  </si>
  <si>
    <t>윤희, 진옥</t>
    <phoneticPr fontId="3" type="noConversion"/>
  </si>
  <si>
    <t>진옥, 준모</t>
    <phoneticPr fontId="3" type="noConversion"/>
  </si>
  <si>
    <t>도현, 준모</t>
    <phoneticPr fontId="3" type="noConversion"/>
  </si>
  <si>
    <t>윤경</t>
    <phoneticPr fontId="3" type="noConversion"/>
  </si>
  <si>
    <t>희주</t>
    <phoneticPr fontId="3" type="noConversion"/>
  </si>
  <si>
    <t>피칸 굽기, 캐슈넛 굽기</t>
    <phoneticPr fontId="3" type="noConversion"/>
  </si>
  <si>
    <t xml:space="preserve">김세은(미들) : 스콘 버터 풍미가 잘 느껴졌습니다. </t>
    <phoneticPr fontId="3" type="noConversion"/>
  </si>
  <si>
    <t>정희주(마감) : 파이 밀때 수축하는 느낌이 조금 느껴졌습니다.</t>
    <phoneticPr fontId="3" type="noConversion"/>
  </si>
  <si>
    <t>호밀빵을 어제 시식했는데 맛있었다며, 오늘 구매하기 위해 방문하신 손님 있었습니다.</t>
    <phoneticPr fontId="3" type="noConversion"/>
  </si>
  <si>
    <t>바게트류 5시 이전에 판매 완료되었습니다./ 식빵이 마감까지 남아있었습니다.</t>
    <phoneticPr fontId="3" type="noConversion"/>
  </si>
  <si>
    <t>연희점을 방문하는데 오늘 여의도로 오셨다는 손님이 2팀 계셨습니다. 근처 오신 김에 사가신다고 하셨습니다. / 3층까지 빵냄새가 난다고 구매하러 오신 할머니, 손자 손님 계셨습니다.</t>
    <phoneticPr fontId="3" type="noConversion"/>
  </si>
  <si>
    <t>호밀빵 시식: (H) 2개/ 판매: 2개 (H) 6개</t>
    <phoneticPr fontId="3" type="noConversion"/>
  </si>
  <si>
    <t>2026년 3월 13일 (금요일)</t>
    <phoneticPr fontId="3" type="noConversion"/>
  </si>
  <si>
    <t>여의도</t>
    <phoneticPr fontId="3" type="noConversion"/>
  </si>
  <si>
    <t>맑음</t>
    <phoneticPr fontId="3" type="noConversion"/>
  </si>
  <si>
    <t>캐슈넛, 피칸, 블랙올리브 구웠습니다.</t>
    <phoneticPr fontId="3" type="noConversion"/>
  </si>
  <si>
    <t xml:space="preserve">이태리제 바게트 25개 납품 있습니다. </t>
    <phoneticPr fontId="3" type="noConversion"/>
  </si>
  <si>
    <t>준모,진옥</t>
    <phoneticPr fontId="3" type="noConversion"/>
  </si>
  <si>
    <t>도현,세은</t>
    <phoneticPr fontId="3" type="noConversion"/>
  </si>
  <si>
    <t>도현,윤희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</si>
  <si>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</si>
  <si>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</si>
  <si>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</si>
  <si>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윤희(오픈) : 식빵 물1% 줄여서 반죽해도 될 거 같습니다. / 봄날깜빠뉴 되기 묽게 쳐야합니다. 조정수가 많이 들어가는 편입니다.</t>
    <phoneticPr fontId="3" type="noConversion"/>
  </si>
  <si>
    <t>제로페이</t>
    <phoneticPr fontId="3" type="noConversion"/>
  </si>
  <si>
    <t>정희주</t>
    <phoneticPr fontId="3" type="noConversion"/>
  </si>
  <si>
    <t>25</t>
    <phoneticPr fontId="3" type="noConversion"/>
  </si>
  <si>
    <t>9</t>
    <phoneticPr fontId="3" type="noConversion"/>
  </si>
  <si>
    <t>5. 제품의견 / 손실</t>
    <phoneticPr fontId="3" type="noConversion"/>
  </si>
  <si>
    <t>희주(마감) : 스콘 물량 287에 우유 조금 추가했습니다. 날씨가 따뜻해서 버터가 빨리 녹아 유의해야할 것 같습니다.,</t>
    <phoneticPr fontId="3" type="noConversion"/>
  </si>
  <si>
    <t>호밀빵 시식: (H) 1개/ 판매: 5개, (H) 3개 봄날깜빠뉴 시식: (H) 2개/ 판매: 3개, (H) 9개</t>
    <phoneticPr fontId="3" type="noConversion"/>
  </si>
  <si>
    <t>봄날깜빠뉴의 시식반응이 좋았고 판매로 이어졌으나, 대부분 (H)로 구매하셨습니다.</t>
    <phoneticPr fontId="3" type="noConversion"/>
  </si>
  <si>
    <t>치아바타류, 바게트류를 점심시간에 많이 찾으셨으나 충분한 양의 재고가 없어서 아쉽게 돌아가시는 손님분들이 종종 계셨습니다.</t>
    <phoneticPr fontId="3" type="noConversion"/>
  </si>
  <si>
    <t>12시-1시와 4시-5시에 급격히 손님이 몰려서 줄을 섰습니다. 4-5시에는 소량보다는 대부분 대량으로 구매해가셨습니다.</t>
    <phoneticPr fontId="3" type="noConversion"/>
  </si>
  <si>
    <t>2026년 3월 14일 (토요일)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</si>
  <si>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</si>
  <si>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</si>
  <si>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</si>
  <si>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25</t>
    <phoneticPr fontId="3" type="noConversion"/>
  </si>
  <si>
    <t>11</t>
    <phoneticPr fontId="3" type="noConversion"/>
  </si>
  <si>
    <t>이태리제 바게트 25개 납품완료하였습니다.</t>
    <phoneticPr fontId="3" type="noConversion"/>
  </si>
  <si>
    <t>도현,세은</t>
    <phoneticPr fontId="3" type="noConversion"/>
  </si>
  <si>
    <t>세은,윤경</t>
    <phoneticPr fontId="3" type="noConversion"/>
  </si>
  <si>
    <t>준모,윤희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</si>
  <si>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</si>
  <si>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</si>
  <si>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</si>
  <si>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 xml:space="preserve">윤희(오픈) : 금일 블랙올리브 볼륨감도 좋았고, 구움색 잘 나왔습니다. / 봄날깜빠뉴 안에 촉촉하고 견과류의 맛들이 잘 느껴졌습니다. </t>
    <phoneticPr fontId="3" type="noConversion"/>
  </si>
  <si>
    <t>희주(마감) : 스콘 버터향 잘 느껴지고 식감도 좋았습니다. 파이 전날 5/3.5/3에서 금일 5/3/3으로 밀었더니 두께 적절했습니다.</t>
    <phoneticPr fontId="3" type="noConversion"/>
  </si>
  <si>
    <t>호밀빵 판매하는 날 아니었음/ 봄깜빠뉴 시식: (H) 2개/ 판매: 4개, (H) 11개</t>
    <phoneticPr fontId="3" type="noConversion"/>
  </si>
  <si>
    <t>화이트치아바타를 냉동했다가 구워먹으니 딱 원하는 식감이었다고 말씀하신 손님이 계셨습니다. / 버터브레첼을 바로만들어준다며 여기가 가장 맛있다는 손님한분이 계셨습니다.</t>
    <phoneticPr fontId="3" type="noConversion"/>
  </si>
  <si>
    <t>바게트 6개 대량손님께 대량구매의 이유에 대해 여쭤봤더니 샌드위치를 만들어드신다고 하셨습니다./광화문점에 대해 여쭈어보신 손님이 외국인친구에게 줄 선물을 사러 방문하셨습니다.</t>
    <phoneticPr fontId="3" type="noConversion"/>
  </si>
  <si>
    <t>4시 전까지 손님이 끊기지 않았습니다./ 11-13시 사이, 14-15시 사이에 가장 붐볐습니다./ 치아바타의 품절시간을 여쭤보시는 손님이 계셨습니다.</t>
    <phoneticPr fontId="3" type="noConversion"/>
  </si>
  <si>
    <t>2026년 3월 15일 (일요일)</t>
    <phoneticPr fontId="3" type="noConversion"/>
  </si>
  <si>
    <t>여의도</t>
    <phoneticPr fontId="3" type="noConversion"/>
  </si>
  <si>
    <t>김윤희</t>
    <phoneticPr fontId="3" type="noConversion"/>
  </si>
  <si>
    <t>흐림,비</t>
    <phoneticPr fontId="3" type="noConversion"/>
  </si>
  <si>
    <t>10</t>
    <phoneticPr fontId="3" type="noConversion"/>
  </si>
  <si>
    <t>25</t>
    <phoneticPr fontId="3" type="noConversion"/>
  </si>
  <si>
    <t>호두 구웠습니다.</t>
    <phoneticPr fontId="3" type="noConversion"/>
  </si>
  <si>
    <t xml:space="preserve">심팩홀딩스 납품 있습니다. </t>
    <phoneticPr fontId="3" type="noConversion"/>
  </si>
  <si>
    <t>세은,윤경</t>
    <phoneticPr fontId="3" type="noConversion"/>
  </si>
  <si>
    <t>준모,윤경</t>
    <phoneticPr fontId="3" type="noConversion"/>
  </si>
  <si>
    <t>도현,윤희</t>
    <phoneticPr fontId="3" type="noConversion"/>
  </si>
  <si>
    <t>준모</t>
    <phoneticPr fontId="3" type="noConversion"/>
  </si>
  <si>
    <t>희주</t>
    <phoneticPr fontId="3" type="noConversion"/>
  </si>
  <si>
    <t>희주</t>
    <phoneticPr fontId="3" type="noConversion"/>
  </si>
  <si>
    <t xml:space="preserve">윤희(오픈) : 금일 냉장 깜빠뉴가 냉장 바게트에 비해 힘이 늦게 풀렸습니다. / 당일 치아바타 힘이 약간 센 편이었습니다. </t>
    <phoneticPr fontId="3" type="noConversion"/>
  </si>
  <si>
    <t>도현(오픈) : 식빵 헛기포별로 안올라오고 힘이 좋아 볼륨감 안정적으로 나왔습니다.</t>
    <phoneticPr fontId="3" type="noConversion"/>
  </si>
  <si>
    <t>봄깜빠뉴 시식 반응 꾸준하게 좋습니다.(구매 원하시는 손님 많은 편 입니다.)</t>
    <phoneticPr fontId="3" type="noConversion"/>
  </si>
  <si>
    <t>금일 식빵 찾으시는 손님 평일에 비해 저조한 편 이었습니다.</t>
    <phoneticPr fontId="3" type="noConversion"/>
  </si>
  <si>
    <t>버터브레첼,스틱브레첼 구매 손님 많았습니다.</t>
    <phoneticPr fontId="3" type="noConversion"/>
  </si>
  <si>
    <t>호밀빵 생산 : 6개,시식 : 1개, 재고 : 1개</t>
    <phoneticPr fontId="3" type="noConversion"/>
  </si>
  <si>
    <t>희주(마감) : 치아바타 오븐에 넣기전 물이 뿜어져 나오는 느낌이었습니다.</t>
    <phoneticPr fontId="3" type="noConversion"/>
  </si>
  <si>
    <t>2026 년  3월  16일 ( 월요일)</t>
    <phoneticPr fontId="3" type="noConversion"/>
  </si>
  <si>
    <t>여의도</t>
    <phoneticPr fontId="3" type="noConversion"/>
  </si>
  <si>
    <t>김세은</t>
    <phoneticPr fontId="3" type="noConversion"/>
  </si>
  <si>
    <t>흐림</t>
    <phoneticPr fontId="3" type="noConversion"/>
  </si>
  <si>
    <t>12</t>
    <phoneticPr fontId="3" type="noConversion"/>
  </si>
  <si>
    <t>26</t>
    <phoneticPr fontId="3" type="noConversion"/>
  </si>
  <si>
    <t xml:space="preserve">오픈(김세은) : 브레첼 겉은 바삭하고 속은 촉촉했습니다. 식감 좋았습니다. </t>
    <phoneticPr fontId="3" type="noConversion"/>
  </si>
  <si>
    <t>윤경,준모</t>
    <phoneticPr fontId="3" type="noConversion"/>
  </si>
  <si>
    <t>희주,진옥</t>
    <phoneticPr fontId="3" type="noConversion"/>
  </si>
  <si>
    <t>도현,세은</t>
    <phoneticPr fontId="3" type="noConversion"/>
  </si>
  <si>
    <t>희주</t>
    <phoneticPr fontId="3" type="noConversion"/>
  </si>
  <si>
    <t>윤희</t>
    <phoneticPr fontId="3" type="noConversion"/>
  </si>
  <si>
    <t xml:space="preserve">호밀100% 6개 생산하였습니다. </t>
    <phoneticPr fontId="3" type="noConversion"/>
  </si>
  <si>
    <t>오픈(김도현) : 치아바타 구움색 좋았습니다.
(적정시간안에(12~13분)구워져나왔고 얼룩덜룩한 부분없이 잘 나왔습니다.)</t>
    <phoneticPr fontId="3" type="noConversion"/>
  </si>
  <si>
    <t xml:space="preserve">심팩홀딩스 납품 있습니다. </t>
    <phoneticPr fontId="3" type="noConversion"/>
  </si>
  <si>
    <t>마감(김윤희) : 전날 크로와상 성형할 때 세게 말아진 거 같아 보였습니다. 성형할 때 손에 힘을 풀고 성형해야 할 거 같습니다.</t>
    <phoneticPr fontId="3" type="noConversion"/>
  </si>
  <si>
    <t>호밀빵 생산 : 6개,시식 : 1개,재고 : 0개</t>
    <phoneticPr fontId="3" type="noConversion"/>
  </si>
  <si>
    <t>바게트 찾는 손님분들 많으셨습니다.</t>
    <phoneticPr fontId="3" type="noConversion"/>
  </si>
  <si>
    <t>첫 방문 손님 많으셔서 시식 많이 했습니다.</t>
    <phoneticPr fontId="3" type="noConversion"/>
  </si>
  <si>
    <t>연희점,여의도점 지점 차이 여쭤보는 손님분들 2~3분 계셔서  안내해 드렸습니다..</t>
    <phoneticPr fontId="3" type="noConversion"/>
  </si>
  <si>
    <t>2026 년  3월  17일 ( 화요일)</t>
    <phoneticPr fontId="3" type="noConversion"/>
  </si>
  <si>
    <t>여의도</t>
    <phoneticPr fontId="3" type="noConversion"/>
  </si>
  <si>
    <t>김세은</t>
    <phoneticPr fontId="3" type="noConversion"/>
  </si>
  <si>
    <t>14</t>
    <phoneticPr fontId="3" type="noConversion"/>
  </si>
  <si>
    <t>맑음</t>
    <phoneticPr fontId="3" type="noConversion"/>
  </si>
  <si>
    <t>26</t>
    <phoneticPr fontId="3" type="noConversion"/>
  </si>
  <si>
    <t>올리브 구웠습니다.</t>
    <phoneticPr fontId="3" type="noConversion"/>
  </si>
  <si>
    <t xml:space="preserve">오픈(김세은) : 크랜베리스콘 단맛도 잘 느껴지고, 버터 풍미도 잘 느껴졌습니다. 모래알처럼 바스라지는 식감이였습니다. </t>
    <phoneticPr fontId="3" type="noConversion"/>
  </si>
  <si>
    <t>희주,진옥</t>
    <phoneticPr fontId="3" type="noConversion"/>
  </si>
  <si>
    <t>윤희,진옥</t>
    <phoneticPr fontId="3" type="noConversion"/>
  </si>
  <si>
    <t>도현,세은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</si>
  <si>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</si>
  <si>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</si>
  <si>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</si>
  <si>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 xml:space="preserve">파브리 깜빠뉴 10개 납품 있습니다. </t>
    <phoneticPr fontId="3" type="noConversion"/>
  </si>
  <si>
    <t>피칸 구워야 합니다.</t>
    <phoneticPr fontId="3" type="noConversion"/>
  </si>
  <si>
    <t xml:space="preserve">마감(김윤희) : 크로와상 볼륨감도 좋고, 결도 잘 나왔습니다. / 셰프님께서 스콘 너무 치대지 말라고 피드백 주셨습니다. </t>
    <phoneticPr fontId="3" type="noConversion"/>
  </si>
  <si>
    <t>12시-13시에 손님이 꾸준했습니다./ 3살 아기와 함께 오신 아빠 손님께서 아이가 치아바타는 잘 안 먹는데, 구름빵은 먹는다며 역시 달달하고 부드러운걸 좋아하는 것 같다는 얘기를 남겨주셨습니다.</t>
    <phoneticPr fontId="3" type="noConversion"/>
  </si>
  <si>
    <t>열 다섯분께 하나씩 선물하려고 하는데 뭐가 좋을지 추천해달라는 직장인 손님이 계셨습니다. 뺑오쇼콜라로 개별포장해가셨습니다.</t>
    <phoneticPr fontId="3" type="noConversion"/>
  </si>
  <si>
    <t>깜빠뉴는 사워도우인건지 여쭤보는 손님이 계셨고, 그건아니지만 장기간 발효를 한다고 말씀드렸습니다. 셰프님께서 르방을 사용한 제품은 호밀빵이라고 덧붙여 안내해주셨습니다.</t>
    <phoneticPr fontId="3" type="noConversion"/>
  </si>
  <si>
    <t>호밀빵 시식: (H) 2개/ 판매: 3개, (H) 4개    봄깜빠뉴 시식 (H) 4개/ 판매: 4개, (H) 8개 /// 윤석현 (단골)님께 신메뉴 봄날 깜빠뉴는 드셔보셨는지 여쭈어보며 시식을 드렸는데 저번에 샀는데 탄 맛이 너무나서 먹지를 못했다고 말씀해주셨습니다.</t>
    <phoneticPr fontId="3" type="noConversion"/>
  </si>
  <si>
    <t>2026 년  3월  18일 ( 수요일)</t>
    <phoneticPr fontId="3" type="noConversion"/>
  </si>
  <si>
    <t>여의도</t>
    <phoneticPr fontId="3" type="noConversion"/>
  </si>
  <si>
    <t>김세은</t>
    <phoneticPr fontId="3" type="noConversion"/>
  </si>
  <si>
    <t>흐림</t>
    <phoneticPr fontId="3" type="noConversion"/>
  </si>
  <si>
    <t>7</t>
    <phoneticPr fontId="3" type="noConversion"/>
  </si>
  <si>
    <t>23</t>
    <phoneticPr fontId="3" type="noConversion"/>
  </si>
  <si>
    <t xml:space="preserve">오픈(김세은) : 크랜베리 스콘에서 버터가 많이 새어 나왔습니다. 식감이 좋지 않았습니다. </t>
    <phoneticPr fontId="3" type="noConversion"/>
  </si>
  <si>
    <t xml:space="preserve">파브리, 이태리재, 심팩 납품 완료 했습니다. </t>
    <phoneticPr fontId="3" type="noConversion"/>
  </si>
  <si>
    <t>윤희,진옥</t>
    <phoneticPr fontId="3" type="noConversion"/>
  </si>
  <si>
    <t>도현,윤희</t>
    <phoneticPr fontId="3" type="noConversion"/>
  </si>
  <si>
    <t>도현,세은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</si>
  <si>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</si>
  <si>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</si>
  <si>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</si>
  <si>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드디어 폴앤폴리나에 방문하게되었다며, 깜빠뉴 하프를 구매해가시는 손님이 계셨는데 두돌 지난 조카가 깜빠뉴같이 단단한 빵을 좋아한다고 말씀해주셨습니다.</t>
    <phoneticPr fontId="3" type="noConversion"/>
  </si>
  <si>
    <t>12-1시가 손님이 가장 많은 시간대였습니다. / 손님 한 분이 예전에 식빵을 구매했는데 윗부분이 탔었다고 진열은 예쁜걸로 해두면서 속상했다는 얘기를 하셨습니다. 매니저님께서 식빵을 따로 챙겨드렸습니다.</t>
    <phoneticPr fontId="3" type="noConversion"/>
  </si>
  <si>
    <t>비가 아침부터 내렸고, 점심 12:05분에 배달주문이 동시 3건 들어왔습니다. / 뺑오쇼콜라가 점심 때 꾸준히 나갔습니다.</t>
    <phoneticPr fontId="3" type="noConversion"/>
  </si>
  <si>
    <t>마감(정희주) : 파이 버터 고르게 잘 들어갔습니다. 5/3/3으로 진행했고 두께감 괜찮았습니다.</t>
    <phoneticPr fontId="3" type="noConversion"/>
  </si>
  <si>
    <t>호밀빵 시식: (H) 1개 판매: 5개 (H) 4개 // 봄깜빠뉴 시식: (H) 2개 판매: 2개, (H) 8개</t>
    <phoneticPr fontId="3" type="noConversion"/>
  </si>
  <si>
    <t>2025 년  3월  19일 ( 목요일)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</si>
  <si>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</si>
  <si>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</si>
  <si>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</si>
  <si>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10</t>
    <phoneticPr fontId="3" type="noConversion"/>
  </si>
  <si>
    <t>23</t>
    <phoneticPr fontId="3" type="noConversion"/>
  </si>
  <si>
    <t>정희주(오픈) : 치아바타 식감 맛 좋았습니다.</t>
    <phoneticPr fontId="3" type="noConversion"/>
  </si>
  <si>
    <t>유준모(오픈) : 냉장 바게트 반죽 힘 좋았습니다. / 당일 치아바타 분할 때 가운데 힘 강했습니다.</t>
    <phoneticPr fontId="3" type="noConversion"/>
  </si>
  <si>
    <t>김세은(마감) : 2차 당일 바게트 반죽 성형시 힘 좋았습니다.</t>
    <phoneticPr fontId="3" type="noConversion"/>
  </si>
  <si>
    <t>금일 심팩홀딩스 납품 있었습니다.</t>
    <phoneticPr fontId="3" type="noConversion"/>
  </si>
  <si>
    <t>금일 셰프님, 진옥님 지원 있었습니다. / 셰프님 제품 테스트 있었습니다.</t>
    <phoneticPr fontId="3" type="noConversion"/>
  </si>
  <si>
    <t>올리브 전처리 했습니다.</t>
    <phoneticPr fontId="3" type="noConversion"/>
  </si>
  <si>
    <t>파브리키친 납품 (30개)</t>
    <phoneticPr fontId="3" type="noConversion"/>
  </si>
  <si>
    <t>도현, 윤희</t>
    <phoneticPr fontId="3" type="noConversion"/>
  </si>
  <si>
    <t>도현, 희주</t>
    <phoneticPr fontId="3" type="noConversion"/>
  </si>
  <si>
    <t>희주, 준모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</si>
  <si>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</si>
  <si>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</si>
  <si>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</si>
  <si>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바게트4개 퀵으로 받아보실 손님(*서현 손님)22,000원 계좌이체 하셨습니다.</t>
    <phoneticPr fontId="3" type="noConversion"/>
  </si>
  <si>
    <t>호밀빵 시식: (H) 1개 판매: 2개, (H) 5개 / 봄깜빠뉴 시식 (H) 2개, 판매: 5개, (H) 5개</t>
    <phoneticPr fontId="3" type="noConversion"/>
  </si>
  <si>
    <t>광화문점을 다니셨다는 손님이 방문하셔서 오늘은 일 때문에 근처로 오신건지 여쭈어봤더니, 퇴직을 했다며 친구를 만나러가신다고 친구에게도 빵을 나눠주실거라는 얘기를 하셨습니다./ 이문동에 지점을 내는게 어떻겠냐는 한 손님이 계셨습니다. 학생도, 아파트 대단지도 상당한데 고급 빵집이 없다며, 잘될 것이라고 말씀해주셨습니다./ 윤석현 손님께 봄 깜빠뉴를 다시 드리면서, 이번에도 탄 맛이 난다면 꼭 다시 말씀해달라고 사과드렸습니다. 탄맛이 어디서 났던것인지 여쭈어보니 겉부분에서 그랬다며 말씀해주셨습니다.</t>
    <phoneticPr fontId="3" type="noConversion"/>
  </si>
  <si>
    <t>12-1시, 5-6시에 손님이 꾸준했습니다. 금일 예약건이 10건이 넘어 많은 편이었습니다.</t>
    <phoneticPr fontId="3" type="noConversion"/>
  </si>
  <si>
    <t>2026년 3월 20일 (토요일)</t>
    <phoneticPr fontId="3" type="noConversion"/>
  </si>
  <si>
    <t>여의도</t>
    <phoneticPr fontId="3" type="noConversion"/>
  </si>
  <si>
    <t>확인</t>
    <phoneticPr fontId="3" type="noConversion"/>
  </si>
  <si>
    <t>김윤희</t>
    <phoneticPr fontId="3" type="noConversion"/>
  </si>
  <si>
    <t>맑음</t>
    <phoneticPr fontId="3" type="noConversion"/>
  </si>
  <si>
    <t>12</t>
    <phoneticPr fontId="3" type="noConversion"/>
  </si>
  <si>
    <t>23</t>
    <phoneticPr fontId="3" type="noConversion"/>
  </si>
  <si>
    <t xml:space="preserve">윤희(오픈) : 날씨가 많이 따듯해지고, 바게트 힘이 금방 풀려서 분할 후 30분말고 20분정도만 보면 될 거 같습니다. </t>
    <phoneticPr fontId="3" type="noConversion"/>
  </si>
  <si>
    <t xml:space="preserve">호두 구웠습니다. </t>
    <phoneticPr fontId="3" type="noConversion"/>
  </si>
  <si>
    <t>도현,희주</t>
    <phoneticPr fontId="3" type="noConversion"/>
  </si>
  <si>
    <t>준모,세은</t>
    <phoneticPr fontId="3" type="noConversion"/>
  </si>
  <si>
    <t>준모,윤희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</si>
  <si>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</si>
  <si>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</si>
  <si>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</si>
  <si>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이태리제 바게트 납품 없습니다.</t>
    <phoneticPr fontId="3" type="noConversion"/>
  </si>
  <si>
    <t>준모(오픈) : 크로와상 1차발효가 많았습니다. 셰프님께 피드백 받았습니다.</t>
    <phoneticPr fontId="3" type="noConversion"/>
  </si>
  <si>
    <t xml:space="preserve">세은(마감) : 호밀100% 호밀가루 덫가루 오늘뿌린 것 보다 더 뿌려야 된다고 피드백 받았습니다.(타 보이기 때문) </t>
    <phoneticPr fontId="3" type="noConversion"/>
  </si>
  <si>
    <t>3시쯤에 치아바타류 품절되었습니다. 허브와 블랙올리브는 5시 품절이었습니다.</t>
    <phoneticPr fontId="3" type="noConversion"/>
  </si>
  <si>
    <t>봄깜빠뉴 시식: (h) 2개 판매: 3개, (h) 9개 / 호밀빵 시식: (H) 1개 판매: 5개, (H) 5개</t>
    <phoneticPr fontId="3" type="noConversion"/>
  </si>
  <si>
    <t>오픈부터 한종류 5개 이상 하시는 대량손님 방문이 많았습니다. / 금일 BTS 콘서트 있었습니다.</t>
    <phoneticPr fontId="3" type="noConversion"/>
  </si>
  <si>
    <t>12-13시에 손님이 줄 서서 구매하셨습니다./ 예약건이 10건정도로 많았습니다.</t>
    <phoneticPr fontId="3" type="noConversion"/>
  </si>
  <si>
    <t>2026년 3월 21일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</si>
  <si>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</si>
  <si>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</si>
  <si>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</si>
  <si>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15</t>
    <phoneticPr fontId="3" type="noConversion"/>
  </si>
  <si>
    <t>25</t>
    <phoneticPr fontId="3" type="noConversion"/>
  </si>
  <si>
    <t>피칸, 캐슈넛, 블랙올리브 굽기</t>
    <phoneticPr fontId="3" type="noConversion"/>
  </si>
  <si>
    <t>준모,세은</t>
    <phoneticPr fontId="3" type="noConversion"/>
  </si>
  <si>
    <t>윤경,진옥,윤희</t>
    <phoneticPr fontId="3" type="noConversion"/>
  </si>
  <si>
    <t>도현,윤희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</si>
  <si>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</si>
  <si>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</si>
  <si>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</si>
  <si>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 xml:space="preserve">금일 이태리제 바게트 납품 없었습니다. </t>
    <phoneticPr fontId="3" type="noConversion"/>
  </si>
  <si>
    <t xml:space="preserve">윤희(오픈) : 금일 마지막 바게트 발효가 약간 많았습니다. / 바게트 전체적으로 힘이 강했습니다. 조정수로 조절을 하거나 물양을 늘려도 될 거 같습니다. </t>
    <phoneticPr fontId="3" type="noConversion"/>
  </si>
  <si>
    <t>도현(오픈) : 크로와상 반죽힘이 강해 1차발효 넉넉하게 보았습니다.
(금일 전체적으로 크기가 작고 꼬리가 들린 모양이 많은 편으로 성형 시 냉을 충분히 풀어줘도 될것 같습니다.)</t>
    <phoneticPr fontId="3" type="noConversion"/>
  </si>
  <si>
    <t>금일 시간이 없어 치킨샌드위치 생산 못했습니다.</t>
    <phoneticPr fontId="3" type="noConversion"/>
  </si>
  <si>
    <t>오픈시간 전 부터 2시까지 손님방문 꾸준하게 계속 있었습니다 대부분 많이 구매해가셨습니다.</t>
    <phoneticPr fontId="3" type="noConversion"/>
  </si>
  <si>
    <t>호밀빵 시식: (H) 1개 판매: 5개, (H) 6개/ 봄깜빠뉴 시식: (H) 2개, 판매: 1개, (H) 13개</t>
    <phoneticPr fontId="3" type="noConversion"/>
  </si>
  <si>
    <t>치아바타가 4시쯤 품절되어 이후에 찾으셨습니다.</t>
    <phoneticPr fontId="3" type="noConversion"/>
  </si>
  <si>
    <t>깜빠뉴와 호밀빵의 차이점에 대해 여쭤보시는 손님 계셨습니다.</t>
    <phoneticPr fontId="3" type="noConversion"/>
  </si>
  <si>
    <t>희주(마감) : 금일 스콘 구울때 버터가 새어나왔습니다. 물량 287로 진행했더니 너무 촉촉해서 내일은 285로 줄여도 될 것 같습니다.</t>
    <phoneticPr fontId="3" type="noConversion"/>
  </si>
  <si>
    <t>23</t>
    <phoneticPr fontId="3" type="noConversion"/>
  </si>
  <si>
    <t>2026 년  3월  22일 ( 일요일)</t>
    <phoneticPr fontId="3" type="noConversion"/>
  </si>
  <si>
    <t>여의도</t>
    <phoneticPr fontId="3" type="noConversion"/>
  </si>
  <si>
    <t>김세은</t>
    <phoneticPr fontId="3" type="noConversion"/>
  </si>
  <si>
    <t>16</t>
    <phoneticPr fontId="3" type="noConversion"/>
  </si>
  <si>
    <t>맑음</t>
    <phoneticPr fontId="3" type="noConversion"/>
  </si>
  <si>
    <t xml:space="preserve">오픈(김세은): 크로와상이 짠 맛이 더 도드라지게 났습니다. 버터 풍미는 많이 나지 않았습니다. </t>
    <phoneticPr fontId="3" type="noConversion"/>
  </si>
  <si>
    <t xml:space="preserve">도우컨 날개 분리해서 닦았습니다. </t>
    <phoneticPr fontId="3" type="noConversion"/>
  </si>
  <si>
    <t xml:space="preserve">피칸, 캐슈넛 구웠습니다. </t>
    <phoneticPr fontId="3" type="noConversion"/>
  </si>
  <si>
    <t>윤경,진옥,윤희</t>
    <phoneticPr fontId="3" type="noConversion"/>
  </si>
  <si>
    <t>윤경,도현,진옥</t>
    <phoneticPr fontId="3" type="noConversion"/>
  </si>
  <si>
    <t>세은</t>
    <phoneticPr fontId="3" type="noConversion"/>
  </si>
  <si>
    <t>도현</t>
    <phoneticPr fontId="3" type="noConversion"/>
  </si>
  <si>
    <t>희주</t>
    <phoneticPr fontId="3" type="noConversion"/>
  </si>
  <si>
    <t>희주</t>
    <phoneticPr fontId="3" type="noConversion"/>
  </si>
  <si>
    <t xml:space="preserve">미들(유준모) : 식빵 굽고 나온 후 머리에 기포 자글 거리는 제품들 있었습니다. </t>
    <phoneticPr fontId="3" type="noConversion"/>
  </si>
  <si>
    <t>금일 손님 방문 가족단위로 꾸준하게 계속 있었습니다.</t>
    <phoneticPr fontId="3" type="noConversion"/>
  </si>
  <si>
    <t>오전부터 빵 대량으로 구입하시는 손님 많아 일찍부터 빵이 마감되었습니다.</t>
    <phoneticPr fontId="3" type="noConversion"/>
  </si>
  <si>
    <t>바게트,깜빠뉴,블랙올리브 찾는손님이 많았습니다.</t>
    <phoneticPr fontId="3" type="noConversion"/>
  </si>
  <si>
    <t>매장 밖 근처에 쓰레기 치웠습니다.</t>
    <phoneticPr fontId="3" type="noConversion"/>
  </si>
  <si>
    <t>내일 심팩홍딩스 빵 준비 완료 하였습니다.</t>
    <phoneticPr fontId="3" type="noConversion"/>
  </si>
  <si>
    <t>마감(김도현) : 치아바타 구움색 좋고 크기도 잘나왔으며 기공도 좋았습니다./바게트 구움색 약한 편이었습니다.</t>
    <phoneticPr fontId="3" type="noConversion"/>
  </si>
  <si>
    <t>마감(정희주) : 스콘 식감,맛 좋았습니다. 물량 전날 287일때 촉촉해서 285로 진행했더니 되기 적절했습니다.(우유 살짝 추가했습니다.)</t>
    <phoneticPr fontId="3" type="noConversion"/>
  </si>
  <si>
    <t>2023년 3월 23일 (월요일)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</si>
  <si>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</si>
  <si>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</si>
  <si>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</si>
  <si>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16</t>
    <phoneticPr fontId="3" type="noConversion"/>
  </si>
  <si>
    <t>24</t>
    <phoneticPr fontId="3" type="noConversion"/>
  </si>
  <si>
    <t>윤경,도현,진옥</t>
    <phoneticPr fontId="3" type="noConversion"/>
  </si>
  <si>
    <t>세은,도현,진옥</t>
    <phoneticPr fontId="3" type="noConversion"/>
  </si>
  <si>
    <t>윤희</t>
    <phoneticPr fontId="3" type="noConversion"/>
  </si>
  <si>
    <t>세은</t>
    <phoneticPr fontId="3" type="noConversion"/>
  </si>
  <si>
    <t>희주</t>
    <phoneticPr fontId="3" type="noConversion"/>
  </si>
  <si>
    <t>희주</t>
    <phoneticPr fontId="3" type="noConversion"/>
  </si>
  <si>
    <t xml:space="preserve">심팩홀딩스 납품 있습니다. </t>
    <phoneticPr fontId="3" type="noConversion"/>
  </si>
  <si>
    <t>블랙올리브 굽기</t>
    <phoneticPr fontId="3" type="noConversion"/>
  </si>
  <si>
    <t>윤희(오픈) : 당일 바게트 껍질이 조금 두꺼운 편이고, 내상이 골고루 열려있지 않았습니다. / 발효가 약간 많았습니다.</t>
    <phoneticPr fontId="3" type="noConversion"/>
  </si>
  <si>
    <t>준모(미들) : 크로아상 반죽 벤치타임 평소보다 많았습니다. / 브레첼 반죽 해동 오래 걸렸습니다.</t>
    <phoneticPr fontId="3" type="noConversion"/>
  </si>
  <si>
    <t>오전에는 방문손님 저조한 편이였다가, 오후 4시 이후부터 마지막까지 꾸준히 있는 편이였습니다.</t>
    <phoneticPr fontId="3" type="noConversion"/>
  </si>
  <si>
    <t xml:space="preserve">호밀빵 찾으시는 손님 계셨습니다. </t>
    <phoneticPr fontId="3" type="noConversion"/>
  </si>
  <si>
    <t>2026년 3월 24일 (화요일)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</si>
  <si>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</si>
  <si>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</si>
  <si>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</si>
  <si>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15</t>
    <phoneticPr fontId="3" type="noConversion"/>
  </si>
  <si>
    <t>25</t>
    <phoneticPr fontId="3" type="noConversion"/>
  </si>
  <si>
    <t xml:space="preserve">피칸, 캐슈넛 구웠습니다. </t>
    <phoneticPr fontId="3" type="noConversion"/>
  </si>
  <si>
    <t xml:space="preserve">심팩홀딩스 납품 있습니다. </t>
    <phoneticPr fontId="3" type="noConversion"/>
  </si>
  <si>
    <t>도현,세은</t>
    <phoneticPr fontId="3" type="noConversion"/>
  </si>
  <si>
    <t>준모,세은,진옥</t>
    <phoneticPr fontId="3" type="noConversion"/>
  </si>
  <si>
    <t>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</si>
  <si>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</si>
  <si>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</si>
  <si>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</si>
  <si>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 xml:space="preserve">윤희(오픈) : 발효가 전체적으로 빠른편입니다. 내일 이스트 양을 조금 줄이고, 도우컨 온도랑 습도를 조금 내려야 할 거 같습니다. </t>
    <phoneticPr fontId="3" type="noConversion"/>
  </si>
  <si>
    <t>유준모(미들) : 봄날깜빠뉴 볼륨감 작고, 속 제대로 터지지 않았습니다. (1시간 발효 후 천 넓혀서 봐주세요)</t>
    <phoneticPr fontId="3" type="noConversion"/>
  </si>
  <si>
    <t>희주(마감) : 파이 성형시 냉 충분히 먹이고 작업했습니다. 스콘 식감,맛 모두 좋았습니다. 치아바타 발효가 빠릅니다. (도우컨 꺼두었는데도 빠르게 큽니다.)</t>
    <phoneticPr fontId="3" type="noConversion"/>
  </si>
  <si>
    <t>호밀빵 판매: 5개, (H) 4개/봄깜빠뉴 시식: 2개, 판매: 2개, (H) 7개</t>
    <phoneticPr fontId="3" type="noConversion"/>
  </si>
  <si>
    <t>오전에 깜빠뉴를 찾으시는 분이 많았습니다. 품절시간은 4-5시입니다.</t>
    <phoneticPr fontId="3" type="noConversion"/>
  </si>
  <si>
    <t>이 집 빵이 최고 맛있다고, 외손자가 여기 빵을 잘 먹는다고 칭찬하셨던 분이 계셨습니다, 그러나 식빵은 실속이 없는 것 같다, 금방 딱딱해졌다라는 말씀까지 붙이셨습니다.</t>
    <phoneticPr fontId="3" type="noConversion"/>
  </si>
  <si>
    <t>갓나온 바게트와 봄날깜빠뉴의 시식 반응이 좋았습니다. 구매로 이어졌습니다.</t>
    <phoneticPr fontId="3" type="noConversion"/>
  </si>
  <si>
    <t>2026년 3월 25일 (수요일)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</si>
  <si>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</si>
  <si>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</si>
  <si>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</si>
  <si>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17</t>
    <phoneticPr fontId="3" type="noConversion"/>
  </si>
  <si>
    <t>24</t>
    <phoneticPr fontId="3" type="noConversion"/>
  </si>
  <si>
    <t xml:space="preserve">심팩홀딩스 납품 있습니다. </t>
    <phoneticPr fontId="3" type="noConversion"/>
  </si>
  <si>
    <t xml:space="preserve">파브리키친 깜빠뉴 40개 납품 완료하였습니다. </t>
    <phoneticPr fontId="3" type="noConversion"/>
  </si>
  <si>
    <t>준모,세은,진옥</t>
    <phoneticPr fontId="3" type="noConversion"/>
  </si>
  <si>
    <t>준모,진옥</t>
    <phoneticPr fontId="3" type="noConversion"/>
  </si>
  <si>
    <t>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</si>
  <si>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</si>
  <si>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</si>
  <si>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</si>
  <si>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윤희(오픈) : 당일 바게트 이스트 3.5에서 3.3으로 줄였습니다. / 바게트 구움색 좋았습니다.</t>
    <phoneticPr fontId="3" type="noConversion"/>
  </si>
  <si>
    <t>봄깜빠뉴 시식: 1개/ 판매: 2개, (H) 9개/ 호밀빵 시식: (H) 1개/ 판매: 5개, (H) 3개</t>
    <phoneticPr fontId="3" type="noConversion"/>
  </si>
  <si>
    <t>시식을 건네드렸더니 한 손님께서 여기 워낙 맛있는거 잘 안다며, 특히 버터브레첼이 맛있다고 오면 대접받는 기분이라고 말씀해주셨습니다.</t>
    <phoneticPr fontId="3" type="noConversion"/>
  </si>
  <si>
    <t>홍대점부터 방문했다는 손님께서 예전과 빵맛이 달라졌는데, 요즘 빵이 더 오래 촉촉하다는 말씀을 남기셨습니다.</t>
    <phoneticPr fontId="3" type="noConversion"/>
  </si>
  <si>
    <t>12-1시에 손님이 꾸준히 줄을 섰습니다. 대부분 소량씩 구매하셨습니다./ 퇴근길 시간 때 손님이 평소보다 덜 오셨습니다.</t>
    <phoneticPr fontId="3" type="noConversion"/>
  </si>
  <si>
    <t>2026 년  3월  26일 ( 목요일)</t>
    <phoneticPr fontId="3" type="noConversion"/>
  </si>
  <si>
    <t>여의도</t>
    <phoneticPr fontId="3" type="noConversion"/>
  </si>
  <si>
    <t>김세은</t>
    <phoneticPr fontId="3" type="noConversion"/>
  </si>
  <si>
    <t>18</t>
    <phoneticPr fontId="3" type="noConversion"/>
  </si>
  <si>
    <t>맑음</t>
    <phoneticPr fontId="3" type="noConversion"/>
  </si>
  <si>
    <t>25</t>
    <phoneticPr fontId="3" type="noConversion"/>
  </si>
  <si>
    <t xml:space="preserve">오픈(김세은): 치아바타 껍질얇고 기공도 좋고 촉촉 했습니다. 고소한 맛이 잘 났습니다. </t>
    <phoneticPr fontId="3" type="noConversion"/>
  </si>
  <si>
    <t>올리브 구웠습니다.</t>
    <phoneticPr fontId="3" type="noConversion"/>
  </si>
  <si>
    <t>준모,진옥</t>
    <phoneticPr fontId="3" type="noConversion"/>
  </si>
  <si>
    <t>준모,진옥</t>
    <phoneticPr fontId="3" type="noConversion"/>
  </si>
  <si>
    <t>도현,세은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</si>
  <si>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</si>
  <si>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</si>
  <si>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</si>
  <si>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미들(정희주) : 스콘 버터향 잘 느껴지고 식감도 좋았습니다. 브레첼 성형시 탄성 좋았습니다.</t>
    <phoneticPr fontId="3" type="noConversion"/>
  </si>
  <si>
    <t xml:space="preserve">크렌베리 럼에 담궜습니다. 소분해야합니다. </t>
    <phoneticPr fontId="3" type="noConversion"/>
  </si>
  <si>
    <t xml:space="preserve">마감(김윤희) : 크로와상 볼륨감은 좋았으나, 내상이 균일하지 않았습니다. / 해동이 좀 더 충분한 상태에서 발효를 보면 좋을 거 같다는 셰프님의 피드백 있었습니다. </t>
    <phoneticPr fontId="3" type="noConversion"/>
  </si>
  <si>
    <t>봄깜빠뉴 시식: (H) 3개 판매: 1개, (H) 14개 / 호밀빵 시식: (H) 1개, 판매: 3개, (H) 10개</t>
    <phoneticPr fontId="3" type="noConversion"/>
  </si>
  <si>
    <t>12-1시에 손님이 꾸준히 줄 섰고, 깜빠뉴가 나오자마자 품절되었습니다. (1차) 1-2시에 깜빠뉴 찾는 손님들이 많았습니다.</t>
    <phoneticPr fontId="3" type="noConversion"/>
  </si>
  <si>
    <t>식빵 4개 예약하신 손님은 선물 용도로 구매하셨고, 라끌레라는 스위스치즈를 함께 넣어서 선물하신다고 하셨습니다.</t>
    <phoneticPr fontId="3" type="noConversion"/>
  </si>
  <si>
    <t>호밀이 들어간 제품을 물어보시는 손님이 많았습니다.</t>
    <phoneticPr fontId="3" type="noConversion"/>
  </si>
  <si>
    <t>2026 년  3월  27일 ( 금요일)</t>
    <phoneticPr fontId="3" type="noConversion"/>
  </si>
  <si>
    <t>여의도</t>
    <phoneticPr fontId="3" type="noConversion"/>
  </si>
  <si>
    <t>김세은</t>
    <phoneticPr fontId="3" type="noConversion"/>
  </si>
  <si>
    <t>24</t>
    <phoneticPr fontId="3" type="noConversion"/>
  </si>
  <si>
    <t>17</t>
    <phoneticPr fontId="3" type="noConversion"/>
  </si>
  <si>
    <t>맑음</t>
    <phoneticPr fontId="3" type="noConversion"/>
  </si>
  <si>
    <t xml:space="preserve">오픈(김세은): 플레인 스콘 색깔이 다소 연한 것들이 있었습니다. / 이스트 양 줄였음에도 빵 발효 빠른 편입니다. </t>
    <phoneticPr fontId="3" type="noConversion"/>
  </si>
  <si>
    <t>희주,준모,진옥</t>
    <phoneticPr fontId="3" type="noConversion"/>
  </si>
  <si>
    <t>윤희,희주,진옥</t>
    <phoneticPr fontId="3" type="noConversion"/>
  </si>
  <si>
    <t>도현,세은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</si>
  <si>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</si>
  <si>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</si>
  <si>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</si>
  <si>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 xml:space="preserve">심팩 납품 완료 하였습니다. </t>
    <phoneticPr fontId="3" type="noConversion"/>
  </si>
  <si>
    <t>전화예약이 대략 10건정도로 많았습니다. / 선물박스 포장 후에 쇼핑백 찾으시는 손님이 계셨고, 대량 구매시 큰 종이백에 담아가고 싶어하는 손님이 계셨습니다.</t>
    <phoneticPr fontId="3" type="noConversion"/>
  </si>
  <si>
    <t>깜빠뉴와 식빵이 이른 시간에 소진되어 이후에 찾으시는 손님들이 많았습니다. (깜빠뉴: 4-5시, 식빵 3시)</t>
    <phoneticPr fontId="3" type="noConversion"/>
  </si>
  <si>
    <t>호밀빵 시식: (h) 1개 /  판매: 4개, (h) 9개 / 봄깜빠뉴 시식: (h) 2개, / 판매: 4개, (h) 9개</t>
    <phoneticPr fontId="3" type="noConversion"/>
  </si>
  <si>
    <t>12시 전부터 손님이 꾸준하게 줄을 섰습니다. / 호밀빵에 대한 수요가 높았습니다. 100% 호밀인데 10000원이면 저렴하다고 말씀하신 손님도 계셨습니다.</t>
    <phoneticPr fontId="3" type="noConversion"/>
  </si>
  <si>
    <t xml:space="preserve">마감(김윤희) : 크로와상 2차발효때 겉에가 말라서 볼륨감이 작게 나왔습니다. / 스콘 구웠을 때 버터가 약간 새어나왔습니다. </t>
    <phoneticPr fontId="3" type="noConversion"/>
  </si>
  <si>
    <t>2026 년  3월  28일 ( 토요일)</t>
    <phoneticPr fontId="3" type="noConversion"/>
  </si>
  <si>
    <t>여의도</t>
    <phoneticPr fontId="3" type="noConversion"/>
  </si>
  <si>
    <t>김세은</t>
    <phoneticPr fontId="3" type="noConversion"/>
  </si>
  <si>
    <t>24</t>
    <phoneticPr fontId="3" type="noConversion"/>
  </si>
  <si>
    <t>18</t>
    <phoneticPr fontId="3" type="noConversion"/>
  </si>
  <si>
    <t>맑음</t>
    <phoneticPr fontId="3" type="noConversion"/>
  </si>
  <si>
    <t xml:space="preserve">오픈(김세은) : 요새 바게트 힘이 빨리 풀리는 편 입니다. 반죽 칠 때, 조금 더 세게 보고 있습니다. </t>
    <phoneticPr fontId="3" type="noConversion"/>
  </si>
  <si>
    <t>윤희,희주,진옥</t>
    <phoneticPr fontId="3" type="noConversion"/>
  </si>
  <si>
    <t>윤희,윤경,진옥</t>
    <phoneticPr fontId="3" type="noConversion"/>
  </si>
  <si>
    <t>도현,세은</t>
    <phoneticPr fontId="3" type="noConversion"/>
  </si>
  <si>
    <t>윤경</t>
    <phoneticPr fontId="3" type="noConversion"/>
  </si>
  <si>
    <t>준모</t>
    <phoneticPr fontId="3" type="noConversion"/>
  </si>
  <si>
    <t>준모</t>
    <phoneticPr fontId="3" type="noConversion"/>
  </si>
  <si>
    <t>오픈(김도현) : 당일바게트 성형 시 힘이 많이 풀려있었습니다. (벤치타임줄이고 발효실온도 조절 필요해 보입니다.)</t>
    <phoneticPr fontId="3" type="noConversion"/>
  </si>
  <si>
    <t>금일 에어컨 청소&amp;점검 있습니다.(파이실 에어컨 점검 필요)</t>
    <phoneticPr fontId="3" type="noConversion"/>
  </si>
  <si>
    <t>데리야끼치킨 재고 부족으로 내일까지 치킨샌드위치 생산 못할예정입니다.(월요일 입고 예정)</t>
    <phoneticPr fontId="3" type="noConversion"/>
  </si>
  <si>
    <t>금일 연희동에서 봄깜빠뉴 쇼핑백 퀵으로 이관 있었습니다.</t>
    <phoneticPr fontId="3" type="noConversion"/>
  </si>
  <si>
    <t>오픈 11시부터 2시까지 손님이 줄을 섰습니다, 2시 20분 경엔 매출이 200만원이었습니다.</t>
    <phoneticPr fontId="3" type="noConversion"/>
  </si>
  <si>
    <t xml:space="preserve">기본 깜빠뉴를 찾으시는 손님이 많았습니다. 1차 깜빠뉴가 12-1시에 조기 품절되었습니다 </t>
    <phoneticPr fontId="3" type="noConversion"/>
  </si>
  <si>
    <t>15년 단골이라고 말씀하시는 손님꼐서 바게트를 4개 구매하시고, 버터를 따로 판매하진 않는지 여쭤보셨습니다./ 홍대점을 방문하다가 없어진 뒤로 오늘 여의도점을 처음 방문하신 손님께서 깜빠뉴를 구매해가셨습니다, 봄날깜빠뉴를 시식 도와드렸는데 반응이 좋았고, 전화예약이 가능한지 여쭤보시며 또 오겠다고 말씀주셨습니다.</t>
    <phoneticPr fontId="3" type="noConversion"/>
  </si>
  <si>
    <t>2026년  3월  29일 ( 일요일)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</si>
  <si>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</si>
  <si>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</si>
  <si>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</si>
  <si>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18</t>
    <phoneticPr fontId="3" type="noConversion"/>
  </si>
  <si>
    <t>24</t>
    <phoneticPr fontId="3" type="noConversion"/>
  </si>
  <si>
    <t>유준모(오픈) : 치아바타 발효 전체적으로 빨랐습니다. 무화과 호밀스틱 물량 조금 많은거 같습니다.</t>
    <phoneticPr fontId="3" type="noConversion"/>
  </si>
  <si>
    <t>설탕 부족하여 부재료 계량 소금, 버터만 계량 해두었습니다.</t>
    <phoneticPr fontId="3" type="noConversion"/>
  </si>
  <si>
    <t>에어컨 점검완료 파이실 에어컨 정상 작동합니다.</t>
    <phoneticPr fontId="3" type="noConversion"/>
  </si>
  <si>
    <t>파브리키친 깜빠뉴 납품 (40개)</t>
    <phoneticPr fontId="3" type="noConversion"/>
  </si>
  <si>
    <t>윤희, 윤경</t>
    <phoneticPr fontId="3" type="noConversion"/>
  </si>
  <si>
    <t>도현, 윤경</t>
    <phoneticPr fontId="3" type="noConversion"/>
  </si>
  <si>
    <t>유준모</t>
    <phoneticPr fontId="3" type="noConversion"/>
  </si>
  <si>
    <t>정희주</t>
    <phoneticPr fontId="3" type="noConversion"/>
  </si>
  <si>
    <t>김세은</t>
    <phoneticPr fontId="3" type="noConversion"/>
  </si>
  <si>
    <t>김세은</t>
    <phoneticPr fontId="3" type="noConversion"/>
  </si>
  <si>
    <t>처음 방문한 손님분들 많이 계셨습니다.</t>
    <phoneticPr fontId="3" type="noConversion"/>
  </si>
  <si>
    <t>시식 꾸준히 해드렸습니다.</t>
    <phoneticPr fontId="3" type="noConversion"/>
  </si>
  <si>
    <t>호밀빵 시식: (H) 1개, 판매: 6개, (H) 7개 / 봄깜빠뉴 시식: 1개, 판매: 3개, (H) 10개</t>
    <phoneticPr fontId="3" type="noConversion"/>
  </si>
  <si>
    <t>김세은(마감) : 스콘 버터 풍미가 좋았습니다.</t>
    <phoneticPr fontId="3" type="noConversion"/>
  </si>
  <si>
    <t>예약 손님 많으셨습니다. 가족 단위 손님분들 많으셨습니다.</t>
    <phoneticPr fontId="3" type="noConversion"/>
  </si>
  <si>
    <t>2026년 3월 30일 (월요일)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</si>
  <si>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</si>
  <si>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</si>
  <si>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</si>
  <si>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19</t>
    <phoneticPr fontId="3" type="noConversion"/>
  </si>
  <si>
    <t>24</t>
    <phoneticPr fontId="3" type="noConversion"/>
  </si>
  <si>
    <t xml:space="preserve">윤희(오픈) : 당일 치아바타 내상 잘 나왔고, 껍질 얇고 오일의 풍미가 잘 느껴졌습니다. </t>
    <phoneticPr fontId="3" type="noConversion"/>
  </si>
  <si>
    <t xml:space="preserve">피칸 구웠습니다. </t>
    <phoneticPr fontId="3" type="noConversion"/>
  </si>
  <si>
    <t xml:space="preserve">심팩홀딩스 납품 있습니다. </t>
    <phoneticPr fontId="3" type="noConversion"/>
  </si>
  <si>
    <t>윤경,도현,진옥</t>
    <phoneticPr fontId="3" type="noConversion"/>
  </si>
  <si>
    <t xml:space="preserve">블랙올리브 구웠습니다. </t>
    <phoneticPr fontId="3" type="noConversion"/>
  </si>
  <si>
    <t>세은,도현,진옥</t>
    <phoneticPr fontId="3" type="noConversion"/>
  </si>
  <si>
    <t>윤희</t>
    <phoneticPr fontId="3" type="noConversion"/>
  </si>
  <si>
    <t>희주</t>
    <phoneticPr fontId="3" type="noConversion"/>
  </si>
  <si>
    <t>세은</t>
    <phoneticPr fontId="3" type="noConversion"/>
  </si>
  <si>
    <t>셰프님</t>
    <phoneticPr fontId="3" type="noConversion"/>
  </si>
  <si>
    <t>준모(미들) : 브레첼 반죽 성형시 건조한 느낌 / 크로아상 성형때 해동 더 주고 성형하기 / 실온실 들어가기 전 해동도 충분히</t>
    <phoneticPr fontId="3" type="noConversion"/>
  </si>
  <si>
    <t>호밀빵 시식: (H) 1개, 판매: 5개, (H) 1개 / 봄깜빠뉴 시식: 1개, 판매: 5개 재고: 1개</t>
    <phoneticPr fontId="3" type="noConversion"/>
  </si>
  <si>
    <t>호밀빵 시식: (H) 1개, 판매: (H) 1개, 재고: 5개 / 봄깜빠뉴 시식: 1개 판매: 8개</t>
    <phoneticPr fontId="3" type="noConversion"/>
  </si>
  <si>
    <t>선물용 빵 구매하시는 분들 많으셨습니다.</t>
    <phoneticPr fontId="3" type="noConversion"/>
  </si>
  <si>
    <t>봄날깜빠뉴 시식 후 반응이 좋았습니다.</t>
    <phoneticPr fontId="3" type="noConversion"/>
  </si>
  <si>
    <t>호밀빵 시식 꾸준히 했으나 판매가 저조했습니다. /제로페이 확인 안된 상태로 마감 완료했습니다.</t>
    <phoneticPr fontId="3" type="noConversion"/>
  </si>
  <si>
    <t>2026년 3월 31일 (화요일)</t>
    <phoneticPr fontId="3" type="noConversion"/>
  </si>
  <si>
    <t>여의도</t>
    <phoneticPr fontId="3" type="noConversion"/>
  </si>
  <si>
    <t>김윤희</t>
    <phoneticPr fontId="3" type="noConversion"/>
  </si>
  <si>
    <t>24</t>
    <phoneticPr fontId="3" type="noConversion"/>
  </si>
  <si>
    <t>17</t>
    <phoneticPr fontId="3" type="noConversion"/>
  </si>
  <si>
    <t>맑음</t>
    <phoneticPr fontId="3" type="noConversion"/>
  </si>
  <si>
    <t xml:space="preserve">윤희(오픈) : 냉장바게트 내상도 좋고, 껍질 얇은편이었고, 씹었을 때 단맛이 끝까지 잘 느껴졌습니다. </t>
    <phoneticPr fontId="3" type="noConversion"/>
  </si>
  <si>
    <t xml:space="preserve">심팩홀딩스 납품 있습니다. </t>
    <phoneticPr fontId="3" type="noConversion"/>
  </si>
  <si>
    <t>세은,도현,진옥</t>
    <phoneticPr fontId="3" type="noConversion"/>
  </si>
  <si>
    <t>희주,윤희,진옥</t>
    <phoneticPr fontId="3" type="noConversion"/>
  </si>
  <si>
    <t>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</si>
  <si>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</si>
  <si>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</si>
  <si>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</si>
  <si>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블랙올리브 굽기</t>
    <phoneticPr fontId="3" type="noConversion"/>
  </si>
  <si>
    <t>유준모(미들) : 크로아상 해동 충분히 주고 실온실 들어갔습니다. / 크로아상 기존보다 횟수 나눠서 나오도록 조치</t>
    <phoneticPr fontId="3" type="noConversion"/>
  </si>
  <si>
    <t>크로아상 마지막 생산 제품 기존보다 더 늦게 나오도록 조치 하기로 했습니다.</t>
    <phoneticPr fontId="3" type="noConversion"/>
  </si>
  <si>
    <t>크로와상 샌드위치 찾으시는 손님이 계셨습니다./ 통밀로 된 빵도 있는지 찾으시는 손님 계셨습니다.</t>
    <phoneticPr fontId="3" type="noConversion"/>
  </si>
  <si>
    <t>바게트가 3시쯤 품절되었고, 이후에 찾으시는 손님이 계셨습니다.</t>
    <phoneticPr fontId="3" type="noConversion"/>
  </si>
  <si>
    <t>1차 깜빠뉴 품절 이후에 다시 나올 떄까지 2시간정도 걸렸고, 그 사이에 찾으시는 손님이 계셨습니다.</t>
    <phoneticPr fontId="3" type="noConversion"/>
  </si>
  <si>
    <t>희주(마감) : 스콘 전날 물량 285로 진행되었고 크랜베리스콘이 살짝 건조하게 느껴져 물량 285에 우유 조금 추가했습니다.</t>
    <phoneticPr fontId="3" type="noConversion"/>
  </si>
  <si>
    <t>호밀빵 판매: 1개, (H) 4개  / 봄깜빠뉴 판매: 1개, (H) 12개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</si>
</sst>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 ;[Red]\-0\ "/>
    <numFmt numFmtId="177" formatCode="0.0_ ;[Red]\-0.0\ "/>
    <numFmt numFmtId="178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417">
    <xf numFmtId="0" fontId="0" fillId="0" borderId="0" xfId="0">
      <alignment vertical="center"/>
    </xf>
    <xf numFmtId="0" fontId="2" fillId="0" borderId="0" xfId="3" applyNumberFormat="1" applyFont="1" applyFill="1" applyBorder="1" applyAlignment="1">
      <alignment horizontal="center" vertical="center"/>
    </xf>
    <xf numFmtId="0" fontId="1" fillId="0" borderId="0" xfId="3" applyNumberFormat="1" applyFill="1">
      <alignment vertical="center"/>
    </xf>
    <xf numFmtId="0" fontId="7" fillId="0" borderId="0" xfId="3" applyNumberFormat="1" applyFont="1" applyFill="1" applyBorder="1" applyAlignment="1">
      <alignment horizontal="left" vertical="center"/>
    </xf>
    <xf numFmtId="0" fontId="5" fillId="0" borderId="11" xfId="3" applyNumberFormat="1" applyFont="1" applyFill="1" applyBorder="1">
      <alignment vertical="center"/>
    </xf>
    <xf numFmtId="0" fontId="5" fillId="0" borderId="10" xfId="3" applyNumberFormat="1" applyFont="1" applyFill="1" applyBorder="1" applyAlignment="1">
      <alignment horizontal="left" vertical="center"/>
    </xf>
    <xf numFmtId="0" fontId="1" fillId="3" borderId="17" xfId="3" applyNumberFormat="1" applyFill="1" applyBorder="1">
      <alignment vertical="center"/>
    </xf>
    <xf numFmtId="0" fontId="1" fillId="3" borderId="16" xfId="3" applyNumberFormat="1" applyFill="1" applyBorder="1">
      <alignment vertical="center"/>
    </xf>
    <xf numFmtId="0" fontId="1" fillId="3" borderId="0" xfId="3" applyNumberFormat="1" applyFill="1" applyBorder="1">
      <alignment vertical="center"/>
    </xf>
    <xf numFmtId="0" fontId="1" fillId="3" borderId="0" xfId="3" applyNumberFormat="1" applyFill="1" applyBorder="1" applyAlignment="1">
      <alignment vertical="center"/>
    </xf>
    <xf numFmtId="0" fontId="1" fillId="2" borderId="12" xfId="3" applyNumberFormat="1" applyFont="1" applyFill="1" applyBorder="1" applyAlignment="1">
      <alignment horizontal="center" vertical="center"/>
    </xf>
    <xf numFmtId="0" fontId="1" fillId="2" borderId="14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0" fontId="1" fillId="0" borderId="12" xfId="3" applyNumberFormat="1" applyFont="1" applyFill="1" applyBorder="1" applyAlignment="1">
      <alignment vertical="center"/>
    </xf>
    <xf numFmtId="49" fontId="1" fillId="0" borderId="14" xfId="3" applyNumberFormat="1" applyFont="1" applyFill="1" applyBorder="1" applyAlignment="1">
      <alignment horizontal="left" vertical="center"/>
    </xf>
    <xf numFmtId="49" fontId="1" fillId="0" borderId="12" xfId="2" applyNumberFormat="1" applyFont="1" applyFill="1" applyBorder="1" applyAlignment="1">
      <alignment horizontal="left" vertical="center"/>
    </xf>
    <xf numFmtId="9" fontId="0" fillId="0" borderId="12" xfId="2" applyFont="1" applyFill="1" applyBorder="1" applyAlignment="1">
      <alignment horizontal="left" vertical="center"/>
    </xf>
    <xf numFmtId="9" fontId="0" fillId="0" borderId="18" xfId="2" applyFont="1" applyFill="1" applyBorder="1" applyAlignment="1">
      <alignment horizontal="left" vertical="center"/>
    </xf>
    <xf numFmtId="0" fontId="1" fillId="2" borderId="21" xfId="3" applyNumberFormat="1" applyFill="1" applyBorder="1" applyAlignment="1">
      <alignment horizontal="center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33" xfId="3" applyNumberFormat="1" applyFill="1" applyBorder="1" applyAlignment="1">
      <alignment horizontal="center" vertical="center"/>
    </xf>
    <xf numFmtId="176" fontId="1" fillId="3" borderId="34" xfId="1" applyNumberFormat="1" applyFont="1" applyFill="1" applyBorder="1" applyAlignment="1">
      <alignment horizontal="center" vertical="center"/>
    </xf>
    <xf numFmtId="176" fontId="1" fillId="3" borderId="35" xfId="1" applyNumberFormat="1" applyFont="1" applyFill="1" applyBorder="1" applyAlignment="1">
      <alignment horizontal="center" vertical="center"/>
    </xf>
    <xf numFmtId="176" fontId="9" fillId="3" borderId="35" xfId="1" applyNumberFormat="1" applyFont="1" applyFill="1" applyBorder="1" applyAlignment="1">
      <alignment horizontal="center" vertical="center"/>
    </xf>
    <xf numFmtId="176" fontId="7" fillId="3" borderId="36" xfId="1" applyNumberFormat="1" applyFont="1" applyFill="1" applyBorder="1" applyAlignment="1">
      <alignment horizontal="center" vertical="center"/>
    </xf>
    <xf numFmtId="177" fontId="1" fillId="4" borderId="33" xfId="1" applyNumberFormat="1" applyFont="1" applyFill="1" applyBorder="1" applyAlignment="1">
      <alignment horizontal="center" vertical="center"/>
    </xf>
    <xf numFmtId="0" fontId="1" fillId="2" borderId="38" xfId="3" applyNumberFormat="1" applyFill="1" applyBorder="1" applyAlignment="1">
      <alignment horizontal="center" vertical="center"/>
    </xf>
    <xf numFmtId="176" fontId="1" fillId="2" borderId="39" xfId="3" applyNumberFormat="1" applyFill="1" applyBorder="1" applyAlignment="1">
      <alignment horizontal="center" vertical="center"/>
    </xf>
    <xf numFmtId="176" fontId="1" fillId="3" borderId="36" xfId="1" applyNumberFormat="1" applyFont="1" applyFill="1" applyBorder="1" applyAlignment="1">
      <alignment horizontal="center" vertical="center"/>
    </xf>
    <xf numFmtId="176" fontId="1" fillId="3" borderId="39" xfId="1" applyNumberFormat="1" applyFont="1" applyFill="1" applyBorder="1" applyAlignment="1">
      <alignment horizontal="center" vertical="center"/>
    </xf>
    <xf numFmtId="176" fontId="11" fillId="2" borderId="36" xfId="1" applyNumberFormat="1" applyFont="1" applyFill="1" applyBorder="1" applyAlignment="1">
      <alignment horizontal="center" vertical="center"/>
    </xf>
    <xf numFmtId="177" fontId="1" fillId="0" borderId="40" xfId="1" applyNumberFormat="1" applyFont="1" applyFill="1" applyBorder="1" applyAlignment="1">
      <alignment horizontal="center" vertical="center"/>
    </xf>
    <xf numFmtId="176" fontId="1" fillId="3" borderId="39" xfId="3" applyNumberFormat="1" applyFill="1" applyBorder="1" applyAlignment="1">
      <alignment horizontal="center" vertical="center"/>
    </xf>
    <xf numFmtId="176" fontId="9" fillId="3" borderId="36" xfId="1" applyNumberFormat="1" applyFont="1" applyFill="1" applyBorder="1" applyAlignment="1">
      <alignment horizontal="center" vertical="center"/>
    </xf>
    <xf numFmtId="177" fontId="1" fillId="4" borderId="38" xfId="1" applyNumberFormat="1" applyFont="1" applyFill="1" applyBorder="1" applyAlignment="1">
      <alignment horizontal="center" vertical="center"/>
    </xf>
    <xf numFmtId="177" fontId="1" fillId="0" borderId="38" xfId="1" applyNumberFormat="1" applyFont="1" applyFill="1" applyBorder="1" applyAlignment="1">
      <alignment horizontal="center" vertical="center"/>
    </xf>
    <xf numFmtId="177" fontId="1" fillId="4" borderId="40" xfId="1" applyNumberFormat="1" applyFont="1" applyFill="1" applyBorder="1" applyAlignment="1">
      <alignment horizontal="center" vertical="center"/>
    </xf>
    <xf numFmtId="177" fontId="1" fillId="0" borderId="42" xfId="1" applyNumberFormat="1" applyFont="1" applyFill="1" applyBorder="1" applyAlignment="1">
      <alignment horizontal="center" vertical="center"/>
    </xf>
    <xf numFmtId="0" fontId="1" fillId="2" borderId="21" xfId="3" applyNumberFormat="1" applyFont="1" applyFill="1" applyBorder="1" applyAlignment="1">
      <alignment horizontal="center" vertical="center"/>
    </xf>
    <xf numFmtId="176" fontId="1" fillId="3" borderId="11" xfId="3" applyNumberFormat="1" applyFont="1" applyFill="1" applyBorder="1" applyAlignment="1">
      <alignment horizontal="center" vertical="center"/>
    </xf>
    <xf numFmtId="176" fontId="1" fillId="3" borderId="37" xfId="1" applyNumberFormat="1" applyFont="1" applyFill="1" applyBorder="1" applyAlignment="1">
      <alignment horizontal="center" vertical="center"/>
    </xf>
    <xf numFmtId="176" fontId="8" fillId="3" borderId="11" xfId="1" applyNumberFormat="1" applyFont="1" applyFill="1" applyBorder="1" applyAlignment="1">
      <alignment horizontal="center" vertical="center"/>
    </xf>
    <xf numFmtId="176" fontId="8" fillId="3" borderId="37" xfId="1" applyNumberFormat="1" applyFont="1" applyFill="1" applyBorder="1" applyAlignment="1">
      <alignment horizontal="center" vertical="center"/>
    </xf>
    <xf numFmtId="176" fontId="7" fillId="3" borderId="37" xfId="1" applyNumberFormat="1" applyFont="1" applyFill="1" applyBorder="1" applyAlignment="1">
      <alignment horizontal="center" vertical="center"/>
    </xf>
    <xf numFmtId="176" fontId="1" fillId="4" borderId="43" xfId="1" applyNumberFormat="1" applyFont="1" applyFill="1" applyBorder="1" applyAlignment="1">
      <alignment horizontal="center" vertical="center"/>
    </xf>
    <xf numFmtId="176" fontId="1" fillId="3" borderId="34" xfId="3" applyNumberFormat="1" applyFill="1" applyBorder="1" applyAlignment="1">
      <alignment horizontal="center" vertical="center"/>
    </xf>
    <xf numFmtId="176" fontId="8" fillId="3" borderId="34" xfId="1" applyNumberFormat="1" applyFont="1" applyFill="1" applyBorder="1" applyAlignment="1">
      <alignment horizontal="center" vertical="center"/>
    </xf>
    <xf numFmtId="176" fontId="8" fillId="3" borderId="35" xfId="1" applyNumberFormat="1" applyFont="1" applyFill="1" applyBorder="1" applyAlignment="1">
      <alignment horizontal="center" vertical="center"/>
    </xf>
    <xf numFmtId="176" fontId="1" fillId="4" borderId="44" xfId="1" applyNumberFormat="1" applyFont="1" applyFill="1" applyBorder="1" applyAlignment="1">
      <alignment horizontal="center" vertical="center"/>
    </xf>
    <xf numFmtId="176" fontId="8" fillId="3" borderId="39" xfId="1" applyNumberFormat="1" applyFont="1" applyFill="1" applyBorder="1" applyAlignment="1">
      <alignment horizontal="center" vertical="center"/>
    </xf>
    <xf numFmtId="176" fontId="8" fillId="3" borderId="36" xfId="1" applyNumberFormat="1" applyFont="1" applyFill="1" applyBorder="1" applyAlignment="1">
      <alignment horizontal="center" vertical="center"/>
    </xf>
    <xf numFmtId="176" fontId="1" fillId="4" borderId="45" xfId="1" applyNumberFormat="1" applyFont="1" applyFill="1" applyBorder="1" applyAlignment="1">
      <alignment horizontal="center" vertical="center"/>
    </xf>
    <xf numFmtId="176" fontId="1" fillId="2" borderId="11" xfId="3" applyNumberFormat="1" applyFill="1" applyBorder="1" applyAlignment="1">
      <alignment horizontal="center" vertical="center"/>
    </xf>
    <xf numFmtId="176" fontId="1" fillId="0" borderId="43" xfId="1" applyNumberFormat="1" applyFont="1" applyFill="1" applyBorder="1" applyAlignment="1">
      <alignment horizontal="center" vertical="center"/>
    </xf>
    <xf numFmtId="176" fontId="1" fillId="3" borderId="11" xfId="3" applyNumberFormat="1" applyFill="1" applyBorder="1" applyAlignment="1">
      <alignment horizontal="center" vertical="center"/>
    </xf>
    <xf numFmtId="0" fontId="1" fillId="2" borderId="38" xfId="3" applyNumberFormat="1" applyFont="1" applyFill="1" applyBorder="1" applyAlignment="1">
      <alignment horizontal="center" vertical="center"/>
    </xf>
    <xf numFmtId="176" fontId="1" fillId="3" borderId="39" xfId="3" applyNumberFormat="1" applyFont="1" applyFill="1" applyBorder="1" applyAlignment="1">
      <alignment horizontal="center" vertical="center"/>
    </xf>
    <xf numFmtId="0" fontId="1" fillId="2" borderId="46" xfId="3" applyNumberFormat="1" applyFont="1" applyFill="1" applyBorder="1" applyAlignment="1">
      <alignment horizontal="center" vertical="center"/>
    </xf>
    <xf numFmtId="176" fontId="1" fillId="2" borderId="47" xfId="3" applyNumberFormat="1" applyFont="1" applyFill="1" applyBorder="1" applyAlignment="1">
      <alignment horizontal="center" vertical="center"/>
    </xf>
    <xf numFmtId="176" fontId="1" fillId="3" borderId="48" xfId="1" applyNumberFormat="1" applyFont="1" applyFill="1" applyBorder="1" applyAlignment="1">
      <alignment horizontal="center" vertical="center"/>
    </xf>
    <xf numFmtId="176" fontId="8" fillId="3" borderId="47" xfId="1" applyNumberFormat="1" applyFont="1" applyFill="1" applyBorder="1" applyAlignment="1">
      <alignment horizontal="center" vertical="center"/>
    </xf>
    <xf numFmtId="176" fontId="8" fillId="3" borderId="48" xfId="1" applyNumberFormat="1" applyFont="1" applyFill="1" applyBorder="1" applyAlignment="1">
      <alignment horizontal="center" vertical="center"/>
    </xf>
    <xf numFmtId="176" fontId="1" fillId="0" borderId="49" xfId="1" applyNumberFormat="1" applyFont="1" applyFill="1" applyBorder="1" applyAlignment="1">
      <alignment horizontal="center" vertical="center"/>
    </xf>
    <xf numFmtId="0" fontId="5" fillId="2" borderId="27" xfId="3" applyNumberFormat="1" applyFont="1" applyFill="1" applyBorder="1" applyAlignment="1">
      <alignment horizontal="center" vertical="center"/>
    </xf>
    <xf numFmtId="176" fontId="5" fillId="2" borderId="55" xfId="3" applyNumberFormat="1" applyFont="1" applyFill="1" applyBorder="1" applyAlignment="1">
      <alignment horizontal="center" vertical="center"/>
    </xf>
    <xf numFmtId="176" fontId="5" fillId="2" borderId="56" xfId="1" applyNumberFormat="1" applyFont="1" applyFill="1" applyBorder="1" applyAlignment="1">
      <alignment horizontal="center" vertical="center"/>
    </xf>
    <xf numFmtId="176" fontId="12" fillId="2" borderId="56" xfId="1" applyNumberFormat="1" applyFont="1" applyFill="1" applyBorder="1" applyAlignment="1">
      <alignment horizontal="center" vertical="center"/>
    </xf>
    <xf numFmtId="176" fontId="13" fillId="2" borderId="56" xfId="1" applyNumberFormat="1" applyFont="1" applyFill="1" applyBorder="1" applyAlignment="1">
      <alignment horizontal="center" vertical="center"/>
    </xf>
    <xf numFmtId="176" fontId="12" fillId="2" borderId="55" xfId="1" applyNumberFormat="1" applyFont="1" applyFill="1" applyBorder="1" applyAlignment="1">
      <alignment horizontal="center" vertical="center"/>
    </xf>
    <xf numFmtId="176" fontId="5" fillId="2" borderId="27" xfId="1" applyNumberFormat="1" applyFont="1" applyFill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60" xfId="3" applyNumberFormat="1" applyFont="1" applyFill="1" applyBorder="1" applyAlignment="1">
      <alignment horizontal="center" vertical="center"/>
    </xf>
    <xf numFmtId="0" fontId="11" fillId="0" borderId="61" xfId="3" applyNumberFormat="1" applyFont="1" applyFill="1" applyBorder="1" applyAlignment="1">
      <alignment horizontal="center" vertical="center"/>
    </xf>
    <xf numFmtId="0" fontId="11" fillId="0" borderId="7" xfId="3" applyNumberFormat="1" applyFont="1" applyFill="1" applyBorder="1" applyAlignment="1">
      <alignment horizontal="center" vertical="center"/>
    </xf>
    <xf numFmtId="0" fontId="11" fillId="0" borderId="59" xfId="3" applyNumberFormat="1" applyFont="1" applyFill="1" applyBorder="1" applyAlignment="1">
      <alignment horizontal="center" vertical="center"/>
    </xf>
    <xf numFmtId="41" fontId="1" fillId="0" borderId="0" xfId="1" applyFont="1" applyFill="1">
      <alignment vertical="center"/>
    </xf>
    <xf numFmtId="0" fontId="7" fillId="0" borderId="0" xfId="3" applyNumberFormat="1" applyFont="1" applyFill="1" applyBorder="1" applyAlignment="1">
      <alignment horizontal="center" vertical="center"/>
    </xf>
    <xf numFmtId="0" fontId="1" fillId="2" borderId="5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23" xfId="3" applyNumberFormat="1" applyFont="1" applyFill="1" applyBorder="1" applyAlignment="1">
      <alignment horizontal="center" vertical="center"/>
    </xf>
    <xf numFmtId="0" fontId="5" fillId="2" borderId="16" xfId="3" applyNumberFormat="1" applyFont="1" applyFill="1" applyBorder="1" applyAlignment="1">
      <alignment vertical="center"/>
    </xf>
    <xf numFmtId="0" fontId="5" fillId="2" borderId="18" xfId="3" applyNumberFormat="1" applyFont="1" applyFill="1" applyBorder="1" applyAlignment="1">
      <alignment horizontal="center" vertical="center"/>
    </xf>
    <xf numFmtId="0" fontId="1" fillId="0" borderId="69" xfId="3" applyNumberFormat="1" applyFont="1" applyFill="1" applyBorder="1" applyAlignment="1">
      <alignment horizontal="center" vertical="center"/>
    </xf>
    <xf numFmtId="0" fontId="1" fillId="0" borderId="0" xfId="3" applyNumberFormat="1" applyFill="1" applyBorder="1" applyAlignment="1">
      <alignment horizontal="center" vertical="center"/>
    </xf>
    <xf numFmtId="0" fontId="5" fillId="2" borderId="19" xfId="3" applyNumberFormat="1" applyFont="1" applyFill="1" applyBorder="1" applyAlignment="1">
      <alignment vertical="center"/>
    </xf>
    <xf numFmtId="0" fontId="5" fillId="2" borderId="32" xfId="3" applyNumberFormat="1" applyFont="1" applyFill="1" applyBorder="1" applyAlignment="1">
      <alignment horizontal="center" vertical="center"/>
    </xf>
    <xf numFmtId="0" fontId="1" fillId="0" borderId="29" xfId="3" applyNumberFormat="1" applyFill="1" applyBorder="1" applyAlignment="1">
      <alignment horizontal="center" vertical="center"/>
    </xf>
    <xf numFmtId="0" fontId="1" fillId="0" borderId="52" xfId="3" applyNumberFormat="1" applyFill="1" applyBorder="1" applyAlignment="1">
      <alignment horizontal="center" vertical="center"/>
    </xf>
    <xf numFmtId="0" fontId="1" fillId="0" borderId="32" xfId="3" applyNumberFormat="1" applyFill="1" applyBorder="1" applyAlignment="1">
      <alignment horizontal="center" vertical="center"/>
    </xf>
    <xf numFmtId="0" fontId="1" fillId="0" borderId="23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20" fontId="1" fillId="0" borderId="54" xfId="3" applyNumberFormat="1" applyFont="1" applyFill="1" applyBorder="1" applyAlignment="1">
      <alignment horizontal="left" vertical="center"/>
    </xf>
    <xf numFmtId="0" fontId="1" fillId="0" borderId="52" xfId="3" applyNumberFormat="1" applyFont="1" applyFill="1" applyBorder="1">
      <alignment vertical="center"/>
    </xf>
    <xf numFmtId="20" fontId="1" fillId="0" borderId="52" xfId="3" applyNumberFormat="1" applyFont="1" applyFill="1" applyBorder="1" applyAlignment="1">
      <alignment horizontal="left" vertical="center"/>
    </xf>
    <xf numFmtId="0" fontId="1" fillId="0" borderId="32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right" vertical="center"/>
    </xf>
    <xf numFmtId="0" fontId="5" fillId="0" borderId="0" xfId="3" applyNumberFormat="1" applyFont="1" applyFill="1" applyBorder="1" applyAlignment="1">
      <alignment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21" xfId="3" applyNumberFormat="1" applyFont="1" applyFill="1" applyBorder="1" applyAlignment="1">
      <alignment horizontal="center" vertical="center" wrapText="1"/>
    </xf>
    <xf numFmtId="41" fontId="9" fillId="0" borderId="54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0" fontId="1" fillId="0" borderId="41" xfId="3" applyNumberFormat="1" applyFill="1" applyBorder="1" applyAlignment="1">
      <alignment horizontal="center" vertical="center"/>
    </xf>
    <xf numFmtId="0" fontId="1" fillId="0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41" fontId="9" fillId="4" borderId="52" xfId="1" applyFont="1" applyFill="1" applyBorder="1" applyAlignment="1">
      <alignment vertical="center"/>
    </xf>
    <xf numFmtId="41" fontId="18" fillId="4" borderId="52" xfId="1" applyFont="1" applyFill="1" applyBorder="1" applyAlignment="1">
      <alignment vertical="center"/>
    </xf>
    <xf numFmtId="41" fontId="8" fillId="4" borderId="27" xfId="4" applyNumberFormat="1" applyFont="1" applyFill="1" applyBorder="1" applyAlignment="1">
      <alignment horizontal="center" vertical="center"/>
    </xf>
    <xf numFmtId="176" fontId="7" fillId="3" borderId="72" xfId="1" applyNumberFormat="1" applyFont="1" applyFill="1" applyBorder="1" applyAlignment="1">
      <alignment horizontal="center" vertical="center"/>
    </xf>
    <xf numFmtId="176" fontId="7" fillId="3" borderId="48" xfId="1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176" fontId="7" fillId="3" borderId="35" xfId="1" applyNumberFormat="1" applyFont="1" applyFill="1" applyBorder="1" applyAlignment="1">
      <alignment horizontal="center" vertical="center"/>
    </xf>
    <xf numFmtId="176" fontId="1" fillId="0" borderId="39" xfId="3" applyNumberFormat="1" applyFont="1" applyFill="1" applyBorder="1" applyAlignment="1">
      <alignment horizontal="center" vertical="center"/>
    </xf>
    <xf numFmtId="176" fontId="7" fillId="0" borderId="36" xfId="1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left" vertical="center"/>
    </xf>
    <xf numFmtId="0" fontId="1" fillId="2" borderId="40" xfId="3" applyNumberFormat="1" applyFont="1" applyFill="1" applyBorder="1" applyAlignment="1">
      <alignment horizontal="center" vertical="center"/>
    </xf>
    <xf numFmtId="176" fontId="1" fillId="0" borderId="73" xfId="3" applyNumberFormat="1" applyFont="1" applyFill="1" applyBorder="1" applyAlignment="1">
      <alignment horizontal="center" vertical="center"/>
    </xf>
    <xf numFmtId="176" fontId="1" fillId="3" borderId="72" xfId="1" applyNumberFormat="1" applyFont="1" applyFill="1" applyBorder="1" applyAlignment="1">
      <alignment horizontal="center" vertical="center"/>
    </xf>
    <xf numFmtId="176" fontId="8" fillId="3" borderId="73" xfId="1" applyNumberFormat="1" applyFont="1" applyFill="1" applyBorder="1" applyAlignment="1">
      <alignment horizontal="center" vertical="center"/>
    </xf>
    <xf numFmtId="176" fontId="8" fillId="3" borderId="72" xfId="1" applyNumberFormat="1" applyFont="1" applyFill="1" applyBorder="1" applyAlignment="1">
      <alignment horizontal="center" vertical="center"/>
    </xf>
    <xf numFmtId="41" fontId="9" fillId="0" borderId="29" xfId="1" applyFont="1" applyFill="1" applyBorder="1" applyAlignment="1">
      <alignment vertical="center"/>
    </xf>
    <xf numFmtId="0" fontId="1" fillId="2" borderId="40" xfId="3" applyNumberFormat="1" applyFill="1" applyBorder="1" applyAlignment="1">
      <alignment horizontal="center" vertical="center"/>
    </xf>
    <xf numFmtId="0" fontId="1" fillId="2" borderId="46" xfId="3" applyNumberFormat="1" applyFill="1" applyBorder="1" applyAlignment="1">
      <alignment horizontal="center" vertical="center"/>
    </xf>
    <xf numFmtId="0" fontId="5" fillId="2" borderId="25" xfId="3" applyNumberFormat="1" applyFont="1" applyFill="1" applyBorder="1" applyAlignment="1">
      <alignment horizontal="center" vertical="center"/>
    </xf>
    <xf numFmtId="0" fontId="19" fillId="0" borderId="0" xfId="3" applyNumberFormat="1" applyFont="1" applyFill="1" applyAlignment="1">
      <alignment horizontal="left" vertical="center"/>
    </xf>
    <xf numFmtId="0" fontId="10" fillId="0" borderId="0" xfId="3" applyNumberFormat="1" applyFont="1" applyFill="1" applyBorder="1" applyAlignment="1">
      <alignment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left" vertical="center"/>
    </xf>
    <xf numFmtId="0" fontId="11" fillId="0" borderId="0" xfId="3" applyNumberFormat="1" applyFont="1" applyFill="1">
      <alignment vertical="center"/>
    </xf>
    <xf numFmtId="178" fontId="11" fillId="0" borderId="0" xfId="2" applyNumberFormat="1" applyFont="1" applyFill="1" applyBorder="1" applyAlignment="1">
      <alignment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178" fontId="1" fillId="0" borderId="18" xfId="2" applyNumberFormat="1" applyFont="1" applyFill="1" applyBorder="1">
      <alignment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71" xfId="3" applyNumberFormat="1" applyFont="1" applyFill="1" applyBorder="1" applyAlignment="1">
      <alignment horizontal="center" vertical="center" wrapText="1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5" xfId="3" applyNumberFormat="1" applyFont="1" applyFill="1" applyBorder="1" applyAlignment="1">
      <alignment horizontal="center" vertical="center" wrapText="1"/>
    </xf>
    <xf numFmtId="0" fontId="1" fillId="2" borderId="8" xfId="3" applyNumberFormat="1" applyFont="1" applyFill="1" applyBorder="1" applyAlignment="1">
      <alignment horizontal="center" vertical="center" wrapText="1"/>
    </xf>
    <xf numFmtId="41" fontId="9" fillId="0" borderId="76" xfId="1" applyFont="1" applyFill="1" applyBorder="1" applyAlignment="1">
      <alignment vertical="center"/>
    </xf>
    <xf numFmtId="176" fontId="5" fillId="2" borderId="26" xfId="3" applyNumberFormat="1" applyFont="1" applyFill="1" applyBorder="1" applyAlignment="1">
      <alignment horizontal="center" vertical="center"/>
    </xf>
    <xf numFmtId="176" fontId="13" fillId="2" borderId="57" xfId="1" applyNumberFormat="1" applyFont="1" applyFill="1" applyBorder="1" applyAlignment="1">
      <alignment horizontal="center" vertical="center"/>
    </xf>
    <xf numFmtId="0" fontId="1" fillId="5" borderId="18" xfId="3" applyNumberFormat="1" applyFill="1" applyBorder="1">
      <alignment vertical="center"/>
    </xf>
    <xf numFmtId="178" fontId="1" fillId="0" borderId="12" xfId="2" applyNumberFormat="1" applyFont="1" applyFill="1" applyBorder="1">
      <alignment vertical="center"/>
    </xf>
    <xf numFmtId="178" fontId="1" fillId="5" borderId="12" xfId="2" applyNumberFormat="1" applyFont="1" applyFill="1" applyBorder="1">
      <alignment vertical="center"/>
    </xf>
    <xf numFmtId="178" fontId="1" fillId="0" borderId="52" xfId="2" applyNumberFormat="1" applyFont="1" applyFill="1" applyBorder="1">
      <alignment vertical="center"/>
    </xf>
    <xf numFmtId="0" fontId="1" fillId="2" borderId="25" xfId="3" applyNumberFormat="1" applyFont="1" applyFill="1" applyBorder="1" applyAlignment="1">
      <alignment horizontal="center" vertical="center"/>
    </xf>
    <xf numFmtId="176" fontId="1" fillId="0" borderId="76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63" xfId="3" applyNumberFormat="1" applyFon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6" borderId="38" xfId="3" applyNumberFormat="1" applyFill="1" applyBorder="1" applyAlignment="1">
      <alignment horizontal="center" vertical="center"/>
    </xf>
    <xf numFmtId="0" fontId="1" fillId="6" borderId="46" xfId="3" applyNumberFormat="1" applyFill="1" applyBorder="1" applyAlignment="1">
      <alignment horizontal="center" vertical="center"/>
    </xf>
    <xf numFmtId="0" fontId="11" fillId="0" borderId="12" xfId="2" applyNumberFormat="1" applyFont="1" applyFill="1" applyBorder="1" applyAlignment="1">
      <alignment vertical="center"/>
    </xf>
    <xf numFmtId="0" fontId="5" fillId="2" borderId="16" xfId="3" applyNumberFormat="1" applyFont="1" applyFill="1" applyBorder="1" applyAlignment="1">
      <alignment horizontal="center" vertical="center"/>
    </xf>
    <xf numFmtId="0" fontId="5" fillId="2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>
      <alignment vertical="center"/>
    </xf>
    <xf numFmtId="0" fontId="1" fillId="2" borderId="0" xfId="3" applyNumberFormat="1" applyFill="1" applyBorder="1" applyAlignment="1">
      <alignment horizontal="center" vertical="center"/>
    </xf>
    <xf numFmtId="41" fontId="5" fillId="4" borderId="0" xfId="3" applyNumberFormat="1" applyFont="1" applyFill="1" applyBorder="1" applyAlignment="1">
      <alignment horizontal="center" vertical="center"/>
    </xf>
    <xf numFmtId="0" fontId="5" fillId="4" borderId="17" xfId="3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0" fontId="21" fillId="0" borderId="0" xfId="3" applyNumberFormat="1" applyFont="1" applyFill="1" applyBorder="1" applyAlignment="1">
      <alignment horizontal="left" vertical="center"/>
    </xf>
    <xf numFmtId="0" fontId="21" fillId="0" borderId="0" xfId="3" applyNumberFormat="1" applyFont="1" applyFill="1">
      <alignment vertical="center"/>
    </xf>
    <xf numFmtId="41" fontId="21" fillId="0" borderId="0" xfId="1" applyFont="1" applyFill="1">
      <alignment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6" borderId="77" xfId="3" applyNumberFormat="1" applyFill="1" applyBorder="1" applyAlignment="1">
      <alignment horizontal="center" vertical="center"/>
    </xf>
    <xf numFmtId="0" fontId="1" fillId="2" borderId="77" xfId="3" applyNumberFormat="1" applyFont="1" applyFill="1" applyBorder="1" applyAlignment="1">
      <alignment horizontal="center" vertical="center"/>
    </xf>
    <xf numFmtId="176" fontId="1" fillId="3" borderId="79" xfId="1" applyNumberFormat="1" applyFont="1" applyFill="1" applyBorder="1" applyAlignment="1">
      <alignment horizontal="center" vertical="center"/>
    </xf>
    <xf numFmtId="176" fontId="8" fillId="3" borderId="78" xfId="1" applyNumberFormat="1" applyFont="1" applyFill="1" applyBorder="1" applyAlignment="1">
      <alignment horizontal="center" vertical="center"/>
    </xf>
    <xf numFmtId="176" fontId="8" fillId="3" borderId="79" xfId="1" applyNumberFormat="1" applyFont="1" applyFill="1" applyBorder="1" applyAlignment="1">
      <alignment horizontal="center" vertical="center"/>
    </xf>
    <xf numFmtId="176" fontId="7" fillId="3" borderId="79" xfId="1" applyNumberFormat="1" applyFont="1" applyFill="1" applyBorder="1" applyAlignment="1">
      <alignment horizontal="center" vertical="center"/>
    </xf>
    <xf numFmtId="176" fontId="1" fillId="2" borderId="80" xfId="3" applyNumberFormat="1" applyFont="1" applyFill="1" applyBorder="1" applyAlignment="1">
      <alignment horizontal="center" vertical="center"/>
    </xf>
    <xf numFmtId="176" fontId="1" fillId="2" borderId="81" xfId="3" applyNumberFormat="1" applyFont="1" applyFill="1" applyBorder="1" applyAlignment="1">
      <alignment horizontal="center" vertical="center"/>
    </xf>
    <xf numFmtId="176" fontId="1" fillId="2" borderId="82" xfId="3" applyNumberFormat="1" applyFont="1" applyFill="1" applyBorder="1" applyAlignment="1">
      <alignment horizontal="center" vertical="center"/>
    </xf>
    <xf numFmtId="176" fontId="1" fillId="0" borderId="33" xfId="1" applyNumberFormat="1" applyFont="1" applyFill="1" applyBorder="1" applyAlignment="1">
      <alignment horizontal="center" vertical="center"/>
    </xf>
    <xf numFmtId="176" fontId="1" fillId="0" borderId="38" xfId="1" applyNumberFormat="1" applyFont="1" applyFill="1" applyBorder="1" applyAlignment="1">
      <alignment horizontal="center" vertical="center"/>
    </xf>
    <xf numFmtId="176" fontId="1" fillId="0" borderId="46" xfId="1" applyNumberFormat="1" applyFont="1" applyFill="1" applyBorder="1" applyAlignment="1">
      <alignment horizontal="center" vertical="center"/>
    </xf>
    <xf numFmtId="176" fontId="1" fillId="0" borderId="81" xfId="3" applyNumberFormat="1" applyFont="1" applyFill="1" applyBorder="1" applyAlignment="1">
      <alignment horizontal="center" vertical="center"/>
    </xf>
    <xf numFmtId="0" fontId="1" fillId="2" borderId="33" xfId="3" applyNumberFormat="1" applyFont="1" applyFill="1" applyBorder="1" applyAlignment="1">
      <alignment horizontal="center" vertical="center"/>
    </xf>
    <xf numFmtId="176" fontId="1" fillId="2" borderId="78" xfId="3" applyNumberFormat="1" applyFont="1" applyFill="1" applyBorder="1" applyAlignment="1">
      <alignment horizontal="center" vertical="center"/>
    </xf>
    <xf numFmtId="178" fontId="1" fillId="5" borderId="52" xfId="2" applyNumberFormat="1" applyFont="1" applyFill="1" applyBorder="1">
      <alignment vertical="center"/>
    </xf>
    <xf numFmtId="0" fontId="1" fillId="0" borderId="18" xfId="2" applyNumberFormat="1" applyFont="1" applyFill="1" applyBorder="1">
      <alignment vertical="center"/>
    </xf>
    <xf numFmtId="176" fontId="1" fillId="0" borderId="45" xfId="1" applyNumberFormat="1" applyFont="1" applyFill="1" applyBorder="1" applyAlignment="1">
      <alignment horizontal="center" vertical="center"/>
    </xf>
    <xf numFmtId="177" fontId="1" fillId="4" borderId="45" xfId="1" applyNumberFormat="1" applyFont="1" applyFill="1" applyBorder="1" applyAlignment="1">
      <alignment horizontal="center" vertical="center"/>
    </xf>
    <xf numFmtId="9" fontId="1" fillId="0" borderId="18" xfId="2" applyFont="1" applyFill="1" applyBorder="1">
      <alignment vertical="center"/>
    </xf>
    <xf numFmtId="9" fontId="11" fillId="0" borderId="52" xfId="2" applyFont="1" applyFill="1" applyBorder="1" applyAlignment="1">
      <alignment vertical="center"/>
    </xf>
    <xf numFmtId="9" fontId="11" fillId="5" borderId="52" xfId="2" applyFont="1" applyFill="1" applyBorder="1" applyAlignment="1">
      <alignment vertical="center"/>
    </xf>
    <xf numFmtId="9" fontId="1" fillId="0" borderId="52" xfId="2" applyFont="1" applyFill="1" applyBorder="1">
      <alignment vertical="center"/>
    </xf>
    <xf numFmtId="9" fontId="1" fillId="0" borderId="32" xfId="2" applyFont="1" applyFill="1" applyBorder="1">
      <alignment vertical="center"/>
    </xf>
    <xf numFmtId="9" fontId="1" fillId="5" borderId="52" xfId="2" applyFont="1" applyFill="1" applyBorder="1">
      <alignment vertical="center"/>
    </xf>
    <xf numFmtId="9" fontId="1" fillId="5" borderId="32" xfId="2" applyFont="1" applyFill="1" applyBorder="1">
      <alignment vertical="center"/>
    </xf>
    <xf numFmtId="176" fontId="1" fillId="0" borderId="42" xfId="1" applyNumberFormat="1" applyFont="1" applyFill="1" applyBorder="1" applyAlignment="1">
      <alignment horizontal="center" vertical="center"/>
    </xf>
    <xf numFmtId="176" fontId="8" fillId="2" borderId="48" xfId="1" applyNumberFormat="1" applyFont="1" applyFill="1" applyBorder="1" applyAlignment="1">
      <alignment horizontal="center" vertical="center"/>
    </xf>
    <xf numFmtId="176" fontId="8" fillId="2" borderId="36" xfId="1" applyNumberFormat="1" applyFont="1" applyFill="1" applyBorder="1" applyAlignment="1">
      <alignment horizontal="center" vertical="center"/>
    </xf>
    <xf numFmtId="176" fontId="8" fillId="2" borderId="35" xfId="1" applyNumberFormat="1" applyFont="1" applyFill="1" applyBorder="1" applyAlignment="1">
      <alignment horizontal="center" vertical="center"/>
    </xf>
    <xf numFmtId="176" fontId="8" fillId="2" borderId="79" xfId="1" applyNumberFormat="1" applyFont="1" applyFill="1" applyBorder="1" applyAlignment="1">
      <alignment horizontal="center" vertical="center"/>
    </xf>
    <xf numFmtId="178" fontId="1" fillId="0" borderId="85" xfId="2" applyNumberFormat="1" applyFont="1" applyFill="1" applyBorder="1">
      <alignment vertical="center"/>
    </xf>
    <xf numFmtId="178" fontId="1" fillId="0" borderId="86" xfId="2" applyNumberFormat="1" applyFont="1" applyFill="1" applyBorder="1">
      <alignment vertical="center"/>
    </xf>
    <xf numFmtId="178" fontId="1" fillId="0" borderId="87" xfId="2" applyNumberFormat="1" applyFont="1" applyFill="1" applyBorder="1">
      <alignment vertical="center"/>
    </xf>
    <xf numFmtId="9" fontId="11" fillId="0" borderId="85" xfId="2" applyFont="1" applyFill="1" applyBorder="1" applyAlignment="1">
      <alignment vertical="center"/>
    </xf>
    <xf numFmtId="9" fontId="11" fillId="0" borderId="86" xfId="2" applyFont="1" applyFill="1" applyBorder="1" applyAlignment="1">
      <alignment vertical="center"/>
    </xf>
    <xf numFmtId="9" fontId="11" fillId="0" borderId="87" xfId="2" applyFont="1" applyFill="1" applyBorder="1" applyAlignment="1">
      <alignment vertical="center"/>
    </xf>
    <xf numFmtId="9" fontId="1" fillId="0" borderId="85" xfId="2" applyFont="1" applyFill="1" applyBorder="1">
      <alignment vertical="center"/>
    </xf>
    <xf numFmtId="9" fontId="1" fillId="0" borderId="86" xfId="2" applyFont="1" applyFill="1" applyBorder="1">
      <alignment vertical="center"/>
    </xf>
    <xf numFmtId="9" fontId="1" fillId="0" borderId="87" xfId="2" applyFont="1" applyFill="1" applyBorder="1">
      <alignment vertical="center"/>
    </xf>
    <xf numFmtId="41" fontId="11" fillId="0" borderId="50" xfId="2" applyNumberFormat="1" applyFont="1" applyFill="1" applyBorder="1" applyAlignment="1">
      <alignment vertical="center"/>
    </xf>
    <xf numFmtId="178" fontId="1" fillId="0" borderId="50" xfId="2" applyNumberFormat="1" applyFont="1" applyFill="1" applyBorder="1">
      <alignment vertical="center"/>
    </xf>
    <xf numFmtId="0" fontId="1" fillId="0" borderId="51" xfId="2" applyNumberFormat="1" applyFont="1" applyFill="1" applyBorder="1">
      <alignment vertical="center"/>
    </xf>
    <xf numFmtId="178" fontId="11" fillId="5" borderId="37" xfId="2" applyNumberFormat="1" applyFont="1" applyFill="1" applyBorder="1" applyAlignment="1">
      <alignment vertical="center"/>
    </xf>
    <xf numFmtId="9" fontId="1" fillId="5" borderId="37" xfId="2" applyFont="1" applyFill="1" applyBorder="1">
      <alignment vertical="center"/>
    </xf>
    <xf numFmtId="9" fontId="1" fillId="5" borderId="21" xfId="2" applyFont="1" applyFill="1" applyBorder="1">
      <alignment vertical="center"/>
    </xf>
    <xf numFmtId="9" fontId="11" fillId="0" borderId="71" xfId="2" applyFont="1" applyFill="1" applyBorder="1" applyAlignment="1">
      <alignment vertical="center"/>
    </xf>
    <xf numFmtId="178" fontId="1" fillId="0" borderId="7" xfId="2" applyNumberFormat="1" applyFont="1" applyFill="1" applyBorder="1">
      <alignment vertical="center"/>
    </xf>
    <xf numFmtId="9" fontId="1" fillId="0" borderId="23" xfId="2" applyFont="1" applyFill="1" applyBorder="1">
      <alignment vertical="center"/>
    </xf>
    <xf numFmtId="9" fontId="11" fillId="0" borderId="54" xfId="2" applyFont="1" applyFill="1" applyBorder="1" applyAlignment="1">
      <alignment vertical="center"/>
    </xf>
    <xf numFmtId="0" fontId="1" fillId="2" borderId="66" xfId="3" applyNumberFormat="1" applyFill="1" applyBorder="1" applyAlignment="1">
      <alignment horizontal="center" vertical="center"/>
    </xf>
    <xf numFmtId="0" fontId="11" fillId="2" borderId="60" xfId="3" applyNumberFormat="1" applyFont="1" applyFill="1" applyBorder="1" applyAlignment="1">
      <alignment horizontal="center" vertical="center"/>
    </xf>
    <xf numFmtId="0" fontId="1" fillId="2" borderId="60" xfId="3" applyNumberFormat="1" applyFill="1" applyBorder="1" applyAlignment="1">
      <alignment horizontal="center" vertical="center"/>
    </xf>
    <xf numFmtId="178" fontId="1" fillId="0" borderId="37" xfId="2" applyNumberFormat="1" applyFont="1" applyFill="1" applyBorder="1">
      <alignment vertical="center"/>
    </xf>
    <xf numFmtId="0" fontId="11" fillId="0" borderId="71" xfId="2" applyNumberFormat="1" applyFont="1" applyFill="1" applyBorder="1" applyAlignment="1">
      <alignment vertical="center"/>
    </xf>
    <xf numFmtId="178" fontId="1" fillId="0" borderId="23" xfId="2" applyNumberFormat="1" applyFont="1" applyFill="1" applyBorder="1">
      <alignment vertical="center"/>
    </xf>
    <xf numFmtId="178" fontId="11" fillId="5" borderId="41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1" fillId="5" borderId="54" xfId="2" applyNumberFormat="1" applyFont="1" applyFill="1" applyBorder="1" applyAlignment="1">
      <alignment vertical="center"/>
    </xf>
    <xf numFmtId="0" fontId="1" fillId="5" borderId="32" xfId="3" applyNumberFormat="1" applyFill="1" applyBorder="1">
      <alignment vertical="center"/>
    </xf>
    <xf numFmtId="0" fontId="1" fillId="2" borderId="66" xfId="3" applyNumberFormat="1" applyFont="1" applyFill="1" applyBorder="1" applyAlignment="1">
      <alignment horizontal="center" vertical="center"/>
    </xf>
    <xf numFmtId="41" fontId="11" fillId="0" borderId="37" xfId="2" applyNumberFormat="1" applyFont="1" applyFill="1" applyBorder="1" applyAlignment="1">
      <alignment vertical="center"/>
    </xf>
    <xf numFmtId="0" fontId="1" fillId="0" borderId="21" xfId="2" applyNumberFormat="1" applyFont="1" applyFill="1" applyBorder="1">
      <alignment vertical="center"/>
    </xf>
    <xf numFmtId="178" fontId="11" fillId="0" borderId="71" xfId="2" applyNumberFormat="1" applyFont="1" applyFill="1" applyBorder="1" applyAlignment="1">
      <alignment vertical="center"/>
    </xf>
    <xf numFmtId="0" fontId="1" fillId="2" borderId="62" xfId="3" applyNumberFormat="1" applyFont="1" applyFill="1" applyBorder="1" applyAlignment="1">
      <alignment horizontal="center" vertical="center"/>
    </xf>
    <xf numFmtId="0" fontId="1" fillId="2" borderId="88" xfId="3" applyNumberFormat="1" applyFont="1" applyFill="1" applyBorder="1" applyAlignment="1">
      <alignment horizontal="center" vertical="center"/>
    </xf>
    <xf numFmtId="0" fontId="1" fillId="2" borderId="89" xfId="3" applyNumberFormat="1" applyFont="1" applyFill="1" applyBorder="1" applyAlignment="1">
      <alignment horizontal="center" vertical="center"/>
    </xf>
    <xf numFmtId="0" fontId="1" fillId="2" borderId="90" xfId="3" applyNumberFormat="1" applyFont="1" applyFill="1" applyBorder="1" applyAlignment="1">
      <alignment horizontal="center" vertical="center"/>
    </xf>
    <xf numFmtId="0" fontId="1" fillId="2" borderId="91" xfId="3" applyNumberFormat="1" applyFont="1" applyFill="1" applyBorder="1" applyAlignment="1">
      <alignment horizontal="center" vertical="center"/>
    </xf>
    <xf numFmtId="0" fontId="1" fillId="2" borderId="92" xfId="3" applyNumberFormat="1" applyFont="1" applyFill="1" applyBorder="1" applyAlignment="1">
      <alignment horizontal="center" vertical="center"/>
    </xf>
    <xf numFmtId="0" fontId="1" fillId="6" borderId="93" xfId="3" applyNumberFormat="1" applyFill="1" applyBorder="1" applyAlignment="1">
      <alignment horizontal="center" vertical="center"/>
    </xf>
    <xf numFmtId="0" fontId="1" fillId="6" borderId="89" xfId="3" applyNumberFormat="1" applyFill="1" applyBorder="1" applyAlignment="1">
      <alignment horizontal="center" vertical="center"/>
    </xf>
    <xf numFmtId="0" fontId="1" fillId="6" borderId="90" xfId="3" applyNumberFormat="1" applyFill="1" applyBorder="1" applyAlignment="1">
      <alignment horizontal="center" vertical="center"/>
    </xf>
    <xf numFmtId="0" fontId="1" fillId="2" borderId="94" xfId="3" applyNumberFormat="1" applyFont="1" applyFill="1" applyBorder="1" applyAlignment="1">
      <alignment horizontal="center" vertical="center"/>
    </xf>
    <xf numFmtId="0" fontId="1" fillId="2" borderId="93" xfId="3" applyNumberFormat="1" applyFont="1" applyFill="1" applyBorder="1" applyAlignment="1">
      <alignment horizontal="center" vertical="center"/>
    </xf>
    <xf numFmtId="0" fontId="0" fillId="2" borderId="84" xfId="0" applyFill="1" applyBorder="1">
      <alignment vertical="center"/>
    </xf>
    <xf numFmtId="0" fontId="0" fillId="0" borderId="84" xfId="0" applyBorder="1">
      <alignment vertical="center"/>
    </xf>
    <xf numFmtId="0" fontId="0" fillId="4" borderId="84" xfId="0" applyFill="1" applyBorder="1">
      <alignment vertical="center"/>
    </xf>
    <xf numFmtId="176" fontId="5" fillId="4" borderId="55" xfId="3" applyNumberFormat="1" applyFont="1" applyFill="1" applyBorder="1" applyAlignment="1">
      <alignment horizontal="center" vertical="center"/>
    </xf>
    <xf numFmtId="176" fontId="5" fillId="4" borderId="56" xfId="1" applyNumberFormat="1" applyFont="1" applyFill="1" applyBorder="1" applyAlignment="1">
      <alignment horizontal="center" vertical="center"/>
    </xf>
    <xf numFmtId="176" fontId="12" fillId="4" borderId="56" xfId="1" applyNumberFormat="1" applyFont="1" applyFill="1" applyBorder="1" applyAlignment="1">
      <alignment horizontal="center" vertical="center"/>
    </xf>
    <xf numFmtId="176" fontId="13" fillId="4" borderId="56" xfId="1" applyNumberFormat="1" applyFont="1" applyFill="1" applyBorder="1" applyAlignment="1">
      <alignment horizontal="center" vertical="center"/>
    </xf>
    <xf numFmtId="176" fontId="12" fillId="4" borderId="55" xfId="1" applyNumberFormat="1" applyFont="1" applyFill="1" applyBorder="1" applyAlignment="1">
      <alignment horizontal="center" vertical="center"/>
    </xf>
    <xf numFmtId="176" fontId="5" fillId="4" borderId="27" xfId="1" applyNumberFormat="1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0" fontId="0" fillId="0" borderId="59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74" xfId="0" applyBorder="1">
      <alignment vertical="center"/>
    </xf>
    <xf numFmtId="0" fontId="0" fillId="0" borderId="64" xfId="0" applyBorder="1">
      <alignment vertical="center"/>
    </xf>
    <xf numFmtId="0" fontId="12" fillId="0" borderId="16" xfId="0" applyFont="1" applyBorder="1">
      <alignment vertical="center"/>
    </xf>
    <xf numFmtId="0" fontId="24" fillId="0" borderId="75" xfId="0" applyFont="1" applyBorder="1">
      <alignment vertical="center"/>
    </xf>
    <xf numFmtId="0" fontId="26" fillId="0" borderId="58" xfId="0" applyFont="1" applyBorder="1">
      <alignment vertical="center"/>
    </xf>
    <xf numFmtId="0" fontId="26" fillId="0" borderId="16" xfId="0" applyFont="1" applyBorder="1">
      <alignment vertical="center"/>
    </xf>
    <xf numFmtId="0" fontId="24" fillId="0" borderId="16" xfId="0" applyFont="1" applyBorder="1">
      <alignment vertical="center"/>
    </xf>
    <xf numFmtId="0" fontId="27" fillId="0" borderId="16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71" xfId="0" applyBorder="1">
      <alignment vertical="center"/>
    </xf>
    <xf numFmtId="0" fontId="0" fillId="0" borderId="41" xfId="0" applyBorder="1">
      <alignment vertical="center"/>
    </xf>
    <xf numFmtId="0" fontId="0" fillId="0" borderId="54" xfId="0" applyBorder="1">
      <alignment vertical="center"/>
    </xf>
    <xf numFmtId="0" fontId="12" fillId="0" borderId="19" xfId="0" applyFont="1" applyBorder="1">
      <alignment vertical="center"/>
    </xf>
    <xf numFmtId="0" fontId="8" fillId="0" borderId="16" xfId="0" applyFont="1" applyBorder="1">
      <alignment vertical="center"/>
    </xf>
    <xf numFmtId="176" fontId="1" fillId="7" borderId="34" xfId="3" applyNumberFormat="1" applyFont="1" applyFill="1" applyBorder="1" applyAlignment="1">
      <alignment horizontal="center" vertical="center"/>
    </xf>
    <xf numFmtId="176" fontId="1" fillId="0" borderId="44" xfId="1" applyNumberFormat="1" applyFont="1" applyFill="1" applyBorder="1" applyAlignment="1">
      <alignment horizontal="center" vertical="center"/>
    </xf>
    <xf numFmtId="0" fontId="11" fillId="0" borderId="41" xfId="2" applyNumberFormat="1" applyFont="1" applyFill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5" fillId="2" borderId="58" xfId="3" applyNumberFormat="1" applyFont="1" applyFill="1" applyBorder="1" applyAlignment="1">
      <alignment horizontal="left" vertical="center"/>
    </xf>
    <xf numFmtId="0" fontId="5" fillId="2" borderId="59" xfId="3" applyNumberFormat="1" applyFont="1" applyFill="1" applyBorder="1" applyAlignment="1">
      <alignment horizontal="left" vertical="center"/>
    </xf>
    <xf numFmtId="0" fontId="5" fillId="2" borderId="19" xfId="3" applyNumberFormat="1" applyFont="1" applyFill="1" applyBorder="1" applyAlignment="1">
      <alignment horizontal="left" vertical="center"/>
    </xf>
    <xf numFmtId="0" fontId="5" fillId="2" borderId="64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left" vertical="center" wrapText="1"/>
    </xf>
    <xf numFmtId="0" fontId="5" fillId="2" borderId="16" xfId="3" applyNumberFormat="1" applyFont="1" applyFill="1" applyBorder="1" applyAlignment="1">
      <alignment horizontal="left" vertical="center" wrapText="1"/>
    </xf>
    <xf numFmtId="0" fontId="5" fillId="2" borderId="17" xfId="3" applyNumberFormat="1" applyFont="1" applyFill="1" applyBorder="1" applyAlignment="1">
      <alignment horizontal="left" vertical="center" wrapText="1"/>
    </xf>
    <xf numFmtId="0" fontId="5" fillId="2" borderId="19" xfId="3" applyNumberFormat="1" applyFont="1" applyFill="1" applyBorder="1" applyAlignment="1">
      <alignment horizontal="left" vertical="center" wrapText="1"/>
    </xf>
    <xf numFmtId="0" fontId="5" fillId="2" borderId="64" xfId="3" applyNumberFormat="1" applyFont="1" applyFill="1" applyBorder="1" applyAlignment="1">
      <alignment horizontal="left" vertical="center" wrapText="1"/>
    </xf>
    <xf numFmtId="0" fontId="5" fillId="2" borderId="20" xfId="3" applyNumberFormat="1" applyFont="1" applyFill="1" applyBorder="1" applyAlignment="1">
      <alignment horizontal="center" vertical="center" wrapText="1"/>
    </xf>
    <xf numFmtId="0" fontId="5" fillId="2" borderId="24" xfId="3" applyNumberFormat="1" applyFont="1" applyFill="1" applyBorder="1" applyAlignment="1">
      <alignment horizontal="center" vertical="center" wrapText="1"/>
    </xf>
    <xf numFmtId="0" fontId="5" fillId="2" borderId="26" xfId="3" applyNumberFormat="1" applyFont="1" applyFill="1" applyBorder="1" applyAlignment="1">
      <alignment horizontal="center" vertical="center" wrapText="1"/>
    </xf>
    <xf numFmtId="0" fontId="1" fillId="0" borderId="4" xfId="3" applyNumberFormat="1" applyFill="1" applyBorder="1" applyAlignment="1">
      <alignment horizontal="center" vertical="center"/>
    </xf>
    <xf numFmtId="0" fontId="1" fillId="0" borderId="5" xfId="3" applyNumberFormat="1" applyFill="1" applyBorder="1" applyAlignment="1">
      <alignment horizontal="center" vertical="center"/>
    </xf>
    <xf numFmtId="0" fontId="1" fillId="0" borderId="6" xfId="3" applyNumberFormat="1" applyFill="1" applyBorder="1" applyAlignment="1">
      <alignment horizontal="center" vertical="center"/>
    </xf>
    <xf numFmtId="0" fontId="1" fillId="0" borderId="6" xfId="3" applyNumberFormat="1" applyFont="1" applyFill="1" applyBorder="1" applyAlignment="1">
      <alignment horizontal="center" vertical="center"/>
    </xf>
    <xf numFmtId="0" fontId="1" fillId="0" borderId="5" xfId="3" applyNumberFormat="1" applyFont="1" applyFill="1" applyBorder="1" applyAlignment="1">
      <alignment horizontal="center" vertical="center"/>
    </xf>
    <xf numFmtId="0" fontId="1" fillId="0" borderId="30" xfId="3" applyNumberFormat="1" applyFont="1" applyFill="1" applyBorder="1" applyAlignment="1">
      <alignment horizontal="center" vertical="center"/>
    </xf>
    <xf numFmtId="0" fontId="1" fillId="0" borderId="29" xfId="3" applyNumberFormat="1" applyFont="1" applyFill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left" vertical="center"/>
    </xf>
    <xf numFmtId="0" fontId="11" fillId="0" borderId="67" xfId="3" applyNumberFormat="1" applyFont="1" applyFill="1" applyBorder="1" applyAlignment="1">
      <alignment horizontal="left" vertical="center"/>
    </xf>
    <xf numFmtId="0" fontId="11" fillId="0" borderId="8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left" vertical="center"/>
    </xf>
    <xf numFmtId="0" fontId="11" fillId="0" borderId="65" xfId="3" applyNumberFormat="1" applyFont="1" applyFill="1" applyBorder="1" applyAlignment="1">
      <alignment horizontal="left" vertical="center"/>
    </xf>
    <xf numFmtId="0" fontId="11" fillId="0" borderId="15" xfId="3" applyNumberFormat="1" applyFont="1" applyFill="1" applyBorder="1" applyAlignment="1">
      <alignment horizontal="left" vertical="center"/>
    </xf>
    <xf numFmtId="0" fontId="11" fillId="0" borderId="28" xfId="3" applyNumberFormat="1" applyFont="1" applyFill="1" applyBorder="1" applyAlignment="1">
      <alignment horizontal="left" vertical="center"/>
    </xf>
    <xf numFmtId="0" fontId="11" fillId="0" borderId="31" xfId="3" applyNumberFormat="1" applyFont="1" applyFill="1" applyBorder="1" applyAlignment="1">
      <alignment horizontal="left" vertical="center"/>
    </xf>
    <xf numFmtId="0" fontId="11" fillId="0" borderId="53" xfId="3" applyNumberFormat="1" applyFont="1" applyFill="1" applyBorder="1" applyAlignment="1">
      <alignment horizontal="left" vertical="center"/>
    </xf>
    <xf numFmtId="0" fontId="11" fillId="0" borderId="11" xfId="3" applyNumberFormat="1" applyFont="1" applyFill="1" applyBorder="1" applyAlignment="1">
      <alignment horizontal="left" vertical="center"/>
    </xf>
    <xf numFmtId="0" fontId="11" fillId="0" borderId="43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center" vertical="center" wrapText="1"/>
    </xf>
    <xf numFmtId="0" fontId="5" fillId="2" borderId="16" xfId="3" applyNumberFormat="1" applyFont="1" applyFill="1" applyBorder="1" applyAlignment="1">
      <alignment horizontal="center" vertical="center" wrapText="1"/>
    </xf>
    <xf numFmtId="0" fontId="5" fillId="2" borderId="19" xfId="3" applyNumberFormat="1" applyFont="1" applyFill="1" applyBorder="1" applyAlignment="1">
      <alignment horizontal="center" vertical="center" wrapText="1"/>
    </xf>
    <xf numFmtId="0" fontId="5" fillId="2" borderId="68" xfId="3" applyNumberFormat="1" applyFont="1" applyFill="1" applyBorder="1" applyAlignment="1">
      <alignment horizontal="center" vertical="center" wrapText="1"/>
    </xf>
    <xf numFmtId="0" fontId="5" fillId="2" borderId="25" xfId="3" applyNumberFormat="1" applyFont="1" applyFill="1" applyBorder="1" applyAlignment="1">
      <alignment horizontal="center" vertical="center" wrapText="1"/>
    </xf>
    <xf numFmtId="0" fontId="5" fillId="2" borderId="51" xfId="3" applyNumberFormat="1" applyFont="1" applyFill="1" applyBorder="1" applyAlignment="1">
      <alignment horizontal="center" vertical="center" wrapText="1"/>
    </xf>
    <xf numFmtId="0" fontId="5" fillId="2" borderId="27" xfId="3" applyNumberFormat="1" applyFont="1" applyFill="1" applyBorder="1" applyAlignment="1">
      <alignment horizontal="center" vertical="center" wrapText="1"/>
    </xf>
    <xf numFmtId="3" fontId="11" fillId="0" borderId="51" xfId="3" applyNumberFormat="1" applyFont="1" applyFill="1" applyBorder="1" applyAlignment="1">
      <alignment horizontal="center" vertical="center"/>
    </xf>
    <xf numFmtId="0" fontId="11" fillId="0" borderId="27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horizontal="center" vertical="center"/>
    </xf>
    <xf numFmtId="0" fontId="11" fillId="0" borderId="65" xfId="3" applyNumberFormat="1" applyFont="1" applyFill="1" applyBorder="1" applyAlignment="1">
      <alignment horizontal="center" vertical="center"/>
    </xf>
    <xf numFmtId="0" fontId="11" fillId="0" borderId="15" xfId="3" applyNumberFormat="1" applyFont="1" applyFill="1" applyBorder="1" applyAlignment="1">
      <alignment horizontal="center" vertical="center"/>
    </xf>
    <xf numFmtId="0" fontId="11" fillId="0" borderId="50" xfId="3" applyNumberFormat="1" applyFont="1" applyFill="1" applyBorder="1" applyAlignment="1">
      <alignment horizontal="center" vertical="center"/>
    </xf>
    <xf numFmtId="0" fontId="11" fillId="0" borderId="63" xfId="3" applyNumberFormat="1" applyFont="1" applyFill="1" applyBorder="1" applyAlignment="1">
      <alignment horizontal="center" vertical="center"/>
    </xf>
    <xf numFmtId="0" fontId="11" fillId="0" borderId="51" xfId="3" applyNumberFormat="1" applyFont="1" applyFill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1" fillId="0" borderId="62" xfId="3" applyNumberFormat="1" applyFont="1" applyFill="1" applyBorder="1" applyAlignment="1">
      <alignment horizontal="center" vertical="center"/>
    </xf>
    <xf numFmtId="0" fontId="1" fillId="0" borderId="19" xfId="3" applyNumberFormat="1" applyFont="1" applyFill="1" applyBorder="1" applyAlignment="1">
      <alignment horizontal="center" vertical="center"/>
    </xf>
    <xf numFmtId="0" fontId="1" fillId="0" borderId="50" xfId="3" applyNumberFormat="1" applyFont="1" applyFill="1" applyBorder="1" applyAlignment="1">
      <alignment horizontal="center" vertical="center"/>
    </xf>
    <xf numFmtId="0" fontId="1" fillId="0" borderId="56" xfId="3" applyNumberFormat="1" applyFont="1" applyFill="1" applyBorder="1" applyAlignment="1">
      <alignment horizontal="center" vertical="center"/>
    </xf>
    <xf numFmtId="3" fontId="11" fillId="0" borderId="50" xfId="3" applyNumberFormat="1" applyFont="1" applyFill="1" applyBorder="1" applyAlignment="1">
      <alignment horizontal="center" vertical="center"/>
    </xf>
    <xf numFmtId="0" fontId="11" fillId="0" borderId="56" xfId="3" applyNumberFormat="1" applyFont="1" applyFill="1" applyBorder="1" applyAlignment="1">
      <alignment horizontal="center" vertical="center"/>
    </xf>
    <xf numFmtId="0" fontId="5" fillId="2" borderId="20" xfId="3" applyNumberFormat="1" applyFont="1" applyFill="1" applyBorder="1" applyAlignment="1">
      <alignment horizontal="right" vertical="center" wrapText="1"/>
    </xf>
    <xf numFmtId="0" fontId="5" fillId="2" borderId="24" xfId="3" applyNumberFormat="1" applyFont="1" applyFill="1" applyBorder="1" applyAlignment="1">
      <alignment horizontal="right" vertical="center" wrapText="1"/>
    </xf>
    <xf numFmtId="0" fontId="5" fillId="2" borderId="26" xfId="3" applyNumberFormat="1" applyFont="1" applyFill="1" applyBorder="1" applyAlignment="1">
      <alignment horizontal="right" vertical="center" wrapText="1"/>
    </xf>
    <xf numFmtId="0" fontId="1" fillId="2" borderId="22" xfId="3" applyNumberFormat="1" applyFont="1" applyFill="1" applyBorder="1" applyAlignment="1">
      <alignment horizontal="center" vertical="center" wrapText="1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16" xfId="3" applyNumberFormat="1" applyFont="1" applyFill="1" applyBorder="1" applyAlignment="1">
      <alignment horizontal="center"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1" fillId="0" borderId="37" xfId="3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5" fillId="2" borderId="61" xfId="3" applyNumberFormat="1" applyFont="1" applyFill="1" applyBorder="1" applyAlignment="1">
      <alignment horizontal="center" vertical="center"/>
    </xf>
    <xf numFmtId="0" fontId="5" fillId="2" borderId="70" xfId="3" applyNumberFormat="1" applyFont="1" applyFill="1" applyBorder="1" applyAlignment="1">
      <alignment horizontal="center" vertical="center"/>
    </xf>
    <xf numFmtId="0" fontId="5" fillId="2" borderId="57" xfId="3" applyNumberFormat="1" applyFont="1" applyFill="1" applyBorder="1" applyAlignment="1">
      <alignment horizontal="center"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7" xfId="3" applyNumberFormat="1" applyFill="1" applyBorder="1" applyAlignment="1">
      <alignment horizontal="center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0" fontId="2" fillId="0" borderId="3" xfId="3" applyNumberFormat="1" applyFont="1" applyFill="1" applyBorder="1" applyAlignment="1">
      <alignment horizontal="center" vertical="center"/>
    </xf>
    <xf numFmtId="0" fontId="5" fillId="2" borderId="4" xfId="3" applyNumberFormat="1" applyFont="1" applyFill="1" applyBorder="1" applyAlignment="1">
      <alignment horizontal="center" vertical="center"/>
    </xf>
    <xf numFmtId="0" fontId="5" fillId="2" borderId="5" xfId="3" applyNumberFormat="1" applyFont="1" applyFill="1" applyBorder="1" applyAlignment="1">
      <alignment horizontal="center" vertical="center"/>
    </xf>
    <xf numFmtId="0" fontId="5" fillId="0" borderId="6" xfId="3" applyNumberFormat="1" applyFont="1" applyFill="1" applyBorder="1" applyAlignment="1">
      <alignment horizontal="center" vertical="center"/>
    </xf>
    <xf numFmtId="0" fontId="5" fillId="0" borderId="5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6" xfId="3" applyNumberFormat="1" applyFont="1" applyFill="1" applyBorder="1" applyAlignment="1">
      <alignment horizontal="center" vertical="center"/>
    </xf>
    <xf numFmtId="0" fontId="1" fillId="2" borderId="5" xfId="3" applyNumberFormat="1" applyFill="1" applyBorder="1" applyAlignment="1">
      <alignment horizontal="center" vertical="center"/>
    </xf>
    <xf numFmtId="0" fontId="1" fillId="2" borderId="6" xfId="3" applyNumberFormat="1" applyFill="1" applyBorder="1" applyAlignment="1">
      <alignment horizontal="center" vertical="center"/>
    </xf>
    <xf numFmtId="0" fontId="1" fillId="2" borderId="8" xfId="3" applyNumberFormat="1" applyFill="1" applyBorder="1" applyAlignment="1">
      <alignment horizontal="center" vertical="center"/>
    </xf>
    <xf numFmtId="0" fontId="5" fillId="2" borderId="9" xfId="3" applyNumberFormat="1" applyFont="1" applyFill="1" applyBorder="1" applyAlignment="1">
      <alignment horizontal="center" vertical="center"/>
    </xf>
    <xf numFmtId="0" fontId="5" fillId="2" borderId="10" xfId="3" applyNumberFormat="1" applyFont="1" applyFill="1" applyBorder="1" applyAlignment="1">
      <alignment horizontal="center" vertical="center"/>
    </xf>
    <xf numFmtId="0" fontId="1" fillId="0" borderId="13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41" fontId="5" fillId="4" borderId="13" xfId="3" applyNumberFormat="1" applyFont="1" applyFill="1" applyBorder="1" applyAlignment="1">
      <alignment horizontal="center" vertical="center"/>
    </xf>
    <xf numFmtId="0" fontId="5" fillId="4" borderId="15" xfId="3" applyNumberFormat="1" applyFont="1" applyFill="1" applyBorder="1" applyAlignment="1">
      <alignment horizontal="center" vertical="center"/>
    </xf>
    <xf numFmtId="0" fontId="11" fillId="0" borderId="62" xfId="3" applyNumberFormat="1" applyFont="1" applyFill="1" applyBorder="1" applyAlignment="1">
      <alignment horizontal="center" vertical="center" wrapText="1"/>
    </xf>
    <xf numFmtId="0" fontId="11" fillId="0" borderId="95" xfId="3" applyNumberFormat="1" applyFont="1" applyFill="1" applyBorder="1" applyAlignment="1">
      <alignment horizontal="center" vertical="center" wrapText="1"/>
    </xf>
    <xf numFmtId="0" fontId="11" fillId="0" borderId="96" xfId="3" applyNumberFormat="1" applyFont="1" applyFill="1" applyBorder="1" applyAlignment="1">
      <alignment horizontal="center" vertical="center" wrapText="1"/>
    </xf>
    <xf numFmtId="0" fontId="11" fillId="0" borderId="19" xfId="3" applyNumberFormat="1" applyFont="1" applyFill="1" applyBorder="1" applyAlignment="1">
      <alignment horizontal="center" vertical="center" wrapText="1"/>
    </xf>
    <xf numFmtId="0" fontId="11" fillId="0" borderId="74" xfId="3" applyNumberFormat="1" applyFont="1" applyFill="1" applyBorder="1" applyAlignment="1">
      <alignment horizontal="center" vertical="center" wrapText="1"/>
    </xf>
    <xf numFmtId="0" fontId="11" fillId="0" borderId="64" xfId="3" applyNumberFormat="1" applyFont="1" applyFill="1" applyBorder="1" applyAlignment="1">
      <alignment horizontal="center" vertical="center" wrapText="1"/>
    </xf>
    <xf numFmtId="0" fontId="11" fillId="0" borderId="4" xfId="3" applyNumberFormat="1" applyFont="1" applyFill="1" applyBorder="1" applyAlignment="1">
      <alignment horizontal="left" vertical="center" wrapText="1"/>
    </xf>
    <xf numFmtId="0" fontId="11" fillId="0" borderId="58" xfId="3" applyNumberFormat="1" applyFont="1" applyFill="1" applyBorder="1" applyAlignment="1">
      <alignment horizontal="center" vertical="center" wrapText="1"/>
    </xf>
    <xf numFmtId="0" fontId="11" fillId="0" borderId="75" xfId="3" applyNumberFormat="1" applyFont="1" applyFill="1" applyBorder="1" applyAlignment="1">
      <alignment horizontal="center" vertical="center" wrapText="1"/>
    </xf>
    <xf numFmtId="0" fontId="11" fillId="0" borderId="59" xfId="3" applyNumberFormat="1" applyFont="1" applyFill="1" applyBorder="1" applyAlignment="1">
      <alignment horizontal="center" vertical="center" wrapText="1"/>
    </xf>
    <xf numFmtId="0" fontId="11" fillId="0" borderId="9" xfId="3" applyNumberFormat="1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 wrapText="1"/>
    </xf>
    <xf numFmtId="0" fontId="11" fillId="0" borderId="43" xfId="3" applyNumberFormat="1" applyFont="1" applyFill="1" applyBorder="1" applyAlignment="1">
      <alignment horizontal="center" vertical="center" wrapText="1"/>
    </xf>
    <xf numFmtId="0" fontId="11" fillId="0" borderId="66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horizontal="left" vertical="top"/>
    </xf>
    <xf numFmtId="0" fontId="11" fillId="0" borderId="65" xfId="3" applyNumberFormat="1" applyFont="1" applyFill="1" applyBorder="1" applyAlignment="1">
      <alignment horizontal="left" vertical="top"/>
    </xf>
    <xf numFmtId="0" fontId="11" fillId="0" borderId="15" xfId="3" applyNumberFormat="1" applyFont="1" applyFill="1" applyBorder="1" applyAlignment="1">
      <alignment horizontal="left" vertical="top"/>
    </xf>
    <xf numFmtId="0" fontId="11" fillId="0" borderId="66" xfId="3" applyNumberFormat="1" applyFont="1" applyFill="1" applyBorder="1" applyAlignment="1">
      <alignment vertical="center" wrapText="1"/>
    </xf>
    <xf numFmtId="0" fontId="11" fillId="0" borderId="65" xfId="3" applyNumberFormat="1" applyFont="1" applyFill="1" applyBorder="1" applyAlignment="1">
      <alignment vertical="center"/>
    </xf>
    <xf numFmtId="0" fontId="11" fillId="0" borderId="15" xfId="3" applyNumberFormat="1" applyFont="1" applyFill="1" applyBorder="1" applyAlignment="1">
      <alignment vertical="center"/>
    </xf>
    <xf numFmtId="0" fontId="5" fillId="2" borderId="59" xfId="3" applyNumberFormat="1" applyFont="1" applyFill="1" applyBorder="1" applyAlignment="1">
      <alignment horizontal="center" vertical="center"/>
    </xf>
    <xf numFmtId="0" fontId="5" fillId="2" borderId="17" xfId="3" applyNumberFormat="1" applyFont="1" applyFill="1" applyBorder="1" applyAlignment="1">
      <alignment horizontal="center" vertical="center"/>
    </xf>
    <xf numFmtId="0" fontId="5" fillId="2" borderId="64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6" xfId="3" applyNumberFormat="1" applyFont="1" applyFill="1" applyBorder="1" applyAlignment="1">
      <alignment horizontal="center" vertical="center" wrapText="1"/>
    </xf>
    <xf numFmtId="0" fontId="5" fillId="2" borderId="83" xfId="3" applyNumberFormat="1" applyFont="1" applyFill="1" applyBorder="1" applyAlignment="1">
      <alignment horizontal="center" vertical="center" wrapText="1"/>
    </xf>
    <xf numFmtId="0" fontId="5" fillId="2" borderId="69" xfId="3" applyNumberFormat="1" applyFont="1" applyFill="1" applyBorder="1" applyAlignment="1">
      <alignment horizontal="center" vertical="center" wrapText="1"/>
    </xf>
    <xf numFmtId="178" fontId="1" fillId="0" borderId="18" xfId="2" applyNumberFormat="1" applyFont="1" applyFill="1" applyBorder="1" applyAlignment="1">
      <alignment vertical="center"/>
    </xf>
    <xf numFmtId="178" fontId="1" fillId="0" borderId="32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" fillId="0" borderId="12" xfId="2" applyNumberFormat="1" applyFont="1" applyFill="1" applyBorder="1" applyAlignment="1">
      <alignment vertical="center"/>
    </xf>
    <xf numFmtId="178" fontId="11" fillId="0" borderId="54" xfId="2" applyNumberFormat="1" applyFont="1" applyFill="1" applyBorder="1" applyAlignment="1">
      <alignment vertical="center"/>
    </xf>
    <xf numFmtId="178" fontId="1" fillId="0" borderId="52" xfId="2" applyNumberFormat="1" applyFont="1" applyFill="1" applyBorder="1" applyAlignment="1">
      <alignment vertical="center"/>
    </xf>
  </cellXfs>
  <cellStyles count="5">
    <cellStyle name="백분율" xfId="2" builtinId="5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workbookViewId="0">
      <selection activeCell="K27" sqref="K27"/>
    </sheetView>
  </sheetViews>
  <sheetFormatPr defaultRowHeight="16.5" x14ac:dyDescent="0.3"/>
  <cols>
    <col min="9" max="9" width="11.25" customWidth="1"/>
  </cols>
  <sheetData>
    <row r="2" spans="2:13" ht="26.25" x14ac:dyDescent="0.3">
      <c r="B2" s="288" t="s">
        <v>151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2:13" ht="17.25" thickBot="1" x14ac:dyDescent="0.35"/>
    <row r="4" spans="2:13" ht="21" thickBot="1" x14ac:dyDescent="0.35">
      <c r="B4" s="271" t="s">
        <v>152</v>
      </c>
      <c r="C4" s="270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2:13" ht="21" customHeight="1" thickBot="1" x14ac:dyDescent="0.35">
      <c r="B5" s="253"/>
      <c r="C5" s="264" t="s">
        <v>137</v>
      </c>
      <c r="D5" s="264"/>
      <c r="E5" s="264"/>
      <c r="F5" s="264"/>
      <c r="G5" s="264"/>
      <c r="H5" s="264"/>
      <c r="I5" s="264"/>
      <c r="J5" s="264"/>
      <c r="K5" s="264"/>
      <c r="L5" s="264"/>
      <c r="M5" s="265"/>
    </row>
    <row r="6" spans="2:13" ht="21" customHeight="1" thickBot="1" x14ac:dyDescent="0.35">
      <c r="B6" s="254"/>
      <c r="C6" s="264" t="s">
        <v>138</v>
      </c>
      <c r="D6" s="264"/>
      <c r="E6" s="264"/>
      <c r="F6" s="264"/>
      <c r="G6" s="264"/>
      <c r="H6" s="264"/>
      <c r="I6" s="264"/>
      <c r="J6" s="264"/>
      <c r="K6" s="264"/>
      <c r="L6" s="264"/>
      <c r="M6" s="265"/>
    </row>
    <row r="7" spans="2:13" ht="21" customHeight="1" thickBot="1" x14ac:dyDescent="0.35">
      <c r="B7" s="255"/>
      <c r="C7" s="264" t="s">
        <v>139</v>
      </c>
      <c r="D7" s="264"/>
      <c r="E7" s="264"/>
      <c r="F7" s="264"/>
      <c r="G7" s="264"/>
      <c r="H7" s="264"/>
      <c r="I7" s="264"/>
      <c r="J7" s="264"/>
      <c r="K7" s="264"/>
      <c r="L7" s="264"/>
      <c r="M7" s="265"/>
    </row>
    <row r="8" spans="2:13" x14ac:dyDescent="0.3">
      <c r="B8" s="266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5"/>
    </row>
    <row r="9" spans="2:13" ht="20.25" x14ac:dyDescent="0.3">
      <c r="B9" s="272" t="s">
        <v>153</v>
      </c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5"/>
    </row>
    <row r="10" spans="2:13" ht="21" customHeight="1" x14ac:dyDescent="0.3">
      <c r="B10" s="274" t="s">
        <v>154</v>
      </c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5"/>
    </row>
    <row r="11" spans="2:13" ht="21" customHeight="1" x14ac:dyDescent="0.3">
      <c r="B11" s="273" t="s">
        <v>155</v>
      </c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5"/>
    </row>
    <row r="12" spans="2:13" x14ac:dyDescent="0.3">
      <c r="B12" s="266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5"/>
    </row>
    <row r="13" spans="2:13" ht="21" customHeight="1" x14ac:dyDescent="0.3">
      <c r="B13" s="274" t="s">
        <v>163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5"/>
    </row>
    <row r="14" spans="2:13" ht="21" customHeight="1" x14ac:dyDescent="0.3">
      <c r="B14" s="273" t="s">
        <v>135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5"/>
    </row>
    <row r="15" spans="2:13" ht="21" customHeight="1" x14ac:dyDescent="0.3">
      <c r="B15" s="266" t="s">
        <v>140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5"/>
    </row>
    <row r="16" spans="2:13" x14ac:dyDescent="0.3">
      <c r="B16" s="266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5"/>
    </row>
    <row r="17" spans="2:13" ht="21" customHeight="1" x14ac:dyDescent="0.3">
      <c r="B17" s="274" t="s">
        <v>156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5"/>
    </row>
    <row r="18" spans="2:13" ht="21" customHeight="1" x14ac:dyDescent="0.3">
      <c r="B18" s="273" t="s">
        <v>135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5"/>
    </row>
    <row r="19" spans="2:13" ht="21" customHeight="1" x14ac:dyDescent="0.3">
      <c r="B19" s="266" t="s">
        <v>136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5"/>
    </row>
    <row r="20" spans="2:13" ht="17.25" thickBot="1" x14ac:dyDescent="0.35">
      <c r="B20" s="266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5"/>
    </row>
    <row r="21" spans="2:13" ht="21" customHeight="1" x14ac:dyDescent="0.3">
      <c r="B21" s="276" t="s">
        <v>141</v>
      </c>
      <c r="C21" s="289" t="s">
        <v>165</v>
      </c>
      <c r="D21" s="289"/>
      <c r="E21" s="289"/>
      <c r="F21" s="289"/>
      <c r="G21" s="289"/>
      <c r="H21" s="289"/>
      <c r="I21" s="290"/>
      <c r="J21" s="275"/>
      <c r="K21" s="264"/>
      <c r="L21" s="264"/>
      <c r="M21" s="265"/>
    </row>
    <row r="22" spans="2:13" ht="21" customHeight="1" x14ac:dyDescent="0.3">
      <c r="B22" s="277" t="s">
        <v>142</v>
      </c>
      <c r="C22" s="284" t="s">
        <v>143</v>
      </c>
      <c r="D22" s="284"/>
      <c r="E22" s="284"/>
      <c r="F22" s="284"/>
      <c r="G22" s="284"/>
      <c r="H22" s="284"/>
      <c r="I22" s="285"/>
      <c r="J22" s="264"/>
      <c r="K22" s="264"/>
      <c r="L22" s="264"/>
      <c r="M22" s="265"/>
    </row>
    <row r="23" spans="2:13" ht="21" customHeight="1" x14ac:dyDescent="0.3">
      <c r="B23" s="277" t="s">
        <v>144</v>
      </c>
      <c r="C23" s="284" t="s">
        <v>145</v>
      </c>
      <c r="D23" s="284"/>
      <c r="E23" s="284"/>
      <c r="F23" s="284"/>
      <c r="G23" s="284"/>
      <c r="H23" s="284"/>
      <c r="I23" s="285"/>
      <c r="J23" s="264"/>
      <c r="K23" s="264"/>
      <c r="L23" s="264"/>
      <c r="M23" s="265"/>
    </row>
    <row r="24" spans="2:13" ht="21" customHeight="1" x14ac:dyDescent="0.3">
      <c r="B24" s="277" t="s">
        <v>146</v>
      </c>
      <c r="C24" s="291" t="s">
        <v>164</v>
      </c>
      <c r="D24" s="292"/>
      <c r="E24" s="292"/>
      <c r="F24" s="292"/>
      <c r="G24" s="292"/>
      <c r="H24" s="292"/>
      <c r="I24" s="293"/>
      <c r="J24" s="264"/>
      <c r="K24" s="264"/>
      <c r="L24" s="264"/>
      <c r="M24" s="265"/>
    </row>
    <row r="25" spans="2:13" ht="21" customHeight="1" x14ac:dyDescent="0.3">
      <c r="B25" s="277" t="s">
        <v>147</v>
      </c>
      <c r="C25" s="284" t="s">
        <v>148</v>
      </c>
      <c r="D25" s="284"/>
      <c r="E25" s="284"/>
      <c r="F25" s="284"/>
      <c r="G25" s="284"/>
      <c r="H25" s="284"/>
      <c r="I25" s="285"/>
      <c r="J25" s="264"/>
      <c r="K25" s="264"/>
      <c r="L25" s="264"/>
      <c r="M25" s="265"/>
    </row>
    <row r="26" spans="2:13" ht="21" customHeight="1" thickBot="1" x14ac:dyDescent="0.35">
      <c r="B26" s="278" t="s">
        <v>149</v>
      </c>
      <c r="C26" s="286" t="s">
        <v>150</v>
      </c>
      <c r="D26" s="286"/>
      <c r="E26" s="286"/>
      <c r="F26" s="286"/>
      <c r="G26" s="286"/>
      <c r="H26" s="286"/>
      <c r="I26" s="287"/>
      <c r="J26" s="264"/>
      <c r="K26" s="264"/>
      <c r="L26" s="264"/>
      <c r="M26" s="265"/>
    </row>
    <row r="27" spans="2:13" x14ac:dyDescent="0.3">
      <c r="B27" s="266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5"/>
    </row>
    <row r="28" spans="2:13" ht="21" customHeight="1" x14ac:dyDescent="0.3">
      <c r="B28" s="269" t="s">
        <v>157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5"/>
    </row>
    <row r="29" spans="2:13" ht="21" customHeight="1" x14ac:dyDescent="0.3">
      <c r="B29" s="269" t="s">
        <v>158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5"/>
    </row>
    <row r="30" spans="2:13" ht="18" customHeight="1" x14ac:dyDescent="0.3">
      <c r="B30" s="280" t="s">
        <v>159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5"/>
    </row>
    <row r="31" spans="2:13" ht="21" customHeight="1" thickBot="1" x14ac:dyDescent="0.35">
      <c r="B31" s="279" t="s">
        <v>160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8"/>
    </row>
  </sheetData>
  <mergeCells count="7">
    <mergeCell ref="C25:I25"/>
    <mergeCell ref="C26:I26"/>
    <mergeCell ref="B2:L2"/>
    <mergeCell ref="C22:I22"/>
    <mergeCell ref="C23:I23"/>
    <mergeCell ref="C21:I21"/>
    <mergeCell ref="C24:I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topLeftCell="A58" zoomScale="90" zoomScaleNormal="90" workbookViewId="0">
      <selection activeCell="C58" sqref="C58:I5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0" width="6.625" style="2" customWidth="1"/>
    <col min="11" max="16384" width="9" style="2"/>
  </cols>
  <sheetData>
    <row r="1" spans="1:10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  <c r="J1" s="1"/>
    </row>
    <row r="2" spans="1:10" x14ac:dyDescent="0.3">
      <c r="A2" s="369" t="s">
        <v>1</v>
      </c>
      <c r="B2" s="370"/>
      <c r="C2" s="371" t="s">
        <v>166</v>
      </c>
      <c r="D2" s="372"/>
      <c r="E2" s="365" t="s">
        <v>77</v>
      </c>
      <c r="F2" s="374" t="s">
        <v>2</v>
      </c>
      <c r="G2" s="375"/>
      <c r="H2" s="376" t="s">
        <v>76</v>
      </c>
      <c r="I2" s="377"/>
      <c r="J2" s="3"/>
    </row>
    <row r="3" spans="1:10" x14ac:dyDescent="0.3">
      <c r="A3" s="378" t="s">
        <v>3</v>
      </c>
      <c r="B3" s="379"/>
      <c r="C3" s="4" t="s">
        <v>186</v>
      </c>
      <c r="D3" s="5" t="s">
        <v>4</v>
      </c>
      <c r="E3" s="373"/>
      <c r="F3" s="380" t="s">
        <v>167</v>
      </c>
      <c r="G3" s="381"/>
      <c r="H3" s="382">
        <f>G11</f>
        <v>1560700</v>
      </c>
      <c r="I3" s="383"/>
      <c r="J3" s="3"/>
    </row>
    <row r="4" spans="1:10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  <c r="J4" s="3"/>
    </row>
    <row r="5" spans="1:10" x14ac:dyDescent="0.3">
      <c r="A5" s="7"/>
      <c r="B5" s="8"/>
      <c r="C5" s="8"/>
      <c r="D5" s="9"/>
      <c r="E5" s="10" t="s">
        <v>5</v>
      </c>
      <c r="F5" s="11" t="s">
        <v>6</v>
      </c>
      <c r="G5" s="12" t="s">
        <v>7</v>
      </c>
      <c r="H5" s="10" t="s">
        <v>8</v>
      </c>
      <c r="I5" s="13" t="s">
        <v>9</v>
      </c>
      <c r="J5" s="3"/>
    </row>
    <row r="6" spans="1:10" x14ac:dyDescent="0.3">
      <c r="A6" s="7"/>
      <c r="B6" s="8"/>
      <c r="C6" s="8"/>
      <c r="D6" s="9"/>
      <c r="E6" s="14" t="s">
        <v>168</v>
      </c>
      <c r="F6" s="15" t="s">
        <v>169</v>
      </c>
      <c r="G6" s="16" t="s">
        <v>170</v>
      </c>
      <c r="H6" s="17">
        <v>0.47</v>
      </c>
      <c r="I6" s="18">
        <v>0.26</v>
      </c>
      <c r="J6" s="3"/>
    </row>
    <row r="7" spans="1:10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  <c r="J7" s="3"/>
    </row>
    <row r="8" spans="1:10" ht="18" customHeight="1" thickBot="1" x14ac:dyDescent="0.35">
      <c r="A8" s="105"/>
      <c r="B8" s="106"/>
      <c r="C8" s="106"/>
      <c r="D8" s="106"/>
      <c r="E8" s="106"/>
      <c r="F8" s="106"/>
      <c r="G8" s="106"/>
      <c r="H8" s="106"/>
      <c r="I8" s="6"/>
      <c r="J8" s="3"/>
    </row>
    <row r="9" spans="1:10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  <c r="J9" s="3"/>
    </row>
    <row r="10" spans="1:10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  <c r="J10" s="3"/>
    </row>
    <row r="11" spans="1:10" ht="17.25" thickBot="1" x14ac:dyDescent="0.35">
      <c r="A11" s="309"/>
      <c r="B11" s="363"/>
      <c r="C11" s="101">
        <v>1317100</v>
      </c>
      <c r="D11" s="102">
        <v>87</v>
      </c>
      <c r="E11" s="109">
        <f>SUM(E55:I56)</f>
        <v>243600</v>
      </c>
      <c r="F11" s="109">
        <f>SUM(E53:I54)</f>
        <v>10</v>
      </c>
      <c r="G11" s="110">
        <f>C11+E11</f>
        <v>1560700</v>
      </c>
      <c r="H11" s="110">
        <f>D11+F11</f>
        <v>97</v>
      </c>
      <c r="I11" s="111">
        <f>G11/H11</f>
        <v>16089.690721649484</v>
      </c>
      <c r="J11" s="3"/>
    </row>
    <row r="12" spans="1:10" ht="30" customHeight="1" x14ac:dyDescent="0.3">
      <c r="A12" s="351" t="s">
        <v>14</v>
      </c>
      <c r="B12" s="20" t="s">
        <v>15</v>
      </c>
      <c r="C12" s="98" t="s">
        <v>16</v>
      </c>
      <c r="D12" s="99" t="s">
        <v>17</v>
      </c>
      <c r="E12" s="99" t="s">
        <v>18</v>
      </c>
      <c r="F12" s="354" t="s">
        <v>19</v>
      </c>
      <c r="G12" s="355"/>
      <c r="H12" s="98" t="s">
        <v>20</v>
      </c>
      <c r="I12" s="100" t="s">
        <v>21</v>
      </c>
      <c r="J12" s="3" t="s">
        <v>22</v>
      </c>
    </row>
    <row r="13" spans="1:10" ht="17.25" customHeight="1" x14ac:dyDescent="0.3">
      <c r="A13" s="352"/>
      <c r="B13" s="21" t="s">
        <v>23</v>
      </c>
      <c r="C13" s="22">
        <v>30</v>
      </c>
      <c r="D13" s="23">
        <v>4</v>
      </c>
      <c r="E13" s="22"/>
      <c r="F13" s="24"/>
      <c r="G13" s="25"/>
      <c r="H13" s="23"/>
      <c r="I13" s="26">
        <f>C13-D13-D14*1/2-E13-E14*1/2+F13-H13-H14*1/2-I14*1/2</f>
        <v>26</v>
      </c>
      <c r="J13" s="3"/>
    </row>
    <row r="14" spans="1:10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  <c r="J14" s="3"/>
    </row>
    <row r="15" spans="1:10" ht="17.25" customHeight="1" x14ac:dyDescent="0.3">
      <c r="A15" s="352"/>
      <c r="B15" s="27" t="s">
        <v>25</v>
      </c>
      <c r="C15" s="33">
        <v>26</v>
      </c>
      <c r="D15" s="29">
        <v>1</v>
      </c>
      <c r="E15" s="30"/>
      <c r="F15" s="34"/>
      <c r="G15" s="25"/>
      <c r="H15" s="29"/>
      <c r="I15" s="35">
        <f>C15-D15-D16*1/2-E15-E16*1/2+F15-H15-H16*1/2-I16*1/2</f>
        <v>25</v>
      </c>
      <c r="J15" s="3"/>
    </row>
    <row r="16" spans="1:10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  <c r="J16" s="3"/>
    </row>
    <row r="17" spans="1:10" ht="17.25" customHeight="1" x14ac:dyDescent="0.3">
      <c r="A17" s="352"/>
      <c r="B17" s="27" t="s">
        <v>27</v>
      </c>
      <c r="C17" s="33">
        <v>30</v>
      </c>
      <c r="D17" s="29"/>
      <c r="E17" s="30"/>
      <c r="F17" s="34"/>
      <c r="G17" s="118"/>
      <c r="H17" s="29"/>
      <c r="I17" s="37">
        <f>C17-D17-D18*1/2-E17-E18*1/2+F17-H17-H18*1/2-I18*1/2</f>
        <v>30</v>
      </c>
      <c r="J17" s="3"/>
    </row>
    <row r="18" spans="1:10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  <c r="J18" s="3"/>
    </row>
    <row r="19" spans="1:10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  <c r="J19" s="3"/>
    </row>
    <row r="20" spans="1:10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  <c r="J20" s="3"/>
    </row>
    <row r="21" spans="1:10" ht="17.25" customHeight="1" x14ac:dyDescent="0.3">
      <c r="A21" s="352"/>
      <c r="B21" s="39" t="s">
        <v>31</v>
      </c>
      <c r="C21" s="40">
        <v>99</v>
      </c>
      <c r="D21" s="41">
        <v>2</v>
      </c>
      <c r="E21" s="42">
        <v>3</v>
      </c>
      <c r="F21" s="43"/>
      <c r="G21" s="44"/>
      <c r="H21" s="43"/>
      <c r="I21" s="45">
        <f t="shared" ref="I21:I29" si="0">C21-D21-E21+F21-H21</f>
        <v>94</v>
      </c>
      <c r="J21" s="3"/>
    </row>
    <row r="22" spans="1:10" ht="17.25" customHeight="1" x14ac:dyDescent="0.3">
      <c r="A22" s="352"/>
      <c r="B22" s="21" t="s">
        <v>32</v>
      </c>
      <c r="C22" s="46">
        <v>45</v>
      </c>
      <c r="D22" s="23"/>
      <c r="E22" s="47">
        <v>2</v>
      </c>
      <c r="F22" s="48"/>
      <c r="G22" s="25"/>
      <c r="H22" s="48"/>
      <c r="I22" s="49">
        <f t="shared" si="0"/>
        <v>43</v>
      </c>
      <c r="J22" s="3"/>
    </row>
    <row r="23" spans="1:10" ht="17.25" customHeight="1" x14ac:dyDescent="0.3">
      <c r="A23" s="352"/>
      <c r="B23" s="27" t="s">
        <v>33</v>
      </c>
      <c r="C23" s="33">
        <v>190</v>
      </c>
      <c r="D23" s="29">
        <v>7</v>
      </c>
      <c r="E23" s="50">
        <v>5</v>
      </c>
      <c r="F23" s="51"/>
      <c r="G23" s="25"/>
      <c r="H23" s="51"/>
      <c r="I23" s="52">
        <f>C23-D23-D24-E23-E24+F23+F24-H23-H24-I24</f>
        <v>177</v>
      </c>
      <c r="J23" s="3"/>
    </row>
    <row r="24" spans="1:10" ht="17.25" customHeight="1" x14ac:dyDescent="0.3">
      <c r="A24" s="352"/>
      <c r="B24" s="19" t="s">
        <v>34</v>
      </c>
      <c r="C24" s="53"/>
      <c r="D24" s="41"/>
      <c r="E24" s="42">
        <v>1</v>
      </c>
      <c r="F24" s="43"/>
      <c r="G24" s="113"/>
      <c r="H24" s="43"/>
      <c r="I24" s="54"/>
      <c r="J24" s="3"/>
    </row>
    <row r="25" spans="1:10" ht="17.25" customHeight="1" x14ac:dyDescent="0.3">
      <c r="A25" s="352"/>
      <c r="B25" s="21" t="s">
        <v>35</v>
      </c>
      <c r="C25" s="46">
        <v>34</v>
      </c>
      <c r="D25" s="23">
        <v>2</v>
      </c>
      <c r="E25" s="47"/>
      <c r="F25" s="48"/>
      <c r="G25" s="112"/>
      <c r="H25" s="48"/>
      <c r="I25" s="49">
        <f t="shared" si="0"/>
        <v>32</v>
      </c>
      <c r="J25" s="3"/>
    </row>
    <row r="26" spans="1:10" ht="17.25" customHeight="1" x14ac:dyDescent="0.3">
      <c r="A26" s="352"/>
      <c r="B26" s="19" t="s">
        <v>36</v>
      </c>
      <c r="C26" s="55">
        <v>31</v>
      </c>
      <c r="D26" s="41"/>
      <c r="E26" s="42"/>
      <c r="F26" s="43"/>
      <c r="G26" s="113"/>
      <c r="H26" s="43"/>
      <c r="I26" s="45">
        <f t="shared" si="0"/>
        <v>31</v>
      </c>
      <c r="J26" s="3"/>
    </row>
    <row r="27" spans="1:10" ht="17.25" customHeight="1" x14ac:dyDescent="0.3">
      <c r="A27" s="352"/>
      <c r="B27" s="21" t="s">
        <v>37</v>
      </c>
      <c r="C27" s="46">
        <v>29</v>
      </c>
      <c r="D27" s="23"/>
      <c r="E27" s="47"/>
      <c r="F27" s="48"/>
      <c r="G27" s="112"/>
      <c r="H27" s="48"/>
      <c r="I27" s="49">
        <f t="shared" si="0"/>
        <v>29</v>
      </c>
      <c r="J27" s="3"/>
    </row>
    <row r="28" spans="1:10" ht="17.25" customHeight="1" x14ac:dyDescent="0.3">
      <c r="A28" s="352"/>
      <c r="B28" s="19" t="s">
        <v>38</v>
      </c>
      <c r="C28" s="55">
        <v>41</v>
      </c>
      <c r="D28" s="41">
        <v>7</v>
      </c>
      <c r="E28" s="42">
        <v>2</v>
      </c>
      <c r="F28" s="43"/>
      <c r="G28" s="113"/>
      <c r="H28" s="43"/>
      <c r="I28" s="45">
        <f t="shared" si="0"/>
        <v>32</v>
      </c>
      <c r="J28" s="3"/>
    </row>
    <row r="29" spans="1:10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  <c r="J29" s="3"/>
    </row>
    <row r="30" spans="1:10" ht="17.25" customHeight="1" x14ac:dyDescent="0.3">
      <c r="A30" s="352"/>
      <c r="B30" s="56" t="s">
        <v>40</v>
      </c>
      <c r="C30" s="57">
        <v>103</v>
      </c>
      <c r="D30" s="29">
        <v>13</v>
      </c>
      <c r="E30" s="50"/>
      <c r="F30" s="51"/>
      <c r="G30" s="25"/>
      <c r="H30" s="51"/>
      <c r="I30" s="52">
        <f>C30-D30-D31-E30-E31+F30+F31-H30-H31-I31</f>
        <v>90</v>
      </c>
      <c r="J30" s="3"/>
    </row>
    <row r="31" spans="1:10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  <c r="J31" s="3"/>
    </row>
    <row r="32" spans="1:10" ht="17.25" customHeight="1" x14ac:dyDescent="0.3">
      <c r="A32" s="352"/>
      <c r="B32" s="179" t="s">
        <v>115</v>
      </c>
      <c r="C32" s="184"/>
      <c r="D32" s="23"/>
      <c r="E32" s="47"/>
      <c r="F32" s="48"/>
      <c r="G32" s="116"/>
      <c r="H32" s="207"/>
      <c r="I32" s="187"/>
      <c r="J32" s="3"/>
    </row>
    <row r="33" spans="1:10" ht="17.25" customHeight="1" x14ac:dyDescent="0.3">
      <c r="A33" s="352"/>
      <c r="B33" s="179" t="s">
        <v>117</v>
      </c>
      <c r="C33" s="185"/>
      <c r="D33" s="29"/>
      <c r="E33" s="50"/>
      <c r="F33" s="51"/>
      <c r="G33" s="25"/>
      <c r="H33" s="206"/>
      <c r="I33" s="188"/>
      <c r="J33" s="3"/>
    </row>
    <row r="34" spans="1:10" ht="17.25" customHeight="1" x14ac:dyDescent="0.3">
      <c r="A34" s="352"/>
      <c r="B34" s="179" t="s">
        <v>119</v>
      </c>
      <c r="C34" s="186"/>
      <c r="D34" s="60"/>
      <c r="E34" s="61"/>
      <c r="F34" s="62"/>
      <c r="G34" s="113"/>
      <c r="H34" s="205"/>
      <c r="I34" s="189"/>
      <c r="J34" s="3"/>
    </row>
    <row r="35" spans="1:10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  <c r="J35" s="3"/>
    </row>
    <row r="36" spans="1:10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  <c r="J36" s="3"/>
    </row>
    <row r="37" spans="1:10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  <c r="J37" s="3"/>
    </row>
    <row r="38" spans="1:10" ht="17.25" customHeight="1" x14ac:dyDescent="0.3">
      <c r="A38" s="352"/>
      <c r="B38" s="178" t="s">
        <v>129</v>
      </c>
      <c r="C38" s="185"/>
      <c r="D38" s="29"/>
      <c r="E38" s="50"/>
      <c r="F38" s="51"/>
      <c r="G38" s="25"/>
      <c r="H38" s="51"/>
      <c r="I38" s="195"/>
      <c r="J38" s="3"/>
    </row>
    <row r="39" spans="1:10" ht="17.25" customHeight="1" x14ac:dyDescent="0.3">
      <c r="A39" s="352"/>
      <c r="B39" s="178" t="s">
        <v>107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  <c r="J39" s="3"/>
    </row>
    <row r="40" spans="1:10" ht="17.25" customHeight="1" x14ac:dyDescent="0.3">
      <c r="A40" s="352"/>
      <c r="B40" s="178" t="s">
        <v>131</v>
      </c>
      <c r="C40" s="185"/>
      <c r="D40" s="29"/>
      <c r="E40" s="50"/>
      <c r="F40" s="51"/>
      <c r="G40" s="25"/>
      <c r="H40" s="51"/>
      <c r="I40" s="195"/>
      <c r="J40" s="3"/>
    </row>
    <row r="41" spans="1:10" ht="17.25" customHeight="1" x14ac:dyDescent="0.3">
      <c r="A41" s="352"/>
      <c r="B41" s="178" t="s">
        <v>109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  <c r="J41" s="3"/>
    </row>
    <row r="42" spans="1:10" ht="17.25" customHeight="1" x14ac:dyDescent="0.3">
      <c r="A42" s="352"/>
      <c r="B42" s="178" t="s">
        <v>133</v>
      </c>
      <c r="C42" s="185"/>
      <c r="D42" s="29"/>
      <c r="E42" s="50"/>
      <c r="F42" s="51"/>
      <c r="G42" s="25"/>
      <c r="H42" s="51"/>
      <c r="I42" s="195"/>
      <c r="J42" s="3"/>
    </row>
    <row r="43" spans="1:10" ht="17.25" customHeight="1" x14ac:dyDescent="0.3">
      <c r="A43" s="352"/>
      <c r="B43" s="178" t="s">
        <v>111</v>
      </c>
      <c r="C43" s="185"/>
      <c r="D43" s="29"/>
      <c r="E43" s="50"/>
      <c r="F43" s="51"/>
      <c r="G43" s="25"/>
      <c r="H43" s="206"/>
      <c r="I43" s="195"/>
      <c r="J43" s="3"/>
    </row>
    <row r="44" spans="1:10" ht="17.25" customHeight="1" x14ac:dyDescent="0.3">
      <c r="A44" s="352"/>
      <c r="B44" s="178" t="s">
        <v>123</v>
      </c>
      <c r="C44" s="185"/>
      <c r="D44" s="29"/>
      <c r="E44" s="50"/>
      <c r="F44" s="51"/>
      <c r="G44" s="25"/>
      <c r="H44" s="206"/>
      <c r="I44" s="195"/>
      <c r="J44" s="3"/>
    </row>
    <row r="45" spans="1:10" ht="17.25" customHeight="1" x14ac:dyDescent="0.3">
      <c r="A45" s="352"/>
      <c r="B45" s="164" t="s">
        <v>113</v>
      </c>
      <c r="C45" s="186"/>
      <c r="D45" s="60"/>
      <c r="E45" s="61"/>
      <c r="F45" s="62"/>
      <c r="G45" s="113"/>
      <c r="H45" s="205"/>
      <c r="I45" s="204"/>
      <c r="J45" s="3"/>
    </row>
    <row r="46" spans="1:10" ht="17.25" customHeight="1" x14ac:dyDescent="0.3">
      <c r="A46" s="352"/>
      <c r="B46" s="120" t="s">
        <v>89</v>
      </c>
      <c r="C46" s="154">
        <v>5</v>
      </c>
      <c r="D46" s="23"/>
      <c r="E46" s="47"/>
      <c r="F46" s="48"/>
      <c r="G46" s="116"/>
      <c r="H46" s="48"/>
      <c r="I46" s="49">
        <f t="shared" ref="I46:I48" si="2">C46-D46-E46+F46-H46</f>
        <v>5</v>
      </c>
      <c r="J46" s="3"/>
    </row>
    <row r="47" spans="1:10" ht="17.25" customHeight="1" x14ac:dyDescent="0.3">
      <c r="A47" s="352"/>
      <c r="B47" s="120" t="s">
        <v>88</v>
      </c>
      <c r="C47" s="121">
        <v>5</v>
      </c>
      <c r="D47" s="122">
        <v>1</v>
      </c>
      <c r="E47" s="123"/>
      <c r="F47" s="124"/>
      <c r="G47" s="112"/>
      <c r="H47" s="124"/>
      <c r="I47" s="52">
        <f t="shared" si="2"/>
        <v>4</v>
      </c>
      <c r="J47" s="3"/>
    </row>
    <row r="48" spans="1:10" ht="17.25" customHeight="1" x14ac:dyDescent="0.3">
      <c r="A48" s="352"/>
      <c r="B48" s="56" t="s">
        <v>121</v>
      </c>
      <c r="C48" s="117"/>
      <c r="D48" s="29"/>
      <c r="E48" s="50"/>
      <c r="F48" s="51"/>
      <c r="G48" s="25"/>
      <c r="H48" s="51"/>
      <c r="I48" s="52">
        <f t="shared" si="2"/>
        <v>0</v>
      </c>
      <c r="J48" s="3"/>
    </row>
    <row r="49" spans="1:11" ht="17.25" customHeight="1" x14ac:dyDescent="0.3">
      <c r="A49" s="352"/>
      <c r="B49" s="179" t="s">
        <v>125</v>
      </c>
      <c r="C49" s="192"/>
      <c r="D49" s="180"/>
      <c r="E49" s="181"/>
      <c r="F49" s="182"/>
      <c r="G49" s="183"/>
      <c r="H49" s="208"/>
      <c r="I49" s="195"/>
      <c r="J49" s="3"/>
    </row>
    <row r="50" spans="1:11" ht="17.25" customHeight="1" x14ac:dyDescent="0.3">
      <c r="A50" s="352"/>
      <c r="B50" s="58" t="s">
        <v>127</v>
      </c>
      <c r="C50" s="59"/>
      <c r="D50" s="60"/>
      <c r="E50" s="61"/>
      <c r="F50" s="62"/>
      <c r="G50" s="113"/>
      <c r="H50" s="205"/>
      <c r="I50" s="63"/>
      <c r="J50" s="3"/>
    </row>
    <row r="51" spans="1:11" ht="17.25" customHeight="1" thickBot="1" x14ac:dyDescent="0.35">
      <c r="A51" s="353"/>
      <c r="B51" s="64" t="s">
        <v>42</v>
      </c>
      <c r="C51" s="256">
        <f>SUM(C13:C50)</f>
        <v>709</v>
      </c>
      <c r="D51" s="257">
        <f>SUM(D13:D46)</f>
        <v>36</v>
      </c>
      <c r="E51" s="258">
        <f>SUM(E13:E49)</f>
        <v>13</v>
      </c>
      <c r="F51" s="258">
        <f>SUM(F13:F46)</f>
        <v>0</v>
      </c>
      <c r="G51" s="259" t="s">
        <v>22</v>
      </c>
      <c r="H51" s="260">
        <f>SUM(H13:H46)</f>
        <v>0</v>
      </c>
      <c r="I51" s="261">
        <f>SUM(I13:I46)</f>
        <v>655</v>
      </c>
      <c r="J51" s="3"/>
    </row>
    <row r="52" spans="1:11" s="76" customFormat="1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91</v>
      </c>
      <c r="G52" s="74" t="s">
        <v>44</v>
      </c>
      <c r="H52" s="74" t="s">
        <v>103</v>
      </c>
      <c r="I52" s="75" t="s">
        <v>104</v>
      </c>
      <c r="J52" s="3"/>
    </row>
    <row r="53" spans="1:11" s="76" customFormat="1" ht="17.25" customHeight="1" x14ac:dyDescent="0.3">
      <c r="A53" s="303"/>
      <c r="B53" s="304"/>
      <c r="C53" s="345" t="s">
        <v>74</v>
      </c>
      <c r="D53" s="347"/>
      <c r="E53" s="341">
        <v>8</v>
      </c>
      <c r="F53" s="341">
        <v>2</v>
      </c>
      <c r="G53" s="341"/>
      <c r="H53" s="341"/>
      <c r="I53" s="343"/>
      <c r="J53" s="173"/>
      <c r="K53" s="2"/>
    </row>
    <row r="54" spans="1:11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  <c r="J54" s="3"/>
      <c r="K54" s="2"/>
    </row>
    <row r="55" spans="1:11" s="76" customFormat="1" ht="17.25" customHeight="1" x14ac:dyDescent="0.3">
      <c r="A55" s="303"/>
      <c r="B55" s="304"/>
      <c r="C55" s="345" t="s">
        <v>75</v>
      </c>
      <c r="D55" s="347"/>
      <c r="E55" s="349">
        <v>167200</v>
      </c>
      <c r="F55" s="349">
        <v>41600</v>
      </c>
      <c r="G55" s="349">
        <v>34800</v>
      </c>
      <c r="H55" s="341"/>
      <c r="I55" s="335"/>
      <c r="J55" s="3"/>
      <c r="K55" s="2"/>
    </row>
    <row r="56" spans="1:11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  <c r="J56" s="3"/>
      <c r="K56" s="2"/>
    </row>
    <row r="57" spans="1:11" s="76" customFormat="1" ht="17.25" customHeight="1" x14ac:dyDescent="0.3">
      <c r="A57" s="301" t="s">
        <v>45</v>
      </c>
      <c r="B57" s="302"/>
      <c r="C57" s="337" t="s">
        <v>171</v>
      </c>
      <c r="D57" s="326"/>
      <c r="E57" s="326"/>
      <c r="F57" s="326"/>
      <c r="G57" s="326"/>
      <c r="H57" s="326"/>
      <c r="I57" s="327"/>
      <c r="J57" s="3"/>
      <c r="K57" s="2"/>
    </row>
    <row r="58" spans="1:11" s="76" customFormat="1" ht="17.25" customHeight="1" x14ac:dyDescent="0.3">
      <c r="A58" s="303"/>
      <c r="B58" s="304"/>
      <c r="C58" s="321" t="s">
        <v>179</v>
      </c>
      <c r="D58" s="321"/>
      <c r="E58" s="321"/>
      <c r="F58" s="321"/>
      <c r="G58" s="321"/>
      <c r="H58" s="321"/>
      <c r="I58" s="322"/>
      <c r="J58" s="77"/>
      <c r="K58" s="2"/>
    </row>
    <row r="59" spans="1:11" s="76" customFormat="1" ht="17.25" customHeight="1" x14ac:dyDescent="0.3">
      <c r="A59" s="303"/>
      <c r="B59" s="304"/>
      <c r="C59" s="320" t="s">
        <v>180</v>
      </c>
      <c r="D59" s="321"/>
      <c r="E59" s="321"/>
      <c r="F59" s="321"/>
      <c r="G59" s="321"/>
      <c r="H59" s="321"/>
      <c r="I59" s="322"/>
      <c r="J59" s="3"/>
      <c r="K59" s="2"/>
    </row>
    <row r="60" spans="1:11" s="76" customFormat="1" ht="17.25" customHeight="1" thickBot="1" x14ac:dyDescent="0.35">
      <c r="A60" s="305"/>
      <c r="B60" s="306"/>
      <c r="C60" s="324"/>
      <c r="D60" s="324"/>
      <c r="E60" s="324"/>
      <c r="F60" s="324"/>
      <c r="G60" s="324"/>
      <c r="H60" s="324"/>
      <c r="I60" s="325"/>
      <c r="J60" s="3"/>
      <c r="K60" s="2"/>
    </row>
    <row r="61" spans="1:11" s="76" customFormat="1" ht="17.25" customHeight="1" x14ac:dyDescent="0.3">
      <c r="A61" s="301" t="s">
        <v>73</v>
      </c>
      <c r="B61" s="302"/>
      <c r="C61" s="317" t="s">
        <v>172</v>
      </c>
      <c r="D61" s="318"/>
      <c r="E61" s="318"/>
      <c r="F61" s="318"/>
      <c r="G61" s="318"/>
      <c r="H61" s="318"/>
      <c r="I61" s="319"/>
      <c r="J61" s="3"/>
      <c r="K61" s="2"/>
    </row>
    <row r="62" spans="1:11" s="76" customFormat="1" ht="17.25" customHeight="1" x14ac:dyDescent="0.3">
      <c r="A62" s="303"/>
      <c r="B62" s="304"/>
      <c r="C62" s="320" t="s">
        <v>185</v>
      </c>
      <c r="D62" s="321"/>
      <c r="E62" s="321"/>
      <c r="F62" s="321"/>
      <c r="G62" s="321"/>
      <c r="H62" s="321"/>
      <c r="I62" s="322"/>
      <c r="J62" s="3"/>
      <c r="K62" s="2"/>
    </row>
    <row r="63" spans="1:11" s="76" customFormat="1" ht="17.25" customHeight="1" x14ac:dyDescent="0.3">
      <c r="A63" s="303"/>
      <c r="B63" s="304"/>
      <c r="C63" s="338" t="s">
        <v>188</v>
      </c>
      <c r="D63" s="339"/>
      <c r="E63" s="339"/>
      <c r="F63" s="339"/>
      <c r="G63" s="339"/>
      <c r="H63" s="339"/>
      <c r="I63" s="340"/>
      <c r="J63" s="3"/>
      <c r="K63" s="2"/>
    </row>
    <row r="64" spans="1:11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  <c r="J64" s="3"/>
      <c r="K64" s="2"/>
    </row>
    <row r="65" spans="1:11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  <c r="J65" s="3"/>
      <c r="K65" s="2"/>
    </row>
    <row r="66" spans="1:11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  <c r="J66" s="3"/>
      <c r="K66" s="2"/>
    </row>
    <row r="67" spans="1:11" s="76" customFormat="1" ht="17.25" customHeight="1" x14ac:dyDescent="0.3">
      <c r="A67" s="329"/>
      <c r="B67" s="333" t="s">
        <v>48</v>
      </c>
      <c r="C67" s="321" t="s">
        <v>173</v>
      </c>
      <c r="D67" s="321"/>
      <c r="E67" s="321"/>
      <c r="F67" s="321"/>
      <c r="G67" s="321"/>
      <c r="H67" s="321"/>
      <c r="I67" s="322"/>
      <c r="J67" s="3"/>
      <c r="K67" s="2"/>
    </row>
    <row r="68" spans="1:11" s="76" customFormat="1" ht="17.25" customHeight="1" x14ac:dyDescent="0.3">
      <c r="A68" s="329"/>
      <c r="B68" s="332"/>
      <c r="C68" s="326" t="s">
        <v>183</v>
      </c>
      <c r="D68" s="326"/>
      <c r="E68" s="326"/>
      <c r="F68" s="326"/>
      <c r="G68" s="326"/>
      <c r="H68" s="326"/>
      <c r="I68" s="327"/>
      <c r="J68" s="3"/>
      <c r="K68" s="2"/>
    </row>
    <row r="69" spans="1:11" s="76" customFormat="1" ht="17.25" customHeight="1" thickBot="1" x14ac:dyDescent="0.35">
      <c r="A69" s="330"/>
      <c r="B69" s="334"/>
      <c r="C69" s="323" t="s">
        <v>184</v>
      </c>
      <c r="D69" s="324"/>
      <c r="E69" s="324"/>
      <c r="F69" s="324"/>
      <c r="G69" s="324"/>
      <c r="H69" s="324"/>
      <c r="I69" s="325"/>
      <c r="J69" s="3"/>
      <c r="K69" s="2"/>
    </row>
    <row r="70" spans="1:11" s="76" customFormat="1" ht="17.25" customHeight="1" x14ac:dyDescent="0.3">
      <c r="A70" s="301" t="s">
        <v>49</v>
      </c>
      <c r="B70" s="302"/>
      <c r="C70" s="326" t="s">
        <v>187</v>
      </c>
      <c r="D70" s="326"/>
      <c r="E70" s="326"/>
      <c r="F70" s="326"/>
      <c r="G70" s="326"/>
      <c r="H70" s="326"/>
      <c r="I70" s="327"/>
      <c r="J70" s="3"/>
      <c r="K70" s="2"/>
    </row>
    <row r="71" spans="1:11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  <c r="J71" s="3"/>
      <c r="K71" s="2"/>
    </row>
    <row r="72" spans="1:11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  <c r="J72" s="3"/>
      <c r="K72" s="2"/>
    </row>
    <row r="73" spans="1:11" s="76" customFormat="1" ht="17.25" customHeight="1" x14ac:dyDescent="0.3">
      <c r="A73" s="301" t="s">
        <v>50</v>
      </c>
      <c r="B73" s="302"/>
      <c r="C73" s="317" t="s">
        <v>181</v>
      </c>
      <c r="D73" s="318"/>
      <c r="E73" s="318"/>
      <c r="F73" s="318"/>
      <c r="G73" s="318"/>
      <c r="H73" s="318"/>
      <c r="I73" s="319"/>
      <c r="J73" s="3"/>
      <c r="K73" s="2"/>
    </row>
    <row r="74" spans="1:11" s="76" customFormat="1" ht="17.25" customHeight="1" thickBot="1" x14ac:dyDescent="0.35">
      <c r="A74" s="305"/>
      <c r="B74" s="306"/>
      <c r="C74" s="320" t="s">
        <v>182</v>
      </c>
      <c r="D74" s="321"/>
      <c r="E74" s="321"/>
      <c r="F74" s="321"/>
      <c r="G74" s="321"/>
      <c r="H74" s="321"/>
      <c r="I74" s="322"/>
      <c r="J74" s="3"/>
      <c r="K74" s="2"/>
    </row>
    <row r="75" spans="1:11" s="76" customFormat="1" ht="17.25" customHeight="1" x14ac:dyDescent="0.3">
      <c r="A75" s="301" t="s">
        <v>51</v>
      </c>
      <c r="B75" s="302"/>
      <c r="C75" s="78" t="s">
        <v>94</v>
      </c>
      <c r="D75" s="79" t="s">
        <v>95</v>
      </c>
      <c r="E75" s="79" t="s">
        <v>96</v>
      </c>
      <c r="F75" s="79" t="s">
        <v>97</v>
      </c>
      <c r="G75" s="79" t="s">
        <v>98</v>
      </c>
      <c r="H75" s="79" t="s">
        <v>99</v>
      </c>
      <c r="I75" s="80" t="s">
        <v>100</v>
      </c>
      <c r="J75" s="3"/>
      <c r="K75" s="2"/>
    </row>
    <row r="76" spans="1:11" s="76" customFormat="1" ht="17.25" customHeight="1" x14ac:dyDescent="0.3">
      <c r="A76" s="81"/>
      <c r="B76" s="82" t="s">
        <v>59</v>
      </c>
      <c r="C76" s="83" t="s">
        <v>174</v>
      </c>
      <c r="D76" s="136"/>
      <c r="E76" s="136"/>
      <c r="F76" s="136"/>
      <c r="G76" s="136"/>
      <c r="H76" s="136"/>
      <c r="I76" s="137"/>
      <c r="J76" s="84"/>
      <c r="K76" s="2"/>
    </row>
    <row r="77" spans="1:11" s="76" customFormat="1" ht="17.25" customHeight="1" thickBot="1" x14ac:dyDescent="0.35">
      <c r="A77" s="85"/>
      <c r="B77" s="86" t="s">
        <v>60</v>
      </c>
      <c r="C77" s="87" t="s">
        <v>175</v>
      </c>
      <c r="D77" s="88"/>
      <c r="E77" s="88"/>
      <c r="F77" s="88"/>
      <c r="G77" s="88"/>
      <c r="H77" s="88"/>
      <c r="I77" s="89"/>
      <c r="J77" s="84"/>
      <c r="K77" s="2"/>
    </row>
    <row r="78" spans="1:11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101</v>
      </c>
      <c r="H78" s="314"/>
      <c r="I78" s="90" t="s">
        <v>65</v>
      </c>
      <c r="J78" s="91"/>
    </row>
    <row r="79" spans="1:11" s="76" customFormat="1" ht="17.25" customHeight="1" thickBot="1" x14ac:dyDescent="0.35">
      <c r="A79" s="299"/>
      <c r="B79" s="300"/>
      <c r="C79" s="92">
        <v>0.25</v>
      </c>
      <c r="D79" s="93" t="s">
        <v>176</v>
      </c>
      <c r="E79" s="94">
        <v>0.77083333333333337</v>
      </c>
      <c r="F79" s="93" t="s">
        <v>177</v>
      </c>
      <c r="G79" s="315" t="s">
        <v>178</v>
      </c>
      <c r="H79" s="316"/>
      <c r="I79" s="95" t="s">
        <v>178</v>
      </c>
      <c r="J79" s="96"/>
    </row>
    <row r="80" spans="1:11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  <c r="J80" s="2"/>
    </row>
    <row r="81" spans="11:11" ht="17.25" customHeight="1" x14ac:dyDescent="0.3">
      <c r="K81" s="76"/>
    </row>
    <row r="82" spans="11:11" ht="17.25" customHeight="1" x14ac:dyDescent="0.3">
      <c r="K82" s="130"/>
    </row>
    <row r="83" spans="11:11" ht="17.25" customHeight="1" x14ac:dyDescent="0.3">
      <c r="K83" s="130"/>
    </row>
    <row r="84" spans="11:11" ht="17.25" customHeight="1" x14ac:dyDescent="0.3"/>
    <row r="85" spans="11:11" ht="17.25" customHeight="1" x14ac:dyDescent="0.3"/>
    <row r="86" spans="11:11" ht="17.25" customHeight="1" x14ac:dyDescent="0.3">
      <c r="K86" s="129"/>
    </row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B9:B11"/>
    <mergeCell ref="C9:D9"/>
    <mergeCell ref="E9:F9"/>
    <mergeCell ref="G9:H9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I53:I54"/>
    <mergeCell ref="C55:C56"/>
    <mergeCell ref="D55:D56"/>
    <mergeCell ref="E55:E56"/>
    <mergeCell ref="F55:F56"/>
    <mergeCell ref="G55:G56"/>
    <mergeCell ref="H55:H56"/>
    <mergeCell ref="C60:I60"/>
    <mergeCell ref="C61:I61"/>
    <mergeCell ref="C64:I64"/>
    <mergeCell ref="I55:I56"/>
    <mergeCell ref="C57:I57"/>
    <mergeCell ref="C58:I58"/>
    <mergeCell ref="C59:I59"/>
    <mergeCell ref="C62:I62"/>
    <mergeCell ref="C63:I63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H80:I80"/>
    <mergeCell ref="I9:I10"/>
    <mergeCell ref="A78:B79"/>
    <mergeCell ref="A70:B72"/>
    <mergeCell ref="A61:B64"/>
    <mergeCell ref="A57:B60"/>
    <mergeCell ref="A9:A11"/>
    <mergeCell ref="C78:D78"/>
    <mergeCell ref="E78:F78"/>
    <mergeCell ref="G78:H78"/>
    <mergeCell ref="G79:H79"/>
    <mergeCell ref="A73:B74"/>
    <mergeCell ref="C73:I73"/>
    <mergeCell ref="C74:I74"/>
    <mergeCell ref="A75:B75"/>
    <mergeCell ref="C69:I6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colBreaks count="1" manualBreakCount="1">
    <brk id="8" max="5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13" zoomScale="90" zoomScaleNormal="90" workbookViewId="0">
      <selection activeCell="M17" sqref="M1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189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190</v>
      </c>
      <c r="D3" s="5" t="s">
        <v>4</v>
      </c>
      <c r="E3" s="373"/>
      <c r="F3" s="380" t="s">
        <v>191</v>
      </c>
      <c r="G3" s="381"/>
      <c r="H3" s="382">
        <f>G11+'1일'!H3:I3</f>
        <v>3085300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194</v>
      </c>
      <c r="F6" s="15" t="s">
        <v>193</v>
      </c>
      <c r="G6" s="16" t="s">
        <v>192</v>
      </c>
      <c r="H6" s="17">
        <v>0.77</v>
      </c>
      <c r="I6" s="18">
        <v>0.26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1238700</v>
      </c>
      <c r="D11" s="102">
        <v>79</v>
      </c>
      <c r="E11" s="109">
        <f>SUM(E55:I56)</f>
        <v>285900</v>
      </c>
      <c r="F11" s="109">
        <f>SUM(E53:I54)</f>
        <v>14</v>
      </c>
      <c r="G11" s="110">
        <f>C11+E11</f>
        <v>1524600</v>
      </c>
      <c r="H11" s="110">
        <f>D11+F11</f>
        <v>93</v>
      </c>
      <c r="I11" s="111">
        <f>G11/H11</f>
        <v>16393.548387096773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30</v>
      </c>
      <c r="D13" s="23"/>
      <c r="E13" s="22"/>
      <c r="F13" s="24"/>
      <c r="G13" s="25"/>
      <c r="H13" s="23">
        <v>1</v>
      </c>
      <c r="I13" s="26">
        <f>C13-D13-D14*1/2-E13-E14*1/2+F13-H13-H14*1/2-I14*1/2</f>
        <v>29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23</v>
      </c>
      <c r="D15" s="29"/>
      <c r="E15" s="30"/>
      <c r="F15" s="34"/>
      <c r="G15" s="25"/>
      <c r="H15" s="29">
        <v>4</v>
      </c>
      <c r="I15" s="35">
        <f>C15-D15-D16*1/2-E15-E16*1/2+F15-H15-H16*1/2-I16*1/2</f>
        <v>19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18</v>
      </c>
      <c r="D17" s="29"/>
      <c r="E17" s="30"/>
      <c r="F17" s="34"/>
      <c r="G17" s="118"/>
      <c r="H17" s="29"/>
      <c r="I17" s="37">
        <f>C17-D17-D18*1/2-E17-E18*1/2+F17-H17-H18*1/2-I18*1/2</f>
        <v>17.5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>
        <v>1</v>
      </c>
      <c r="I19" s="35">
        <f>C19-D19-D20*1/2-E19-E20*1/2+F19-H19-H20*1/2-I20*1/2</f>
        <v>15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115</v>
      </c>
      <c r="D21" s="41"/>
      <c r="E21" s="42"/>
      <c r="F21" s="43"/>
      <c r="G21" s="44"/>
      <c r="H21" s="43">
        <v>28</v>
      </c>
      <c r="I21" s="45">
        <f t="shared" ref="I21:I48" si="0">C21-D21-E21+F21-H21</f>
        <v>87</v>
      </c>
    </row>
    <row r="22" spans="1:9" ht="17.25" customHeight="1" x14ac:dyDescent="0.3">
      <c r="A22" s="352"/>
      <c r="B22" s="21" t="s">
        <v>32</v>
      </c>
      <c r="C22" s="46">
        <v>55</v>
      </c>
      <c r="D22" s="23"/>
      <c r="E22" s="47">
        <v>3</v>
      </c>
      <c r="F22" s="48"/>
      <c r="G22" s="25"/>
      <c r="H22" s="48">
        <v>24</v>
      </c>
      <c r="I22" s="49">
        <f t="shared" si="0"/>
        <v>28</v>
      </c>
    </row>
    <row r="23" spans="1:9" ht="17.25" customHeight="1" x14ac:dyDescent="0.3">
      <c r="A23" s="352"/>
      <c r="B23" s="27" t="s">
        <v>33</v>
      </c>
      <c r="C23" s="33">
        <v>192</v>
      </c>
      <c r="D23" s="29"/>
      <c r="E23" s="50">
        <v>1</v>
      </c>
      <c r="F23" s="51"/>
      <c r="G23" s="25"/>
      <c r="H23" s="51">
        <v>11</v>
      </c>
      <c r="I23" s="52">
        <f>C23-D23-D24-E23-E24+F23+F24-H23-H24-I24</f>
        <v>153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2</v>
      </c>
      <c r="F24" s="43"/>
      <c r="G24" s="113"/>
      <c r="H24" s="43">
        <v>25</v>
      </c>
      <c r="I24" s="54"/>
    </row>
    <row r="25" spans="1:9" ht="17.25" customHeight="1" x14ac:dyDescent="0.3">
      <c r="A25" s="352"/>
      <c r="B25" s="21" t="s">
        <v>35</v>
      </c>
      <c r="C25" s="46">
        <v>34</v>
      </c>
      <c r="D25" s="23"/>
      <c r="E25" s="47">
        <v>2</v>
      </c>
      <c r="F25" s="48"/>
      <c r="G25" s="112"/>
      <c r="H25" s="48">
        <v>9</v>
      </c>
      <c r="I25" s="49">
        <f t="shared" si="0"/>
        <v>23</v>
      </c>
    </row>
    <row r="26" spans="1:9" ht="17.25" customHeight="1" x14ac:dyDescent="0.3">
      <c r="A26" s="352"/>
      <c r="B26" s="160" t="s">
        <v>36</v>
      </c>
      <c r="C26" s="55">
        <v>31</v>
      </c>
      <c r="D26" s="41"/>
      <c r="E26" s="42"/>
      <c r="F26" s="43"/>
      <c r="G26" s="113"/>
      <c r="H26" s="43"/>
      <c r="I26" s="45">
        <f t="shared" si="0"/>
        <v>31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2"/>
      <c r="B28" s="160" t="s">
        <v>38</v>
      </c>
      <c r="C28" s="55">
        <v>40</v>
      </c>
      <c r="D28" s="41"/>
      <c r="E28" s="42">
        <v>2</v>
      </c>
      <c r="F28" s="43"/>
      <c r="G28" s="113"/>
      <c r="H28" s="43">
        <v>5</v>
      </c>
      <c r="I28" s="45">
        <f t="shared" si="0"/>
        <v>33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103</v>
      </c>
      <c r="D30" s="29"/>
      <c r="E30" s="50"/>
      <c r="F30" s="51"/>
      <c r="G30" s="25"/>
      <c r="H30" s="51">
        <v>12</v>
      </c>
      <c r="I30" s="52">
        <f>C30-D30-D31-E30-E31+F30+F31-H30-H31-I31</f>
        <v>91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>
        <v>2</v>
      </c>
      <c r="I36" s="52">
        <f>C36-D36-E36+F36-H36</f>
        <v>18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8</v>
      </c>
      <c r="D46" s="23"/>
      <c r="E46" s="47"/>
      <c r="F46" s="48"/>
      <c r="G46" s="116"/>
      <c r="H46" s="48">
        <v>1</v>
      </c>
      <c r="I46" s="49">
        <f t="shared" si="0"/>
        <v>7</v>
      </c>
    </row>
    <row r="47" spans="1:9" ht="17.25" customHeight="1" x14ac:dyDescent="0.3">
      <c r="A47" s="352"/>
      <c r="B47" s="120" t="s">
        <v>88</v>
      </c>
      <c r="C47" s="121">
        <v>6</v>
      </c>
      <c r="D47" s="122"/>
      <c r="E47" s="123"/>
      <c r="F47" s="124"/>
      <c r="G47" s="112"/>
      <c r="H47" s="124">
        <v>2</v>
      </c>
      <c r="I47" s="52">
        <f t="shared" si="0"/>
        <v>4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729</v>
      </c>
      <c r="D51" s="66">
        <f>SUM(D13:D46)</f>
        <v>0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123</v>
      </c>
      <c r="I51" s="70">
        <f>SUM(I13:I46)</f>
        <v>589.5</v>
      </c>
    </row>
    <row r="52" spans="1:10" s="76" customFormat="1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6</v>
      </c>
      <c r="G53" s="341">
        <v>3</v>
      </c>
      <c r="H53" s="341"/>
      <c r="I53" s="343">
        <v>1</v>
      </c>
      <c r="J53" s="175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82300</v>
      </c>
      <c r="F55" s="349">
        <v>138000</v>
      </c>
      <c r="G55" s="349">
        <v>27400</v>
      </c>
      <c r="H55" s="341"/>
      <c r="I55" s="335">
        <v>38200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206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209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210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211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201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202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20" t="s">
        <v>208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203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204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207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205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196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195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197</v>
      </c>
      <c r="E79" s="94">
        <v>0.77083333333333337</v>
      </c>
      <c r="F79" s="93" t="s">
        <v>198</v>
      </c>
      <c r="G79" s="315" t="s">
        <v>199</v>
      </c>
      <c r="H79" s="316"/>
      <c r="I79" s="95" t="s">
        <v>200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H80:I80"/>
    <mergeCell ref="A75:B75"/>
    <mergeCell ref="A78:B79"/>
    <mergeCell ref="C78:D78"/>
    <mergeCell ref="E78:F78"/>
    <mergeCell ref="G78:H78"/>
    <mergeCell ref="G79:H79"/>
    <mergeCell ref="A61:B64"/>
    <mergeCell ref="C61:I61"/>
    <mergeCell ref="A73:B74"/>
    <mergeCell ref="C73:I73"/>
    <mergeCell ref="C74:I74"/>
    <mergeCell ref="A70:B72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C69:I69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C62:I62"/>
    <mergeCell ref="C63:I63"/>
    <mergeCell ref="A57:B60"/>
    <mergeCell ref="C57:I57"/>
    <mergeCell ref="C58:I58"/>
    <mergeCell ref="C59:I59"/>
    <mergeCell ref="C60:I60"/>
    <mergeCell ref="I9:I10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70" zoomScale="90" zoomScaleNormal="90" workbookViewId="0">
      <selection activeCell="G11" sqref="G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212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213</v>
      </c>
      <c r="D3" s="5" t="s">
        <v>4</v>
      </c>
      <c r="E3" s="373"/>
      <c r="F3" s="380" t="s">
        <v>214</v>
      </c>
      <c r="G3" s="381"/>
      <c r="H3" s="382">
        <f>G11+'2일'!H3:I3</f>
        <v>5534100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215</v>
      </c>
      <c r="F6" s="15" t="s">
        <v>216</v>
      </c>
      <c r="G6" s="16" t="s">
        <v>217</v>
      </c>
      <c r="H6" s="17">
        <v>0.48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2004500</v>
      </c>
      <c r="D11" s="102">
        <v>155</v>
      </c>
      <c r="E11" s="109">
        <f>SUM(E55:I56)</f>
        <v>444300</v>
      </c>
      <c r="F11" s="109">
        <f>SUM(E53:I54)</f>
        <v>9</v>
      </c>
      <c r="G11" s="110">
        <f>C11+E11</f>
        <v>2448800</v>
      </c>
      <c r="H11" s="110">
        <f>D11+F11</f>
        <v>164</v>
      </c>
      <c r="I11" s="111">
        <f>G11/H11</f>
        <v>14931.707317073171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16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15</v>
      </c>
      <c r="D15" s="29"/>
      <c r="E15" s="30"/>
      <c r="F15" s="34"/>
      <c r="G15" s="25"/>
      <c r="H15" s="29"/>
      <c r="I15" s="35">
        <f>C15-D15-D16*1/2-E15-E16*1/2+F15-H15-H16*1/2-I16*1/2</f>
        <v>15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35</v>
      </c>
      <c r="D17" s="29"/>
      <c r="E17" s="30"/>
      <c r="F17" s="34"/>
      <c r="G17" s="118"/>
      <c r="H17" s="29"/>
      <c r="I17" s="37">
        <f>C17-D17-D18*1/2-E17-E18*1/2+F17-H17-H18*1/2-I18*1/2</f>
        <v>34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>
        <v>1</v>
      </c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91</v>
      </c>
      <c r="D21" s="41"/>
      <c r="E21" s="42"/>
      <c r="F21" s="43"/>
      <c r="G21" s="44"/>
      <c r="H21" s="43">
        <v>25</v>
      </c>
      <c r="I21" s="45">
        <f t="shared" ref="I21:I48" si="0">C21-D21-E21+F21-H21</f>
        <v>66</v>
      </c>
    </row>
    <row r="22" spans="1:9" ht="17.25" customHeight="1" x14ac:dyDescent="0.3">
      <c r="A22" s="352"/>
      <c r="B22" s="21" t="s">
        <v>32</v>
      </c>
      <c r="C22" s="46">
        <v>27</v>
      </c>
      <c r="D22" s="23"/>
      <c r="E22" s="47"/>
      <c r="F22" s="48"/>
      <c r="G22" s="25"/>
      <c r="H22" s="48"/>
      <c r="I22" s="49">
        <f t="shared" si="0"/>
        <v>27</v>
      </c>
    </row>
    <row r="23" spans="1:9" ht="17.25" customHeight="1" x14ac:dyDescent="0.3">
      <c r="A23" s="352"/>
      <c r="B23" s="27" t="s">
        <v>33</v>
      </c>
      <c r="C23" s="33">
        <v>138</v>
      </c>
      <c r="D23" s="29">
        <v>1</v>
      </c>
      <c r="E23" s="50">
        <v>1</v>
      </c>
      <c r="F23" s="51"/>
      <c r="G23" s="25"/>
      <c r="H23" s="51">
        <v>15</v>
      </c>
      <c r="I23" s="52">
        <f>C23-D23-D24-E23-E24+F23+F24-H23-H24-I24</f>
        <v>120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40</v>
      </c>
      <c r="D25" s="23">
        <v>1</v>
      </c>
      <c r="E25" s="47"/>
      <c r="F25" s="48"/>
      <c r="G25" s="112"/>
      <c r="H25" s="48">
        <v>12</v>
      </c>
      <c r="I25" s="49">
        <f t="shared" si="0"/>
        <v>27</v>
      </c>
    </row>
    <row r="26" spans="1:9" ht="17.25" customHeight="1" x14ac:dyDescent="0.3">
      <c r="A26" s="352"/>
      <c r="B26" s="160" t="s">
        <v>36</v>
      </c>
      <c r="C26" s="55">
        <v>33</v>
      </c>
      <c r="D26" s="41"/>
      <c r="E26" s="42"/>
      <c r="F26" s="43"/>
      <c r="G26" s="113"/>
      <c r="H26" s="43">
        <v>11</v>
      </c>
      <c r="I26" s="45">
        <f t="shared" si="0"/>
        <v>22</v>
      </c>
    </row>
    <row r="27" spans="1:9" ht="17.25" customHeight="1" x14ac:dyDescent="0.3">
      <c r="A27" s="352"/>
      <c r="B27" s="21" t="s">
        <v>37</v>
      </c>
      <c r="C27" s="46">
        <v>31</v>
      </c>
      <c r="D27" s="23">
        <v>2</v>
      </c>
      <c r="E27" s="47"/>
      <c r="F27" s="48"/>
      <c r="G27" s="112"/>
      <c r="H27" s="48">
        <v>15</v>
      </c>
      <c r="I27" s="49">
        <f t="shared" si="0"/>
        <v>14</v>
      </c>
    </row>
    <row r="28" spans="1:9" ht="17.25" customHeight="1" x14ac:dyDescent="0.3">
      <c r="A28" s="352"/>
      <c r="B28" s="160" t="s">
        <v>38</v>
      </c>
      <c r="C28" s="55">
        <v>28</v>
      </c>
      <c r="D28" s="41">
        <v>1</v>
      </c>
      <c r="E28" s="42"/>
      <c r="F28" s="43"/>
      <c r="G28" s="113"/>
      <c r="H28" s="43">
        <v>8</v>
      </c>
      <c r="I28" s="45">
        <f t="shared" si="0"/>
        <v>19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95</v>
      </c>
      <c r="D30" s="29"/>
      <c r="E30" s="50">
        <v>1</v>
      </c>
      <c r="F30" s="51"/>
      <c r="G30" s="25"/>
      <c r="H30" s="51"/>
      <c r="I30" s="52">
        <f>C30-D30-D31-E30-E31+F30+F31-H30-H31-I31</f>
        <v>94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>
        <v>1</v>
      </c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>
        <v>2</v>
      </c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5</v>
      </c>
    </row>
    <row r="51" spans="1:10" ht="17.25" customHeight="1" thickBot="1" x14ac:dyDescent="0.35">
      <c r="A51" s="353"/>
      <c r="B51" s="64" t="s">
        <v>42</v>
      </c>
      <c r="C51" s="65">
        <f>SUM(C13:C50)</f>
        <v>604</v>
      </c>
      <c r="D51" s="66">
        <f>SUM(D13:D46)</f>
        <v>5</v>
      </c>
      <c r="E51" s="67">
        <f>SUM(E13:E46)</f>
        <v>5</v>
      </c>
      <c r="F51" s="67">
        <f>SUM(F13:F46)</f>
        <v>0</v>
      </c>
      <c r="G51" s="68" t="s">
        <v>22</v>
      </c>
      <c r="H51" s="69">
        <f>SUM(H13:H46)</f>
        <v>90</v>
      </c>
      <c r="I51" s="70">
        <f>SUM(I13:I46)</f>
        <v>500</v>
      </c>
    </row>
    <row r="52" spans="1:10" s="76" customFormat="1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03"/>
      <c r="B53" s="304"/>
      <c r="C53" s="345" t="s">
        <v>74</v>
      </c>
      <c r="D53" s="347">
        <v>2</v>
      </c>
      <c r="E53" s="341">
        <v>2</v>
      </c>
      <c r="F53" s="341">
        <v>2</v>
      </c>
      <c r="G53" s="341">
        <v>3</v>
      </c>
      <c r="H53" s="341"/>
      <c r="I53" s="343">
        <v>2</v>
      </c>
      <c r="J53" s="175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>
        <v>64200</v>
      </c>
      <c r="E55" s="349">
        <v>50000</v>
      </c>
      <c r="F55" s="349">
        <v>38800</v>
      </c>
      <c r="G55" s="349">
        <v>29300</v>
      </c>
      <c r="H55" s="341"/>
      <c r="I55" s="335">
        <v>326200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232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230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233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231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221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229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 t="s">
        <v>234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218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219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228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220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222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223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224</v>
      </c>
      <c r="E79" s="94">
        <v>0.8125</v>
      </c>
      <c r="F79" s="93" t="s">
        <v>225</v>
      </c>
      <c r="G79" s="315" t="s">
        <v>226</v>
      </c>
      <c r="H79" s="316"/>
      <c r="I79" s="95" t="s">
        <v>227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H80:I80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72:I72"/>
    <mergeCell ref="A73:B74"/>
    <mergeCell ref="C73:I73"/>
    <mergeCell ref="C74:I74"/>
    <mergeCell ref="A65:A69"/>
    <mergeCell ref="B65:B66"/>
    <mergeCell ref="C65:I65"/>
    <mergeCell ref="C66:I66"/>
    <mergeCell ref="B67:B69"/>
    <mergeCell ref="C67:I67"/>
    <mergeCell ref="C68:I68"/>
    <mergeCell ref="C69:I69"/>
    <mergeCell ref="A61:B64"/>
    <mergeCell ref="C61:I61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A57:B60"/>
    <mergeCell ref="C57:I57"/>
    <mergeCell ref="C58:I58"/>
    <mergeCell ref="C59:I59"/>
    <mergeCell ref="C60:I60"/>
    <mergeCell ref="E9:F9"/>
    <mergeCell ref="G9:H9"/>
    <mergeCell ref="I9:I10"/>
    <mergeCell ref="F12:G12"/>
    <mergeCell ref="A52:B56"/>
    <mergeCell ref="C53:C54"/>
    <mergeCell ref="D53:D54"/>
    <mergeCell ref="E53:E54"/>
    <mergeCell ref="F53:F54"/>
    <mergeCell ref="G53:G54"/>
    <mergeCell ref="H53:H54"/>
    <mergeCell ref="A12:A51"/>
    <mergeCell ref="C62:I62"/>
    <mergeCell ref="C63:I63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F16" sqref="F1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235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236</v>
      </c>
      <c r="D3" s="5" t="s">
        <v>4</v>
      </c>
      <c r="E3" s="373"/>
      <c r="F3" s="380" t="s">
        <v>237</v>
      </c>
      <c r="G3" s="381"/>
      <c r="H3" s="382">
        <f>G11+'3일'!H3:I3</f>
        <v>7958940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238</v>
      </c>
      <c r="F6" s="15" t="s">
        <v>239</v>
      </c>
      <c r="G6" s="16" t="s">
        <v>240</v>
      </c>
      <c r="H6" s="17">
        <v>0.46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2068800</v>
      </c>
      <c r="D11" s="102">
        <v>149</v>
      </c>
      <c r="E11" s="109">
        <f>SUM(E55:I56)</f>
        <v>356040</v>
      </c>
      <c r="F11" s="109">
        <f>SUM(E53:I54)</f>
        <v>14</v>
      </c>
      <c r="G11" s="110">
        <f>C11+E11</f>
        <v>2424840</v>
      </c>
      <c r="H11" s="110">
        <f>D11+F11</f>
        <v>163</v>
      </c>
      <c r="I11" s="111">
        <f>G11/H11</f>
        <v>14876.319018404907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58</v>
      </c>
      <c r="D13" s="23"/>
      <c r="E13" s="22">
        <v>1</v>
      </c>
      <c r="F13" s="24"/>
      <c r="G13" s="25"/>
      <c r="H13" s="23">
        <v>16</v>
      </c>
      <c r="I13" s="26">
        <f>C13-D13-D14*1/2-E13-E14*1/2+F13-H13-H14*1/2-I14*1/2</f>
        <v>41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18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24</v>
      </c>
      <c r="D17" s="29"/>
      <c r="E17" s="30">
        <v>1</v>
      </c>
      <c r="F17" s="34"/>
      <c r="G17" s="118"/>
      <c r="H17" s="29"/>
      <c r="I17" s="37">
        <f>C17-D17-D18*1/2-E17-E18*1/2+F17-H17-H18*1/2-I18*1/2</f>
        <v>23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104</v>
      </c>
      <c r="D21" s="41"/>
      <c r="E21" s="42">
        <v>2</v>
      </c>
      <c r="F21" s="43"/>
      <c r="G21" s="44"/>
      <c r="H21" s="43">
        <v>3</v>
      </c>
      <c r="I21" s="45">
        <f t="shared" ref="I21:I48" si="0">C21-D21-E21+F21-H21</f>
        <v>99</v>
      </c>
    </row>
    <row r="22" spans="1:9" ht="17.25" customHeight="1" x14ac:dyDescent="0.3">
      <c r="A22" s="352"/>
      <c r="B22" s="21" t="s">
        <v>32</v>
      </c>
      <c r="C22" s="46">
        <v>50</v>
      </c>
      <c r="D22" s="23"/>
      <c r="E22" s="47">
        <v>1</v>
      </c>
      <c r="F22" s="48"/>
      <c r="G22" s="25"/>
      <c r="H22" s="48"/>
      <c r="I22" s="49">
        <f t="shared" si="0"/>
        <v>49</v>
      </c>
    </row>
    <row r="23" spans="1:9" ht="17.25" customHeight="1" x14ac:dyDescent="0.3">
      <c r="A23" s="352"/>
      <c r="B23" s="27" t="s">
        <v>33</v>
      </c>
      <c r="C23" s="33">
        <v>176</v>
      </c>
      <c r="D23" s="29"/>
      <c r="E23" s="50">
        <v>3</v>
      </c>
      <c r="F23" s="51"/>
      <c r="G23" s="25"/>
      <c r="H23" s="51"/>
      <c r="I23" s="52">
        <f>C23-D23-D24-E23-E24+F23+F24-H23-H24-I24</f>
        <v>169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2</v>
      </c>
      <c r="F24" s="43"/>
      <c r="G24" s="113"/>
      <c r="H24" s="43">
        <v>2</v>
      </c>
      <c r="I24" s="54"/>
    </row>
    <row r="25" spans="1:9" ht="17.25" customHeight="1" x14ac:dyDescent="0.3">
      <c r="A25" s="352"/>
      <c r="B25" s="21" t="s">
        <v>35</v>
      </c>
      <c r="C25" s="46">
        <v>36</v>
      </c>
      <c r="D25" s="23"/>
      <c r="E25" s="47"/>
      <c r="F25" s="48"/>
      <c r="G25" s="112"/>
      <c r="H25" s="48"/>
      <c r="I25" s="49">
        <f t="shared" si="0"/>
        <v>36</v>
      </c>
    </row>
    <row r="26" spans="1:9" ht="17.25" customHeight="1" x14ac:dyDescent="0.3">
      <c r="A26" s="352"/>
      <c r="B26" s="160" t="s">
        <v>36</v>
      </c>
      <c r="C26" s="55">
        <v>33</v>
      </c>
      <c r="D26" s="41"/>
      <c r="E26" s="42"/>
      <c r="F26" s="43"/>
      <c r="G26" s="113"/>
      <c r="H26" s="43"/>
      <c r="I26" s="45">
        <f t="shared" si="0"/>
        <v>33</v>
      </c>
    </row>
    <row r="27" spans="1:9" ht="17.25" customHeight="1" x14ac:dyDescent="0.3">
      <c r="A27" s="352"/>
      <c r="B27" s="21" t="s">
        <v>37</v>
      </c>
      <c r="C27" s="46">
        <v>41</v>
      </c>
      <c r="D27" s="23">
        <v>1</v>
      </c>
      <c r="E27" s="47">
        <v>2</v>
      </c>
      <c r="F27" s="48"/>
      <c r="G27" s="112"/>
      <c r="H27" s="48">
        <v>8</v>
      </c>
      <c r="I27" s="49">
        <f t="shared" si="0"/>
        <v>30</v>
      </c>
    </row>
    <row r="28" spans="1:9" ht="17.25" customHeight="1" x14ac:dyDescent="0.3">
      <c r="A28" s="352"/>
      <c r="B28" s="160" t="s">
        <v>38</v>
      </c>
      <c r="C28" s="55">
        <v>54</v>
      </c>
      <c r="D28" s="41"/>
      <c r="E28" s="42"/>
      <c r="F28" s="43"/>
      <c r="G28" s="113"/>
      <c r="H28" s="43">
        <v>5</v>
      </c>
      <c r="I28" s="45">
        <f t="shared" si="0"/>
        <v>49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102</v>
      </c>
      <c r="D30" s="29"/>
      <c r="E30" s="50"/>
      <c r="F30" s="51"/>
      <c r="G30" s="25"/>
      <c r="H30" s="51"/>
      <c r="I30" s="52">
        <f>C30-D30-D31-E30-E31+F30+F31-H30-H31-I31</f>
        <v>102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52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741</v>
      </c>
      <c r="D51" s="66">
        <f>SUM(D13:D46)</f>
        <v>1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34</v>
      </c>
      <c r="I51" s="70">
        <f>SUM(I13:I46)</f>
        <v>694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2</v>
      </c>
      <c r="G53" s="341">
        <v>6</v>
      </c>
      <c r="H53" s="341"/>
      <c r="I53" s="343">
        <v>2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92100</v>
      </c>
      <c r="F55" s="349">
        <v>36300</v>
      </c>
      <c r="G55" s="349">
        <v>67240</v>
      </c>
      <c r="H55" s="341"/>
      <c r="I55" s="335">
        <v>160400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254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255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256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257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243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251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38" t="s">
        <v>253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241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242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244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252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245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246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247</v>
      </c>
      <c r="E79" s="94">
        <v>0.8125</v>
      </c>
      <c r="F79" s="93" t="s">
        <v>248</v>
      </c>
      <c r="G79" s="315" t="s">
        <v>249</v>
      </c>
      <c r="H79" s="316"/>
      <c r="I79" s="95" t="s">
        <v>250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6" zoomScale="90" zoomScaleNormal="90" workbookViewId="0">
      <selection activeCell="F53" sqref="F53:F5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258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277</v>
      </c>
      <c r="D3" s="5" t="s">
        <v>4</v>
      </c>
      <c r="E3" s="373"/>
      <c r="F3" s="380" t="s">
        <v>259</v>
      </c>
      <c r="G3" s="381"/>
      <c r="H3" s="382">
        <f>G11+'4일'!H3:I3</f>
        <v>10242540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260</v>
      </c>
      <c r="F6" s="15" t="s">
        <v>262</v>
      </c>
      <c r="G6" s="16" t="s">
        <v>261</v>
      </c>
      <c r="H6" s="17"/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1941600</v>
      </c>
      <c r="D11" s="102">
        <v>159</v>
      </c>
      <c r="E11" s="109">
        <f>SUM(E55:I56)</f>
        <v>342000</v>
      </c>
      <c r="F11" s="109">
        <f>SUM(E53:I54)</f>
        <v>9</v>
      </c>
      <c r="G11" s="110">
        <f>C11+E11</f>
        <v>2283600</v>
      </c>
      <c r="H11" s="110">
        <f>D11+F11</f>
        <v>168</v>
      </c>
      <c r="I11" s="111">
        <f>G11/H11</f>
        <v>13592.857142857143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18</v>
      </c>
      <c r="D13" s="23">
        <v>1</v>
      </c>
      <c r="E13" s="22"/>
      <c r="F13" s="24"/>
      <c r="G13" s="25"/>
      <c r="H13" s="23"/>
      <c r="I13" s="26">
        <f>C13-D13-D14*1/2-E13-E14*1/2+F13-H13-H14*1/2-I14*1/2</f>
        <v>16.5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17.5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19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2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15</v>
      </c>
      <c r="D19" s="29"/>
      <c r="E19" s="30"/>
      <c r="F19" s="34"/>
      <c r="G19" s="25"/>
      <c r="H19" s="29"/>
      <c r="I19" s="35">
        <f>C19-D19-D20*1/2-E19-E20*1/2+F19-H19-H20*1/2-I20*1/2</f>
        <v>15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91</v>
      </c>
      <c r="D21" s="41">
        <v>2</v>
      </c>
      <c r="E21" s="42">
        <v>1</v>
      </c>
      <c r="F21" s="43"/>
      <c r="G21" s="44"/>
      <c r="H21" s="43"/>
      <c r="I21" s="45">
        <f t="shared" ref="I21:I48" si="0">C21-D21-E21+F21-H21</f>
        <v>88</v>
      </c>
    </row>
    <row r="22" spans="1:9" ht="17.25" customHeight="1" x14ac:dyDescent="0.3">
      <c r="A22" s="352"/>
      <c r="B22" s="21" t="s">
        <v>32</v>
      </c>
      <c r="C22" s="46">
        <v>48</v>
      </c>
      <c r="D22" s="23"/>
      <c r="E22" s="47"/>
      <c r="F22" s="48"/>
      <c r="G22" s="25"/>
      <c r="H22" s="48"/>
      <c r="I22" s="49">
        <f t="shared" si="0"/>
        <v>48</v>
      </c>
    </row>
    <row r="23" spans="1:9" ht="17.25" customHeight="1" x14ac:dyDescent="0.3">
      <c r="A23" s="352"/>
      <c r="B23" s="27" t="s">
        <v>33</v>
      </c>
      <c r="C23" s="33">
        <v>193</v>
      </c>
      <c r="D23" s="29"/>
      <c r="E23" s="50">
        <v>3</v>
      </c>
      <c r="F23" s="51"/>
      <c r="G23" s="25"/>
      <c r="H23" s="51">
        <v>17</v>
      </c>
      <c r="I23" s="52">
        <f>C23-D23-D24-E23-E24+F23+F24-H23-H24-I24</f>
        <v>172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30</v>
      </c>
      <c r="D25" s="23">
        <v>1</v>
      </c>
      <c r="E25" s="47"/>
      <c r="F25" s="48"/>
      <c r="G25" s="112"/>
      <c r="H25" s="48">
        <v>7</v>
      </c>
      <c r="I25" s="49">
        <f t="shared" si="0"/>
        <v>22</v>
      </c>
    </row>
    <row r="26" spans="1:9" ht="17.25" customHeight="1" x14ac:dyDescent="0.3">
      <c r="A26" s="352"/>
      <c r="B26" s="160" t="s">
        <v>36</v>
      </c>
      <c r="C26" s="55">
        <v>32</v>
      </c>
      <c r="D26" s="41"/>
      <c r="E26" s="42"/>
      <c r="F26" s="43"/>
      <c r="G26" s="113"/>
      <c r="H26" s="43"/>
      <c r="I26" s="45">
        <f t="shared" si="0"/>
        <v>32</v>
      </c>
    </row>
    <row r="27" spans="1:9" ht="17.25" customHeight="1" x14ac:dyDescent="0.3">
      <c r="A27" s="352"/>
      <c r="B27" s="21" t="s">
        <v>37</v>
      </c>
      <c r="C27" s="46">
        <v>39</v>
      </c>
      <c r="D27" s="23"/>
      <c r="E27" s="47"/>
      <c r="F27" s="48"/>
      <c r="G27" s="112"/>
      <c r="H27" s="48">
        <v>3</v>
      </c>
      <c r="I27" s="49">
        <f t="shared" si="0"/>
        <v>36</v>
      </c>
    </row>
    <row r="28" spans="1:9" ht="17.25" customHeight="1" x14ac:dyDescent="0.3">
      <c r="A28" s="352"/>
      <c r="B28" s="160" t="s">
        <v>38</v>
      </c>
      <c r="C28" s="55">
        <v>46</v>
      </c>
      <c r="D28" s="41">
        <v>6</v>
      </c>
      <c r="E28" s="42"/>
      <c r="F28" s="43"/>
      <c r="G28" s="113"/>
      <c r="H28" s="43">
        <v>5</v>
      </c>
      <c r="I28" s="45">
        <f t="shared" si="0"/>
        <v>35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123</v>
      </c>
      <c r="D30" s="29">
        <v>4</v>
      </c>
      <c r="E30" s="50">
        <v>4</v>
      </c>
      <c r="F30" s="51"/>
      <c r="G30" s="25"/>
      <c r="H30" s="51"/>
      <c r="I30" s="52">
        <f>C30-D30-D31-E30-E31+F30+F31-H30-H31-I31</f>
        <v>114</v>
      </c>
    </row>
    <row r="31" spans="1:9" ht="17.25" customHeight="1" x14ac:dyDescent="0.3">
      <c r="A31" s="352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21</v>
      </c>
      <c r="D36" s="122">
        <v>1</v>
      </c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52"/>
      <c r="B47" s="120" t="s">
        <v>88</v>
      </c>
      <c r="C47" s="121">
        <v>38</v>
      </c>
      <c r="D47" s="122"/>
      <c r="E47" s="123"/>
      <c r="F47" s="124"/>
      <c r="G47" s="112"/>
      <c r="H47" s="124"/>
      <c r="I47" s="52">
        <f t="shared" si="0"/>
        <v>38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3"/>
      <c r="B51" s="64" t="s">
        <v>42</v>
      </c>
      <c r="C51" s="65">
        <f>SUM(C13:C50)</f>
        <v>752</v>
      </c>
      <c r="D51" s="66">
        <f>SUM(D13:D46)</f>
        <v>15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32</v>
      </c>
      <c r="I51" s="70">
        <f>SUM(I13:I46)</f>
        <v>659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/>
      <c r="G53" s="341">
        <v>4</v>
      </c>
      <c r="H53" s="341"/>
      <c r="I53" s="343">
        <v>2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60100</v>
      </c>
      <c r="F55" s="349"/>
      <c r="G55" s="349">
        <v>37900</v>
      </c>
      <c r="H55" s="341"/>
      <c r="I55" s="335">
        <v>244000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279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280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281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282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263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274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20" t="s">
        <v>275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 t="s">
        <v>278</v>
      </c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270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271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273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272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 t="s">
        <v>276</v>
      </c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264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265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266</v>
      </c>
      <c r="E79" s="94">
        <v>0.8125</v>
      </c>
      <c r="F79" s="93" t="s">
        <v>267</v>
      </c>
      <c r="G79" s="315" t="s">
        <v>268</v>
      </c>
      <c r="H79" s="316"/>
      <c r="I79" s="95" t="s">
        <v>269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7" zoomScale="90" zoomScaleNormal="90" workbookViewId="0">
      <selection activeCell="I49" sqref="I4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283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284</v>
      </c>
      <c r="D3" s="5" t="s">
        <v>4</v>
      </c>
      <c r="E3" s="373"/>
      <c r="F3" s="380" t="s">
        <v>285</v>
      </c>
      <c r="G3" s="381"/>
      <c r="H3" s="382">
        <f>G11+'5일'!H3:I3</f>
        <v>12677540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286</v>
      </c>
      <c r="F6" s="15" t="s">
        <v>287</v>
      </c>
      <c r="G6" s="16" t="s">
        <v>288</v>
      </c>
      <c r="H6" s="17">
        <v>0.56999999999999995</v>
      </c>
      <c r="I6" s="18">
        <v>0.27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2166000</v>
      </c>
      <c r="D11" s="102">
        <v>173</v>
      </c>
      <c r="E11" s="109">
        <f>SUM(E55:I56)</f>
        <v>269000</v>
      </c>
      <c r="F11" s="109">
        <f>SUM(E53:I54)</f>
        <v>13</v>
      </c>
      <c r="G11" s="110">
        <f>C11+E11</f>
        <v>2435000</v>
      </c>
      <c r="H11" s="110">
        <f>D11+F11</f>
        <v>186</v>
      </c>
      <c r="I11" s="111">
        <f>G11/H11</f>
        <v>13091.397849462366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30</v>
      </c>
      <c r="D13" s="23"/>
      <c r="E13" s="22">
        <v>1</v>
      </c>
      <c r="F13" s="24"/>
      <c r="G13" s="25"/>
      <c r="H13" s="23"/>
      <c r="I13" s="26">
        <f>C13-D13-D14*1/2-E13-E14*1/2+F13-H13-H14*1/2-I14*1/2</f>
        <v>28.5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25</v>
      </c>
      <c r="D15" s="29"/>
      <c r="E15" s="30">
        <v>1</v>
      </c>
      <c r="F15" s="34"/>
      <c r="G15" s="25"/>
      <c r="H15" s="29"/>
      <c r="I15" s="35">
        <f>C15-D15-D16*1/2-E15-E16*1/2+F15-H15-H16*1/2-I16*1/2</f>
        <v>24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19.5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102</v>
      </c>
      <c r="D21" s="41"/>
      <c r="E21" s="42"/>
      <c r="F21" s="43"/>
      <c r="G21" s="44"/>
      <c r="H21" s="43"/>
      <c r="I21" s="45">
        <f t="shared" ref="I21:I48" si="0">C21-D21-E21+F21-H21</f>
        <v>102</v>
      </c>
    </row>
    <row r="22" spans="1:9" ht="17.25" customHeight="1" x14ac:dyDescent="0.3">
      <c r="A22" s="352"/>
      <c r="B22" s="21" t="s">
        <v>32</v>
      </c>
      <c r="C22" s="46">
        <v>88</v>
      </c>
      <c r="D22" s="23"/>
      <c r="E22" s="47">
        <v>1</v>
      </c>
      <c r="F22" s="48"/>
      <c r="G22" s="25"/>
      <c r="H22" s="48"/>
      <c r="I22" s="49">
        <f t="shared" si="0"/>
        <v>87</v>
      </c>
    </row>
    <row r="23" spans="1:9" ht="17.25" customHeight="1" x14ac:dyDescent="0.3">
      <c r="A23" s="352"/>
      <c r="B23" s="27" t="s">
        <v>33</v>
      </c>
      <c r="C23" s="33">
        <v>164</v>
      </c>
      <c r="D23" s="29"/>
      <c r="E23" s="50">
        <v>3</v>
      </c>
      <c r="F23" s="51"/>
      <c r="G23" s="25"/>
      <c r="H23" s="51"/>
      <c r="I23" s="52">
        <f>C23-D23-D24-E23-E24+F23+F24-H23-H24-I24</f>
        <v>159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36</v>
      </c>
      <c r="D25" s="23">
        <v>3</v>
      </c>
      <c r="E25" s="47"/>
      <c r="F25" s="48"/>
      <c r="G25" s="112"/>
      <c r="H25" s="48"/>
      <c r="I25" s="49">
        <f t="shared" si="0"/>
        <v>33</v>
      </c>
    </row>
    <row r="26" spans="1:9" ht="17.25" customHeight="1" x14ac:dyDescent="0.3">
      <c r="A26" s="352"/>
      <c r="B26" s="160" t="s">
        <v>36</v>
      </c>
      <c r="C26" s="55">
        <v>54</v>
      </c>
      <c r="D26" s="41"/>
      <c r="E26" s="42"/>
      <c r="F26" s="43"/>
      <c r="G26" s="113"/>
      <c r="H26" s="43"/>
      <c r="I26" s="45">
        <f t="shared" si="0"/>
        <v>54</v>
      </c>
    </row>
    <row r="27" spans="1:9" ht="17.25" customHeight="1" x14ac:dyDescent="0.3">
      <c r="A27" s="352"/>
      <c r="B27" s="21" t="s">
        <v>37</v>
      </c>
      <c r="C27" s="46">
        <v>49</v>
      </c>
      <c r="D27" s="23"/>
      <c r="E27" s="47"/>
      <c r="F27" s="48"/>
      <c r="G27" s="112"/>
      <c r="H27" s="48"/>
      <c r="I27" s="49">
        <f t="shared" si="0"/>
        <v>49</v>
      </c>
    </row>
    <row r="28" spans="1:9" ht="17.25" customHeight="1" x14ac:dyDescent="0.3">
      <c r="A28" s="352"/>
      <c r="B28" s="160" t="s">
        <v>38</v>
      </c>
      <c r="C28" s="55">
        <v>62</v>
      </c>
      <c r="D28" s="41"/>
      <c r="E28" s="42">
        <v>6</v>
      </c>
      <c r="F28" s="43"/>
      <c r="G28" s="113"/>
      <c r="H28" s="43"/>
      <c r="I28" s="45">
        <f t="shared" si="0"/>
        <v>56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122</v>
      </c>
      <c r="D30" s="29"/>
      <c r="E30" s="50">
        <v>1</v>
      </c>
      <c r="F30" s="51"/>
      <c r="G30" s="25"/>
      <c r="H30" s="51"/>
      <c r="I30" s="52">
        <f>C30-D30-D31-E30-E31+F30+F31-H30-H31-I31</f>
        <v>121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/>
      <c r="D36" s="122"/>
      <c r="E36" s="123"/>
      <c r="F36" s="124"/>
      <c r="G36" s="112"/>
      <c r="H36" s="124"/>
      <c r="I36" s="52">
        <f>C36-D36-E36+F36-H36</f>
        <v>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798</v>
      </c>
      <c r="D51" s="66">
        <f>SUM(D13:D46)</f>
        <v>3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777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7</v>
      </c>
      <c r="F53" s="341"/>
      <c r="G53" s="341">
        <v>5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170000</v>
      </c>
      <c r="F55" s="349"/>
      <c r="G55" s="349">
        <v>60400</v>
      </c>
      <c r="H55" s="341"/>
      <c r="I55" s="335">
        <v>38600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303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304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305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306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289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298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20" t="s">
        <v>300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 t="s">
        <v>301</v>
      </c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299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290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291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302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292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293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294</v>
      </c>
      <c r="E79" s="94">
        <v>0.8125</v>
      </c>
      <c r="F79" s="93" t="s">
        <v>295</v>
      </c>
      <c r="G79" s="315" t="s">
        <v>296</v>
      </c>
      <c r="H79" s="316"/>
      <c r="I79" s="95" t="s">
        <v>297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C63" sqref="C63:I6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307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308</v>
      </c>
      <c r="D3" s="5" t="s">
        <v>4</v>
      </c>
      <c r="E3" s="373"/>
      <c r="F3" s="380" t="s">
        <v>309</v>
      </c>
      <c r="G3" s="381"/>
      <c r="H3" s="382">
        <f>G11+'6일'!H3:I3</f>
        <v>15116240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310</v>
      </c>
      <c r="F6" s="15" t="s">
        <v>311</v>
      </c>
      <c r="G6" s="16" t="s">
        <v>312</v>
      </c>
      <c r="H6" s="17">
        <v>0.31</v>
      </c>
      <c r="I6" s="18">
        <v>0.26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2154400</v>
      </c>
      <c r="D11" s="102">
        <v>162</v>
      </c>
      <c r="E11" s="109">
        <f>SUM(E55:I56)</f>
        <v>284300</v>
      </c>
      <c r="F11" s="109">
        <f>SUM(E53:I54)</f>
        <v>16</v>
      </c>
      <c r="G11" s="110">
        <f>C11+E11</f>
        <v>2438700</v>
      </c>
      <c r="H11" s="110">
        <f>D11+F11</f>
        <v>178</v>
      </c>
      <c r="I11" s="111">
        <f>G11/H11</f>
        <v>13700.561797752809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38</v>
      </c>
      <c r="D13" s="23"/>
      <c r="E13" s="22"/>
      <c r="F13" s="24"/>
      <c r="G13" s="25"/>
      <c r="H13" s="23"/>
      <c r="I13" s="26">
        <f>C13-D13-D14*1/2-E13-E14*1/2+F13-H13-H14*1/2-I14*1/2</f>
        <v>38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34</v>
      </c>
      <c r="D15" s="29"/>
      <c r="E15" s="30"/>
      <c r="F15" s="34"/>
      <c r="G15" s="25"/>
      <c r="H15" s="29"/>
      <c r="I15" s="35">
        <f>C15-D15-D16*1/2-E15-E16*1/2+F15-H15-H16*1/2-I16*1/2</f>
        <v>33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2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32</v>
      </c>
      <c r="D17" s="29"/>
      <c r="E17" s="30"/>
      <c r="F17" s="34"/>
      <c r="G17" s="118"/>
      <c r="H17" s="29"/>
      <c r="I17" s="37">
        <f>C17-D17-D18*1/2-E17-E18*1/2+F17-H17-H18*1/2-I18*1/2</f>
        <v>31.5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70</v>
      </c>
      <c r="D21" s="41"/>
      <c r="E21" s="42">
        <v>3</v>
      </c>
      <c r="F21" s="43"/>
      <c r="G21" s="44"/>
      <c r="H21" s="43"/>
      <c r="I21" s="45">
        <f t="shared" ref="I21:I48" si="0">C21-D21-E21+F21-H21</f>
        <v>67</v>
      </c>
    </row>
    <row r="22" spans="1:9" ht="17.25" customHeight="1" x14ac:dyDescent="0.3">
      <c r="A22" s="352"/>
      <c r="B22" s="21" t="s">
        <v>32</v>
      </c>
      <c r="C22" s="46">
        <v>65</v>
      </c>
      <c r="D22" s="23"/>
      <c r="E22" s="47">
        <v>1</v>
      </c>
      <c r="F22" s="48"/>
      <c r="G22" s="25"/>
      <c r="H22" s="48"/>
      <c r="I22" s="49">
        <f t="shared" si="0"/>
        <v>64</v>
      </c>
    </row>
    <row r="23" spans="1:9" ht="17.25" customHeight="1" x14ac:dyDescent="0.3">
      <c r="A23" s="352"/>
      <c r="B23" s="27" t="s">
        <v>33</v>
      </c>
      <c r="C23" s="33">
        <v>215</v>
      </c>
      <c r="D23" s="29"/>
      <c r="E23" s="50">
        <v>1</v>
      </c>
      <c r="F23" s="51"/>
      <c r="G23" s="25"/>
      <c r="H23" s="51"/>
      <c r="I23" s="52">
        <f>C23-D23-D24-E23-E24+F23+F24-H23-H24-I24</f>
        <v>213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36</v>
      </c>
      <c r="D25" s="23"/>
      <c r="E25" s="47">
        <v>1</v>
      </c>
      <c r="F25" s="48"/>
      <c r="G25" s="112"/>
      <c r="H25" s="48"/>
      <c r="I25" s="49">
        <f t="shared" si="0"/>
        <v>35</v>
      </c>
    </row>
    <row r="26" spans="1:9" ht="17.25" customHeight="1" x14ac:dyDescent="0.3">
      <c r="A26" s="352"/>
      <c r="B26" s="160" t="s">
        <v>36</v>
      </c>
      <c r="C26" s="55">
        <v>54</v>
      </c>
      <c r="D26" s="41"/>
      <c r="E26" s="42">
        <v>1</v>
      </c>
      <c r="F26" s="43"/>
      <c r="G26" s="113"/>
      <c r="H26" s="43"/>
      <c r="I26" s="45">
        <f t="shared" si="0"/>
        <v>53</v>
      </c>
    </row>
    <row r="27" spans="1:9" ht="17.25" customHeight="1" x14ac:dyDescent="0.3">
      <c r="A27" s="352"/>
      <c r="B27" s="21" t="s">
        <v>37</v>
      </c>
      <c r="C27" s="46">
        <v>42</v>
      </c>
      <c r="D27" s="23"/>
      <c r="E27" s="47"/>
      <c r="F27" s="48"/>
      <c r="G27" s="112"/>
      <c r="H27" s="48"/>
      <c r="I27" s="49">
        <f t="shared" si="0"/>
        <v>42</v>
      </c>
    </row>
    <row r="28" spans="1:9" ht="17.25" customHeight="1" x14ac:dyDescent="0.3">
      <c r="A28" s="352"/>
      <c r="B28" s="160" t="s">
        <v>38</v>
      </c>
      <c r="C28" s="55">
        <v>52</v>
      </c>
      <c r="D28" s="41">
        <v>1</v>
      </c>
      <c r="E28" s="42"/>
      <c r="F28" s="43"/>
      <c r="G28" s="113"/>
      <c r="H28" s="43"/>
      <c r="I28" s="45">
        <f t="shared" si="0"/>
        <v>51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122</v>
      </c>
      <c r="D30" s="29"/>
      <c r="E30" s="50">
        <v>1</v>
      </c>
      <c r="F30" s="51"/>
      <c r="G30" s="25"/>
      <c r="H30" s="51"/>
      <c r="I30" s="52">
        <f>C30-D30-D31-E30-E31+F30+F31-H30-H31-I31</f>
        <v>121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9</v>
      </c>
      <c r="D46" s="23"/>
      <c r="E46" s="47"/>
      <c r="F46" s="48"/>
      <c r="G46" s="116"/>
      <c r="H46" s="48"/>
      <c r="I46" s="49">
        <f t="shared" si="0"/>
        <v>9</v>
      </c>
    </row>
    <row r="47" spans="1:9" ht="17.25" customHeight="1" x14ac:dyDescent="0.3">
      <c r="A47" s="352"/>
      <c r="B47" s="120" t="s">
        <v>88</v>
      </c>
      <c r="C47" s="121">
        <v>12</v>
      </c>
      <c r="D47" s="122"/>
      <c r="E47" s="123"/>
      <c r="F47" s="124"/>
      <c r="G47" s="112"/>
      <c r="H47" s="124">
        <v>3</v>
      </c>
      <c r="I47" s="52">
        <f t="shared" si="0"/>
        <v>9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3"/>
      <c r="B51" s="64" t="s">
        <v>42</v>
      </c>
      <c r="C51" s="65">
        <f>SUM(C13:C50)</f>
        <v>827</v>
      </c>
      <c r="D51" s="66">
        <f>SUM(D13:D46)</f>
        <v>1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809.5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4</v>
      </c>
      <c r="G53" s="341">
        <v>8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84700</v>
      </c>
      <c r="F55" s="349">
        <v>89800</v>
      </c>
      <c r="G55" s="349">
        <v>109800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327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328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329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330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318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324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84" t="s">
        <v>326</v>
      </c>
      <c r="D63" s="385"/>
      <c r="E63" s="385"/>
      <c r="F63" s="385"/>
      <c r="G63" s="385"/>
      <c r="H63" s="385"/>
      <c r="I63" s="386"/>
    </row>
    <row r="64" spans="1:10" s="76" customFormat="1" ht="17.25" customHeight="1" thickBot="1" x14ac:dyDescent="0.35">
      <c r="A64" s="305"/>
      <c r="B64" s="306"/>
      <c r="C64" s="387"/>
      <c r="D64" s="388"/>
      <c r="E64" s="388"/>
      <c r="F64" s="388"/>
      <c r="G64" s="388"/>
      <c r="H64" s="388"/>
      <c r="I64" s="389"/>
    </row>
    <row r="65" spans="1:9" s="76" customFormat="1" ht="17.25" customHeight="1" x14ac:dyDescent="0.3">
      <c r="A65" s="328" t="s">
        <v>46</v>
      </c>
      <c r="B65" s="331" t="s">
        <v>47</v>
      </c>
      <c r="C65" s="318" t="s">
        <v>323</v>
      </c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 t="s">
        <v>325</v>
      </c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319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320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322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321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313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314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315</v>
      </c>
      <c r="E79" s="94">
        <v>0.77083333333333337</v>
      </c>
      <c r="F79" s="93" t="s">
        <v>316</v>
      </c>
      <c r="G79" s="315" t="s">
        <v>317</v>
      </c>
      <c r="H79" s="316"/>
      <c r="I79" s="95" t="s">
        <v>317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A73:B74"/>
    <mergeCell ref="A75:B75"/>
    <mergeCell ref="A78:B79"/>
    <mergeCell ref="C78:D78"/>
    <mergeCell ref="E78:F78"/>
    <mergeCell ref="C63:I64"/>
    <mergeCell ref="H80:I80"/>
    <mergeCell ref="C72:I72"/>
    <mergeCell ref="C73:I73"/>
    <mergeCell ref="C74:I74"/>
    <mergeCell ref="G78:H78"/>
    <mergeCell ref="G79:H79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0:I60"/>
    <mergeCell ref="C61:I61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F48" sqref="F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343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344</v>
      </c>
      <c r="D3" s="5" t="s">
        <v>4</v>
      </c>
      <c r="E3" s="373"/>
      <c r="F3" s="380" t="s">
        <v>345</v>
      </c>
      <c r="G3" s="381"/>
      <c r="H3" s="382">
        <f>G11+'7일'!H3:I3</f>
        <v>16977640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346</v>
      </c>
      <c r="F6" s="15" t="s">
        <v>347</v>
      </c>
      <c r="G6" s="16" t="s">
        <v>348</v>
      </c>
      <c r="H6" s="17">
        <v>0.35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1525500</v>
      </c>
      <c r="D11" s="102">
        <v>109</v>
      </c>
      <c r="E11" s="109">
        <f>SUM(E55:I56)</f>
        <v>335900</v>
      </c>
      <c r="F11" s="109">
        <f>SUM(E53:I54)</f>
        <v>14</v>
      </c>
      <c r="G11" s="110">
        <f>C11+E11</f>
        <v>1861400</v>
      </c>
      <c r="H11" s="110">
        <f>D11+F11</f>
        <v>123</v>
      </c>
      <c r="I11" s="111">
        <f>G11/H11</f>
        <v>15133.333333333334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46</v>
      </c>
      <c r="D13" s="23"/>
      <c r="E13" s="22">
        <v>1</v>
      </c>
      <c r="F13" s="24"/>
      <c r="G13" s="25"/>
      <c r="H13" s="23"/>
      <c r="I13" s="26">
        <f>C13-D13-D14*1/2-E13-E14*1/2+F13-H13-H14*1/2-I14*1/2</f>
        <v>45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26</v>
      </c>
      <c r="D15" s="29"/>
      <c r="E15" s="30">
        <v>1</v>
      </c>
      <c r="F15" s="34"/>
      <c r="G15" s="25"/>
      <c r="H15" s="29">
        <v>2</v>
      </c>
      <c r="I15" s="35">
        <f>C15-D15-D16*1/2-E15-E16*1/2+F15-H15-H16*1/2-I16*1/2</f>
        <v>23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24</v>
      </c>
      <c r="D17" s="29"/>
      <c r="E17" s="30">
        <v>1</v>
      </c>
      <c r="F17" s="34"/>
      <c r="G17" s="118"/>
      <c r="H17" s="29">
        <v>1</v>
      </c>
      <c r="I17" s="37">
        <f>C17-D17-D18*1/2-E17-E18*1/2+F17-H17-H18*1/2-I18*1/2</f>
        <v>22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88</v>
      </c>
      <c r="D21" s="41"/>
      <c r="E21" s="42">
        <v>5</v>
      </c>
      <c r="F21" s="43"/>
      <c r="G21" s="44"/>
      <c r="H21" s="43"/>
      <c r="I21" s="45">
        <f t="shared" ref="I21:I48" si="0">C21-D21-E21+F21-H21</f>
        <v>83</v>
      </c>
    </row>
    <row r="22" spans="1:9" ht="17.25" customHeight="1" x14ac:dyDescent="0.3">
      <c r="A22" s="352"/>
      <c r="B22" s="21" t="s">
        <v>32</v>
      </c>
      <c r="C22" s="46">
        <v>60</v>
      </c>
      <c r="D22" s="23"/>
      <c r="E22" s="47">
        <v>3</v>
      </c>
      <c r="F22" s="48"/>
      <c r="G22" s="25"/>
      <c r="H22" s="48">
        <v>7</v>
      </c>
      <c r="I22" s="49">
        <f t="shared" si="0"/>
        <v>50</v>
      </c>
    </row>
    <row r="23" spans="1:9" ht="17.25" customHeight="1" x14ac:dyDescent="0.3">
      <c r="A23" s="352"/>
      <c r="B23" s="27" t="s">
        <v>33</v>
      </c>
      <c r="C23" s="33">
        <v>213</v>
      </c>
      <c r="D23" s="29"/>
      <c r="E23" s="50">
        <v>5</v>
      </c>
      <c r="F23" s="51"/>
      <c r="G23" s="25"/>
      <c r="H23" s="51"/>
      <c r="I23" s="52">
        <f>C23-D23-D24-E23-E24+F23+F24-H23-H24-I24</f>
        <v>206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>
        <v>1</v>
      </c>
      <c r="F25" s="48"/>
      <c r="G25" s="112"/>
      <c r="H25" s="48"/>
      <c r="I25" s="49">
        <f t="shared" si="0"/>
        <v>23</v>
      </c>
    </row>
    <row r="26" spans="1:9" ht="17.25" customHeight="1" x14ac:dyDescent="0.3">
      <c r="A26" s="352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52"/>
      <c r="B27" s="21" t="s">
        <v>37</v>
      </c>
      <c r="C27" s="46">
        <v>38</v>
      </c>
      <c r="D27" s="23"/>
      <c r="E27" s="47"/>
      <c r="F27" s="48"/>
      <c r="G27" s="112"/>
      <c r="H27" s="48">
        <v>2</v>
      </c>
      <c r="I27" s="49">
        <f t="shared" si="0"/>
        <v>36</v>
      </c>
    </row>
    <row r="28" spans="1:9" ht="17.25" customHeight="1" x14ac:dyDescent="0.3">
      <c r="A28" s="352"/>
      <c r="B28" s="160" t="s">
        <v>38</v>
      </c>
      <c r="C28" s="55">
        <v>52</v>
      </c>
      <c r="D28" s="41"/>
      <c r="E28" s="42">
        <v>3</v>
      </c>
      <c r="F28" s="43"/>
      <c r="G28" s="113"/>
      <c r="H28" s="43">
        <v>2</v>
      </c>
      <c r="I28" s="45">
        <f t="shared" si="0"/>
        <v>47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125</v>
      </c>
      <c r="D30" s="29"/>
      <c r="E30" s="50">
        <v>4</v>
      </c>
      <c r="F30" s="51"/>
      <c r="G30" s="25"/>
      <c r="H30" s="51">
        <v>4</v>
      </c>
      <c r="I30" s="52">
        <f>C30-D30-D31-E30-E31+F30+F31-H30-H31-I31</f>
        <v>117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6</v>
      </c>
      <c r="D46" s="23"/>
      <c r="E46" s="47"/>
      <c r="F46" s="48"/>
      <c r="G46" s="116"/>
      <c r="H46" s="48"/>
      <c r="I46" s="49">
        <f t="shared" si="0"/>
        <v>6</v>
      </c>
    </row>
    <row r="47" spans="1:9" ht="17.25" customHeight="1" x14ac:dyDescent="0.3">
      <c r="A47" s="352"/>
      <c r="B47" s="120" t="s">
        <v>88</v>
      </c>
      <c r="C47" s="121">
        <v>6</v>
      </c>
      <c r="D47" s="122"/>
      <c r="E47" s="123"/>
      <c r="F47" s="124"/>
      <c r="G47" s="112"/>
      <c r="H47" s="124">
        <v>4</v>
      </c>
      <c r="I47" s="52">
        <f t="shared" si="0"/>
        <v>2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>
        <v>2</v>
      </c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799</v>
      </c>
      <c r="D51" s="66">
        <f>SUM(D13:D46)</f>
        <v>0</v>
      </c>
      <c r="E51" s="67">
        <f>SUM(E13:E46)</f>
        <v>26</v>
      </c>
      <c r="F51" s="67">
        <f>SUM(F13:F46)</f>
        <v>0</v>
      </c>
      <c r="G51" s="68" t="s">
        <v>22</v>
      </c>
      <c r="H51" s="69">
        <f>SUM(H13:H46)</f>
        <v>18</v>
      </c>
      <c r="I51" s="70">
        <f>SUM(I13:I46)</f>
        <v>747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7</v>
      </c>
      <c r="F53" s="341">
        <v>3</v>
      </c>
      <c r="G53" s="341">
        <v>3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156000</v>
      </c>
      <c r="F55" s="349">
        <v>59100</v>
      </c>
      <c r="G55" s="349">
        <v>38300</v>
      </c>
      <c r="H55" s="341"/>
      <c r="I55" s="335">
        <v>82500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351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352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353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/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331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339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20" t="s">
        <v>349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 t="s">
        <v>341</v>
      </c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 t="s">
        <v>342</v>
      </c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 t="s">
        <v>350</v>
      </c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338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340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332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333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334</v>
      </c>
      <c r="E79" s="94">
        <v>0.77083333333333337</v>
      </c>
      <c r="F79" s="93" t="s">
        <v>335</v>
      </c>
      <c r="G79" s="315" t="s">
        <v>336</v>
      </c>
      <c r="H79" s="316"/>
      <c r="I79" s="95" t="s">
        <v>337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5" zoomScale="90" zoomScaleNormal="90" workbookViewId="0">
      <selection activeCell="A61" sqref="A61:B6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362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364</v>
      </c>
      <c r="D3" s="5" t="s">
        <v>4</v>
      </c>
      <c r="E3" s="373"/>
      <c r="F3" s="380" t="s">
        <v>363</v>
      </c>
      <c r="G3" s="381"/>
      <c r="H3" s="382">
        <f>G11+'8일'!H3:I3</f>
        <v>19221840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365</v>
      </c>
      <c r="F6" s="15" t="s">
        <v>366</v>
      </c>
      <c r="G6" s="16" t="s">
        <v>367</v>
      </c>
      <c r="H6" s="17">
        <v>0.38</v>
      </c>
      <c r="I6" s="18">
        <v>0.26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1956400</v>
      </c>
      <c r="D11" s="102">
        <v>145</v>
      </c>
      <c r="E11" s="109">
        <f>SUM(E55:I56)</f>
        <v>287800</v>
      </c>
      <c r="F11" s="109">
        <f>SUM(E53:I54)</f>
        <v>18</v>
      </c>
      <c r="G11" s="110">
        <f>C11+E11</f>
        <v>2244200</v>
      </c>
      <c r="H11" s="110">
        <f>D11+F11</f>
        <v>163</v>
      </c>
      <c r="I11" s="111">
        <f>G11/H11</f>
        <v>13768.098159509202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33</v>
      </c>
      <c r="D13" s="23"/>
      <c r="E13" s="22">
        <v>1</v>
      </c>
      <c r="F13" s="24"/>
      <c r="G13" s="25"/>
      <c r="H13" s="23">
        <v>4</v>
      </c>
      <c r="I13" s="26">
        <f>C13-D13-D14*1/2-E13-E14*1/2+F13-H13-H14*1/2-I14*1/2</f>
        <v>28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26</v>
      </c>
      <c r="D15" s="29"/>
      <c r="E15" s="30">
        <v>1</v>
      </c>
      <c r="F15" s="34"/>
      <c r="G15" s="25"/>
      <c r="H15" s="29">
        <v>1</v>
      </c>
      <c r="I15" s="35">
        <f>C15-D15-D16*1/2-E15-E16*1/2+F15-H15-H16*1/2-I16*1/2</f>
        <v>24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16</v>
      </c>
      <c r="D17" s="29"/>
      <c r="E17" s="30">
        <v>1</v>
      </c>
      <c r="F17" s="34"/>
      <c r="G17" s="118"/>
      <c r="H17" s="29"/>
      <c r="I17" s="37">
        <f>C17-D17-D18*1/2-E17-E18*1/2+F17-H17-H18*1/2-I18*1/2</f>
        <v>15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16</v>
      </c>
      <c r="D19" s="29"/>
      <c r="E19" s="30"/>
      <c r="F19" s="34"/>
      <c r="G19" s="25"/>
      <c r="H19" s="29"/>
      <c r="I19" s="35">
        <f>C19-D19-D20*1/2-E19-E20*1/2+F19-H19-H20*1/2-I20*1/2</f>
        <v>16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91</v>
      </c>
      <c r="D21" s="41"/>
      <c r="E21" s="42">
        <v>4</v>
      </c>
      <c r="F21" s="43"/>
      <c r="G21" s="44"/>
      <c r="H21" s="43"/>
      <c r="I21" s="45">
        <f t="shared" ref="I21:I48" si="0">C21-D21-E21+F21-H21</f>
        <v>87</v>
      </c>
    </row>
    <row r="22" spans="1:9" ht="17.25" customHeight="1" x14ac:dyDescent="0.3">
      <c r="A22" s="352"/>
      <c r="B22" s="21" t="s">
        <v>32</v>
      </c>
      <c r="C22" s="46">
        <v>44</v>
      </c>
      <c r="D22" s="23">
        <v>2</v>
      </c>
      <c r="E22" s="47">
        <v>3</v>
      </c>
      <c r="F22" s="48"/>
      <c r="G22" s="25"/>
      <c r="H22" s="48"/>
      <c r="I22" s="49">
        <f t="shared" si="0"/>
        <v>39</v>
      </c>
    </row>
    <row r="23" spans="1:9" ht="17.25" customHeight="1" x14ac:dyDescent="0.3">
      <c r="A23" s="352"/>
      <c r="B23" s="27" t="s">
        <v>33</v>
      </c>
      <c r="C23" s="33">
        <v>196</v>
      </c>
      <c r="D23" s="29"/>
      <c r="E23" s="50">
        <v>5</v>
      </c>
      <c r="F23" s="51"/>
      <c r="G23" s="25"/>
      <c r="H23" s="51"/>
      <c r="I23" s="52">
        <f>C23-D23-D24-E23-E24+F23+F24-H23-H24-I24</f>
        <v>188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3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26</v>
      </c>
      <c r="D25" s="23"/>
      <c r="E25" s="47"/>
      <c r="F25" s="48"/>
      <c r="G25" s="112"/>
      <c r="H25" s="48"/>
      <c r="I25" s="49">
        <f t="shared" si="0"/>
        <v>26</v>
      </c>
    </row>
    <row r="26" spans="1:9" ht="17.25" customHeight="1" x14ac:dyDescent="0.3">
      <c r="A26" s="352"/>
      <c r="B26" s="160" t="s">
        <v>36</v>
      </c>
      <c r="C26" s="55">
        <v>43</v>
      </c>
      <c r="D26" s="41"/>
      <c r="E26" s="42"/>
      <c r="F26" s="43"/>
      <c r="G26" s="113"/>
      <c r="H26" s="43"/>
      <c r="I26" s="45">
        <f t="shared" si="0"/>
        <v>43</v>
      </c>
    </row>
    <row r="27" spans="1:9" ht="17.25" customHeight="1" x14ac:dyDescent="0.3">
      <c r="A27" s="352"/>
      <c r="B27" s="21" t="s">
        <v>37</v>
      </c>
      <c r="C27" s="46">
        <v>32</v>
      </c>
      <c r="D27" s="23"/>
      <c r="E27" s="47"/>
      <c r="F27" s="48"/>
      <c r="G27" s="112"/>
      <c r="H27" s="48"/>
      <c r="I27" s="49">
        <f t="shared" si="0"/>
        <v>32</v>
      </c>
    </row>
    <row r="28" spans="1:9" ht="17.25" customHeight="1" x14ac:dyDescent="0.3">
      <c r="A28" s="352"/>
      <c r="B28" s="160" t="s">
        <v>38</v>
      </c>
      <c r="C28" s="55">
        <v>40</v>
      </c>
      <c r="D28" s="41"/>
      <c r="E28" s="42">
        <v>1</v>
      </c>
      <c r="F28" s="43"/>
      <c r="G28" s="113"/>
      <c r="H28" s="43"/>
      <c r="I28" s="45">
        <f t="shared" si="0"/>
        <v>39</v>
      </c>
    </row>
    <row r="29" spans="1:9" ht="17.25" customHeight="1" x14ac:dyDescent="0.3">
      <c r="A29" s="352"/>
      <c r="B29" s="21" t="s">
        <v>39</v>
      </c>
      <c r="C29" s="46">
        <v>10</v>
      </c>
      <c r="D29" s="23"/>
      <c r="E29" s="47"/>
      <c r="F29" s="48"/>
      <c r="G29" s="25"/>
      <c r="H29" s="48"/>
      <c r="I29" s="49">
        <f t="shared" si="0"/>
        <v>10</v>
      </c>
    </row>
    <row r="30" spans="1:9" ht="17.25" customHeight="1" x14ac:dyDescent="0.3">
      <c r="A30" s="352"/>
      <c r="B30" s="56" t="s">
        <v>40</v>
      </c>
      <c r="C30" s="57">
        <v>123</v>
      </c>
      <c r="D30" s="29"/>
      <c r="E30" s="50">
        <v>2</v>
      </c>
      <c r="F30" s="51"/>
      <c r="G30" s="25"/>
      <c r="H30" s="51"/>
      <c r="I30" s="52">
        <f>C30-D30-D31-E30-E31+F30+F31-H30-H31-I31</f>
        <v>121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>
        <v>4</v>
      </c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>
        <v>1</v>
      </c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>
        <v>2</v>
      </c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735</v>
      </c>
      <c r="D51" s="66">
        <f>SUM(D13:D46)</f>
        <v>2</v>
      </c>
      <c r="E51" s="67">
        <f>SUM(E13:E46)</f>
        <v>22</v>
      </c>
      <c r="F51" s="67">
        <f>SUM(F13:F46)</f>
        <v>0</v>
      </c>
      <c r="G51" s="68" t="s">
        <v>22</v>
      </c>
      <c r="H51" s="69">
        <f>SUM(H13:H46)</f>
        <v>5</v>
      </c>
      <c r="I51" s="70">
        <f>SUM(I13:I46)</f>
        <v>699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6</v>
      </c>
      <c r="F53" s="341">
        <v>2</v>
      </c>
      <c r="G53" s="341">
        <v>9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138900</v>
      </c>
      <c r="F55" s="349">
        <v>49800</v>
      </c>
      <c r="G55" s="349">
        <v>60900</v>
      </c>
      <c r="H55" s="341"/>
      <c r="I55" s="335">
        <v>38200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368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369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370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/>
      <c r="D60" s="324"/>
      <c r="E60" s="324"/>
      <c r="F60" s="324"/>
      <c r="G60" s="324"/>
      <c r="H60" s="324"/>
      <c r="I60" s="325"/>
    </row>
    <row r="61" spans="1:10" s="76" customFormat="1" ht="35.25" customHeight="1" x14ac:dyDescent="0.3">
      <c r="A61" s="301" t="s">
        <v>378</v>
      </c>
      <c r="B61" s="302"/>
      <c r="C61" s="390" t="s">
        <v>360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361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/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 t="s">
        <v>371</v>
      </c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/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/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354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355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356</v>
      </c>
      <c r="E79" s="94">
        <v>0.8125</v>
      </c>
      <c r="F79" s="93" t="s">
        <v>357</v>
      </c>
      <c r="G79" s="315" t="s">
        <v>358</v>
      </c>
      <c r="H79" s="316"/>
      <c r="I79" s="95" t="s">
        <v>359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6" zoomScale="90" zoomScaleNormal="90" workbookViewId="0">
      <selection activeCell="C57" sqref="C57:I5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372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374</v>
      </c>
      <c r="D3" s="5" t="s">
        <v>4</v>
      </c>
      <c r="E3" s="373"/>
      <c r="F3" s="380" t="s">
        <v>373</v>
      </c>
      <c r="G3" s="381"/>
      <c r="H3" s="382">
        <f>G11+'9일'!H3:I3</f>
        <v>22151040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376</v>
      </c>
      <c r="F6" s="15" t="s">
        <v>377</v>
      </c>
      <c r="G6" s="16" t="s">
        <v>375</v>
      </c>
      <c r="H6" s="17">
        <v>0.34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2583100</v>
      </c>
      <c r="D11" s="102">
        <v>195</v>
      </c>
      <c r="E11" s="109">
        <f>SUM(E55:I56)</f>
        <v>346100</v>
      </c>
      <c r="F11" s="109">
        <f>SUM(E53:I54)</f>
        <v>14</v>
      </c>
      <c r="G11" s="110">
        <f>C11+E11</f>
        <v>2929200</v>
      </c>
      <c r="H11" s="110">
        <f>D11+F11</f>
        <v>209</v>
      </c>
      <c r="I11" s="111">
        <f>G11/H11</f>
        <v>14015.311004784689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32</v>
      </c>
      <c r="D13" s="23"/>
      <c r="E13" s="22">
        <v>1</v>
      </c>
      <c r="F13" s="24"/>
      <c r="G13" s="25"/>
      <c r="H13" s="23"/>
      <c r="I13" s="26">
        <f>C13-D13-D14*1/2-E13-E14*1/2+F13-H13-H14*1/2-I14*1/2</f>
        <v>30.5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27</v>
      </c>
      <c r="D15" s="29"/>
      <c r="E15" s="30">
        <v>2</v>
      </c>
      <c r="F15" s="34"/>
      <c r="G15" s="25"/>
      <c r="H15" s="29"/>
      <c r="I15" s="35">
        <f>C15-D15-D16*1/2-E15-E16*1/2+F15-H15-H16*1/2-I16*1/2</f>
        <v>24.5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20</v>
      </c>
      <c r="D17" s="29"/>
      <c r="E17" s="30">
        <v>1</v>
      </c>
      <c r="F17" s="34"/>
      <c r="G17" s="118"/>
      <c r="H17" s="29"/>
      <c r="I17" s="37">
        <f>C17-D17-D18*1/2-E17-E18*1/2+F17-H17-H18*1/2-I18*1/2</f>
        <v>18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2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80</v>
      </c>
      <c r="D21" s="41">
        <v>5</v>
      </c>
      <c r="E21" s="42">
        <v>1</v>
      </c>
      <c r="F21" s="43"/>
      <c r="G21" s="44"/>
      <c r="H21" s="43"/>
      <c r="I21" s="45">
        <f t="shared" ref="I21:I48" si="0">C21-D21-E21+F21-H21</f>
        <v>74</v>
      </c>
    </row>
    <row r="22" spans="1:9" ht="17.25" customHeight="1" x14ac:dyDescent="0.3">
      <c r="A22" s="352"/>
      <c r="B22" s="21" t="s">
        <v>32</v>
      </c>
      <c r="C22" s="46">
        <v>30</v>
      </c>
      <c r="D22" s="23"/>
      <c r="E22" s="47">
        <v>1</v>
      </c>
      <c r="F22" s="48"/>
      <c r="G22" s="25"/>
      <c r="H22" s="48"/>
      <c r="I22" s="49">
        <f t="shared" si="0"/>
        <v>29</v>
      </c>
    </row>
    <row r="23" spans="1:9" ht="17.25" customHeight="1" x14ac:dyDescent="0.3">
      <c r="A23" s="352"/>
      <c r="B23" s="27" t="s">
        <v>33</v>
      </c>
      <c r="C23" s="33">
        <v>120</v>
      </c>
      <c r="D23" s="29"/>
      <c r="E23" s="50">
        <v>2</v>
      </c>
      <c r="F23" s="51"/>
      <c r="G23" s="25"/>
      <c r="H23" s="51"/>
      <c r="I23" s="52">
        <f>C23-D23-D24-E23-E24+F23+F24-H23-H24-I24</f>
        <v>116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39</v>
      </c>
      <c r="D25" s="23"/>
      <c r="E25" s="47"/>
      <c r="F25" s="48"/>
      <c r="G25" s="112"/>
      <c r="H25" s="48"/>
      <c r="I25" s="49">
        <f t="shared" si="0"/>
        <v>39</v>
      </c>
    </row>
    <row r="26" spans="1:9" ht="17.25" customHeight="1" x14ac:dyDescent="0.3">
      <c r="A26" s="352"/>
      <c r="B26" s="160" t="s">
        <v>36</v>
      </c>
      <c r="C26" s="55">
        <v>30</v>
      </c>
      <c r="D26" s="41"/>
      <c r="E26" s="42"/>
      <c r="F26" s="43"/>
      <c r="G26" s="113"/>
      <c r="H26" s="43"/>
      <c r="I26" s="45">
        <f t="shared" si="0"/>
        <v>30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2"/>
      <c r="B28" s="160" t="s">
        <v>38</v>
      </c>
      <c r="C28" s="55">
        <v>40</v>
      </c>
      <c r="D28" s="41"/>
      <c r="E28" s="42"/>
      <c r="F28" s="43"/>
      <c r="G28" s="113"/>
      <c r="H28" s="43">
        <v>1</v>
      </c>
      <c r="I28" s="45">
        <f t="shared" si="0"/>
        <v>39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123</v>
      </c>
      <c r="D30" s="29"/>
      <c r="E30" s="50">
        <v>1</v>
      </c>
      <c r="F30" s="51"/>
      <c r="G30" s="25"/>
      <c r="H30" s="51"/>
      <c r="I30" s="52">
        <f>C30-D30-D31-E30-E31+F30+F31-H30-H31-I31</f>
        <v>121</v>
      </c>
    </row>
    <row r="31" spans="1:9" ht="17.25" customHeight="1" x14ac:dyDescent="0.3">
      <c r="A31" s="352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8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13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21</v>
      </c>
      <c r="D46" s="23"/>
      <c r="E46" s="47"/>
      <c r="F46" s="48"/>
      <c r="G46" s="116"/>
      <c r="H46" s="48"/>
      <c r="I46" s="49">
        <f t="shared" si="0"/>
        <v>21</v>
      </c>
    </row>
    <row r="47" spans="1:9" ht="17.25" customHeight="1" x14ac:dyDescent="0.3">
      <c r="A47" s="352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53"/>
      <c r="B51" s="64" t="s">
        <v>42</v>
      </c>
      <c r="C51" s="65">
        <f>SUM(C13:C50)</f>
        <v>636</v>
      </c>
      <c r="D51" s="66">
        <f>SUM(D13:D46)</f>
        <v>5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1</v>
      </c>
      <c r="I51" s="70">
        <f>SUM(I13:I46)</f>
        <v>628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>
        <v>2</v>
      </c>
      <c r="G53" s="341">
        <v>8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87100</v>
      </c>
      <c r="F55" s="349">
        <v>37000</v>
      </c>
      <c r="G55" s="349">
        <v>70800</v>
      </c>
      <c r="H55" s="341"/>
      <c r="I55" s="335">
        <v>151200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394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391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392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393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379</v>
      </c>
      <c r="B61" s="302"/>
      <c r="C61" s="391" t="s">
        <v>380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20" t="s">
        <v>390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389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387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 t="s">
        <v>388</v>
      </c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381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382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383</v>
      </c>
      <c r="E79" s="94">
        <v>0.8125</v>
      </c>
      <c r="F79" s="93" t="s">
        <v>384</v>
      </c>
      <c r="G79" s="315" t="s">
        <v>385</v>
      </c>
      <c r="H79" s="316"/>
      <c r="I79" s="95" t="s">
        <v>386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C60" sqref="C60:I6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395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396</v>
      </c>
      <c r="D3" s="5" t="s">
        <v>4</v>
      </c>
      <c r="E3" s="373"/>
      <c r="F3" s="380" t="s">
        <v>397</v>
      </c>
      <c r="G3" s="381"/>
      <c r="H3" s="382">
        <f>G11+'10일'!H3:I3</f>
        <v>24629340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412</v>
      </c>
      <c r="F6" s="15" t="s">
        <v>398</v>
      </c>
      <c r="G6" s="16" t="s">
        <v>399</v>
      </c>
      <c r="H6" s="17">
        <v>0.4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1907000</v>
      </c>
      <c r="D11" s="102">
        <v>163</v>
      </c>
      <c r="E11" s="109">
        <f>SUM(E55:I56)</f>
        <v>571300</v>
      </c>
      <c r="F11" s="109">
        <f>SUM(E53:I54)</f>
        <v>13</v>
      </c>
      <c r="G11" s="110">
        <f>C11+E11</f>
        <v>2478300</v>
      </c>
      <c r="H11" s="110">
        <f>D11+F11</f>
        <v>176</v>
      </c>
      <c r="I11" s="111">
        <f>G11/H11</f>
        <v>14081.25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38</v>
      </c>
      <c r="D13" s="23"/>
      <c r="E13" s="22"/>
      <c r="F13" s="24"/>
      <c r="G13" s="25"/>
      <c r="H13" s="23"/>
      <c r="I13" s="26">
        <f>C13-D13-D14*1/2-E13-E14*1/2+F13-H13-H14*1/2-I14*1/2</f>
        <v>37.5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12</v>
      </c>
      <c r="D15" s="29"/>
      <c r="E15" s="30"/>
      <c r="F15" s="34"/>
      <c r="G15" s="25"/>
      <c r="H15" s="29"/>
      <c r="I15" s="35">
        <f>C15-D15-D16*1/2-E15-E16*1/2+F15-H15-H16*1/2-I16*1/2</f>
        <v>11.5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48</v>
      </c>
      <c r="D17" s="29"/>
      <c r="E17" s="30">
        <v>1</v>
      </c>
      <c r="F17" s="34"/>
      <c r="G17" s="118"/>
      <c r="H17" s="29">
        <v>7</v>
      </c>
      <c r="I17" s="37">
        <f>C17-D17-D18*1/2-E17-E18*1/2+F17-H17-H18*1/2-I18*1/2</f>
        <v>38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2</v>
      </c>
      <c r="F18" s="31"/>
      <c r="G18" s="25"/>
      <c r="H18" s="29">
        <v>2</v>
      </c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</v>
      </c>
    </row>
    <row r="20" spans="1:9" ht="17.25" customHeight="1" x14ac:dyDescent="0.3">
      <c r="A20" s="352"/>
      <c r="B20" s="27" t="s">
        <v>30</v>
      </c>
      <c r="C20" s="28"/>
      <c r="D20" s="29"/>
      <c r="E20" s="30">
        <v>1</v>
      </c>
      <c r="F20" s="31"/>
      <c r="G20" s="25"/>
      <c r="H20" s="29">
        <v>1</v>
      </c>
      <c r="I20" s="38"/>
    </row>
    <row r="21" spans="1:9" ht="17.25" customHeight="1" x14ac:dyDescent="0.3">
      <c r="A21" s="352"/>
      <c r="B21" s="39" t="s">
        <v>31</v>
      </c>
      <c r="C21" s="40">
        <v>71</v>
      </c>
      <c r="D21" s="41"/>
      <c r="E21" s="42">
        <v>2</v>
      </c>
      <c r="F21" s="43"/>
      <c r="G21" s="44"/>
      <c r="H21" s="43"/>
      <c r="I21" s="45">
        <f t="shared" ref="I21:I48" si="0">C21-D21-E21+F21-H21</f>
        <v>69</v>
      </c>
    </row>
    <row r="22" spans="1:9" ht="17.25" customHeight="1" x14ac:dyDescent="0.3">
      <c r="A22" s="352"/>
      <c r="B22" s="21" t="s">
        <v>32</v>
      </c>
      <c r="C22" s="46">
        <v>26</v>
      </c>
      <c r="D22" s="23"/>
      <c r="E22" s="47"/>
      <c r="F22" s="48"/>
      <c r="G22" s="25"/>
      <c r="H22" s="48"/>
      <c r="I22" s="49">
        <f t="shared" si="0"/>
        <v>26</v>
      </c>
    </row>
    <row r="23" spans="1:9" ht="17.25" customHeight="1" x14ac:dyDescent="0.3">
      <c r="A23" s="352"/>
      <c r="B23" s="27" t="s">
        <v>33</v>
      </c>
      <c r="C23" s="33">
        <v>138</v>
      </c>
      <c r="D23" s="29"/>
      <c r="E23" s="50">
        <v>2</v>
      </c>
      <c r="F23" s="51"/>
      <c r="G23" s="25"/>
      <c r="H23" s="51">
        <v>5</v>
      </c>
      <c r="I23" s="52">
        <f>C23-D23-D24-E23-E24+F23+F24-H23-H24-I24</f>
        <v>130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>
        <v>5</v>
      </c>
      <c r="I25" s="49">
        <f t="shared" si="0"/>
        <v>19</v>
      </c>
    </row>
    <row r="26" spans="1:9" ht="17.25" customHeight="1" x14ac:dyDescent="0.3">
      <c r="A26" s="352"/>
      <c r="B26" s="160" t="s">
        <v>36</v>
      </c>
      <c r="C26" s="55">
        <v>43</v>
      </c>
      <c r="D26" s="41"/>
      <c r="E26" s="42"/>
      <c r="F26" s="43"/>
      <c r="G26" s="113"/>
      <c r="H26" s="43">
        <v>2</v>
      </c>
      <c r="I26" s="45">
        <f t="shared" si="0"/>
        <v>41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>
        <v>13</v>
      </c>
      <c r="I27" s="49">
        <f t="shared" si="0"/>
        <v>15</v>
      </c>
    </row>
    <row r="28" spans="1:9" ht="17.25" customHeight="1" x14ac:dyDescent="0.3">
      <c r="A28" s="352"/>
      <c r="B28" s="160" t="s">
        <v>38</v>
      </c>
      <c r="C28" s="55">
        <v>40</v>
      </c>
      <c r="D28" s="41"/>
      <c r="E28" s="42"/>
      <c r="F28" s="43"/>
      <c r="G28" s="113"/>
      <c r="H28" s="43">
        <v>9</v>
      </c>
      <c r="I28" s="45">
        <f t="shared" si="0"/>
        <v>31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2"/>
      <c r="B30" s="56" t="s">
        <v>40</v>
      </c>
      <c r="C30" s="57">
        <v>75</v>
      </c>
      <c r="D30" s="29">
        <v>1</v>
      </c>
      <c r="E30" s="50">
        <v>3</v>
      </c>
      <c r="F30" s="51"/>
      <c r="G30" s="25"/>
      <c r="H30" s="51"/>
      <c r="I30" s="52">
        <f>C30-D30-D31-E30-E31+F30+F31-H30-H31-I31</f>
        <v>71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4</v>
      </c>
      <c r="F35" s="48"/>
      <c r="G35" s="116"/>
      <c r="H35" s="48"/>
      <c r="I35" s="282">
        <v>13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590</v>
      </c>
      <c r="D51" s="66">
        <f>SUM(D13:D46)</f>
        <v>1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45</v>
      </c>
      <c r="I51" s="70">
        <f>SUM(I13:I46)</f>
        <v>550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1</v>
      </c>
      <c r="G53" s="341">
        <v>6</v>
      </c>
      <c r="H53" s="341"/>
      <c r="I53" s="343">
        <v>2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88700</v>
      </c>
      <c r="F55" s="349">
        <v>31100</v>
      </c>
      <c r="G55" s="349">
        <v>78600</v>
      </c>
      <c r="H55" s="341"/>
      <c r="I55" s="335">
        <v>372900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413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414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415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416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409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410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20" t="s">
        <v>411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400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401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402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403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404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405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406</v>
      </c>
      <c r="E79" s="94">
        <v>0.8125</v>
      </c>
      <c r="F79" s="93" t="s">
        <v>407</v>
      </c>
      <c r="G79" s="315" t="s">
        <v>408</v>
      </c>
      <c r="H79" s="316"/>
      <c r="I79" s="95" t="s">
        <v>408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A61" sqref="A61:B6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419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417</v>
      </c>
      <c r="D3" s="5" t="s">
        <v>4</v>
      </c>
      <c r="E3" s="373"/>
      <c r="F3" s="380" t="s">
        <v>418</v>
      </c>
      <c r="G3" s="381"/>
      <c r="H3" s="382">
        <f>G11+'11일'!H3:I3</f>
        <v>27046640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420</v>
      </c>
      <c r="F6" s="15" t="s">
        <v>421</v>
      </c>
      <c r="G6" s="16" t="s">
        <v>422</v>
      </c>
      <c r="H6" s="17">
        <v>0.32</v>
      </c>
      <c r="I6" s="18">
        <v>0.24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2093900</v>
      </c>
      <c r="D11" s="102">
        <v>171</v>
      </c>
      <c r="E11" s="109">
        <f>SUM(E55:I56)</f>
        <v>323400</v>
      </c>
      <c r="F11" s="109">
        <f>SUM(E53:I54)</f>
        <v>10</v>
      </c>
      <c r="G11" s="110">
        <f>C11+E11</f>
        <v>2417300</v>
      </c>
      <c r="H11" s="110">
        <f>D11+F11</f>
        <v>181</v>
      </c>
      <c r="I11" s="111">
        <f>G11/H11</f>
        <v>13355.24861878453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16.5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20</v>
      </c>
      <c r="D17" s="29"/>
      <c r="E17" s="30">
        <v>1</v>
      </c>
      <c r="F17" s="34"/>
      <c r="G17" s="118"/>
      <c r="H17" s="29"/>
      <c r="I17" s="37">
        <f>C17-D17-D18*1/2-E17-E18*1/2+F17-H17-H18*1/2-I18*1/2</f>
        <v>19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>
        <v>3</v>
      </c>
      <c r="I19" s="35">
        <f>C19-D19-D20*1/2-E19-E20*1/2+F19-H19-H20*1/2-I20*1/2</f>
        <v>8.5</v>
      </c>
    </row>
    <row r="20" spans="1:9" ht="17.25" customHeight="1" x14ac:dyDescent="0.3">
      <c r="A20" s="352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79</v>
      </c>
      <c r="D21" s="41"/>
      <c r="E21" s="42">
        <v>2</v>
      </c>
      <c r="F21" s="43"/>
      <c r="G21" s="44"/>
      <c r="H21" s="43">
        <v>3</v>
      </c>
      <c r="I21" s="45">
        <f t="shared" ref="I21:I48" si="0">C21-D21-E21+F21-H21</f>
        <v>74</v>
      </c>
    </row>
    <row r="22" spans="1:9" ht="17.25" customHeight="1" x14ac:dyDescent="0.3">
      <c r="A22" s="352"/>
      <c r="B22" s="21" t="s">
        <v>32</v>
      </c>
      <c r="C22" s="46">
        <v>42</v>
      </c>
      <c r="D22" s="23"/>
      <c r="E22" s="47">
        <v>1</v>
      </c>
      <c r="F22" s="48"/>
      <c r="G22" s="25"/>
      <c r="H22" s="48"/>
      <c r="I22" s="49">
        <f t="shared" si="0"/>
        <v>41</v>
      </c>
    </row>
    <row r="23" spans="1:9" ht="17.25" customHeight="1" x14ac:dyDescent="0.3">
      <c r="A23" s="352"/>
      <c r="B23" s="27" t="s">
        <v>33</v>
      </c>
      <c r="C23" s="33">
        <v>131</v>
      </c>
      <c r="D23" s="29"/>
      <c r="E23" s="50">
        <v>5</v>
      </c>
      <c r="F23" s="51"/>
      <c r="G23" s="25"/>
      <c r="H23" s="51"/>
      <c r="I23" s="52">
        <f>C23-D23-D24-E23-E24+F23+F24-H23-H24-I24</f>
        <v>121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5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39</v>
      </c>
      <c r="D25" s="23"/>
      <c r="E25" s="47">
        <v>1</v>
      </c>
      <c r="F25" s="48"/>
      <c r="G25" s="112"/>
      <c r="H25" s="48">
        <v>13</v>
      </c>
      <c r="I25" s="49">
        <f t="shared" si="0"/>
        <v>25</v>
      </c>
    </row>
    <row r="26" spans="1:9" ht="17.25" customHeight="1" x14ac:dyDescent="0.3">
      <c r="A26" s="352"/>
      <c r="B26" s="160" t="s">
        <v>36</v>
      </c>
      <c r="C26" s="55">
        <v>31</v>
      </c>
      <c r="D26" s="41"/>
      <c r="E26" s="42"/>
      <c r="F26" s="43"/>
      <c r="G26" s="113"/>
      <c r="H26" s="43"/>
      <c r="I26" s="45">
        <f t="shared" si="0"/>
        <v>31</v>
      </c>
    </row>
    <row r="27" spans="1:9" ht="17.25" customHeight="1" x14ac:dyDescent="0.3">
      <c r="A27" s="352"/>
      <c r="B27" s="21" t="s">
        <v>37</v>
      </c>
      <c r="C27" s="46">
        <v>25</v>
      </c>
      <c r="D27" s="23"/>
      <c r="E27" s="47"/>
      <c r="F27" s="48"/>
      <c r="G27" s="112"/>
      <c r="H27" s="48"/>
      <c r="I27" s="49">
        <f t="shared" si="0"/>
        <v>25</v>
      </c>
    </row>
    <row r="28" spans="1:9" ht="17.25" customHeight="1" x14ac:dyDescent="0.3">
      <c r="A28" s="352"/>
      <c r="B28" s="160" t="s">
        <v>38</v>
      </c>
      <c r="C28" s="55">
        <v>38</v>
      </c>
      <c r="D28" s="41"/>
      <c r="E28" s="42"/>
      <c r="F28" s="43"/>
      <c r="G28" s="113"/>
      <c r="H28" s="43"/>
      <c r="I28" s="45">
        <f t="shared" si="0"/>
        <v>38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75</v>
      </c>
      <c r="D30" s="29"/>
      <c r="E30" s="50"/>
      <c r="F30" s="51"/>
      <c r="G30" s="25"/>
      <c r="H30" s="51">
        <v>5</v>
      </c>
      <c r="I30" s="52">
        <f>C30-D30-D31-E30-E31+F30+F31-H30-H31-I31</f>
        <v>70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21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15</v>
      </c>
      <c r="D46" s="23"/>
      <c r="E46" s="47"/>
      <c r="F46" s="48"/>
      <c r="G46" s="116"/>
      <c r="H46" s="48"/>
      <c r="I46" s="49">
        <f t="shared" si="0"/>
        <v>15</v>
      </c>
    </row>
    <row r="47" spans="1:9" ht="17.25" customHeight="1" x14ac:dyDescent="0.3">
      <c r="A47" s="352"/>
      <c r="B47" s="120" t="s">
        <v>88</v>
      </c>
      <c r="C47" s="121">
        <v>20</v>
      </c>
      <c r="D47" s="122"/>
      <c r="E47" s="123"/>
      <c r="F47" s="124"/>
      <c r="G47" s="112"/>
      <c r="H47" s="124"/>
      <c r="I47" s="52">
        <f t="shared" si="0"/>
        <v>20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3"/>
      <c r="B51" s="64" t="s">
        <v>42</v>
      </c>
      <c r="C51" s="65">
        <f>SUM(C13:C50)</f>
        <v>589</v>
      </c>
      <c r="D51" s="66">
        <f>SUM(D13:D46)</f>
        <v>0</v>
      </c>
      <c r="E51" s="67">
        <f>SUM(E13:E46)</f>
        <v>20</v>
      </c>
      <c r="F51" s="67">
        <f>SUM(F13:F46)</f>
        <v>0</v>
      </c>
      <c r="G51" s="68" t="s">
        <v>22</v>
      </c>
      <c r="H51" s="69">
        <f>SUM(H13:H46)</f>
        <v>24</v>
      </c>
      <c r="I51" s="70">
        <f>SUM(I13:I46)</f>
        <v>552.5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1</v>
      </c>
      <c r="F53" s="341">
        <v>1</v>
      </c>
      <c r="G53" s="341">
        <v>8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24900</v>
      </c>
      <c r="F55" s="349">
        <v>19100</v>
      </c>
      <c r="G55" s="349">
        <v>135400</v>
      </c>
      <c r="H55" s="341"/>
      <c r="I55" s="335">
        <v>144000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438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436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435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437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423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433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38" t="s">
        <v>434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424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425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426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432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427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428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429</v>
      </c>
      <c r="E79" s="94">
        <v>0.8125</v>
      </c>
      <c r="F79" s="93" t="s">
        <v>430</v>
      </c>
      <c r="G79" s="315" t="s">
        <v>431</v>
      </c>
      <c r="H79" s="316"/>
      <c r="I79" s="95" t="s">
        <v>431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67" zoomScale="90" zoomScaleNormal="90" workbookViewId="0">
      <selection activeCell="J16" sqref="J1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439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440</v>
      </c>
      <c r="D3" s="5" t="s">
        <v>4</v>
      </c>
      <c r="E3" s="373"/>
      <c r="F3" s="380" t="s">
        <v>452</v>
      </c>
      <c r="G3" s="381"/>
      <c r="H3" s="382">
        <f>G11+'12일'!H3:I3</f>
        <v>30540840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441</v>
      </c>
      <c r="F6" s="15" t="s">
        <v>454</v>
      </c>
      <c r="G6" s="16" t="s">
        <v>453</v>
      </c>
      <c r="H6" s="17">
        <v>0.43</v>
      </c>
      <c r="I6" s="18">
        <v>0.24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3092300</v>
      </c>
      <c r="D11" s="102">
        <v>213</v>
      </c>
      <c r="E11" s="109">
        <f>SUM(E55:I56)</f>
        <v>401900</v>
      </c>
      <c r="F11" s="109">
        <f>SUM(E53:I54)</f>
        <v>19</v>
      </c>
      <c r="G11" s="110">
        <f>C11+E11</f>
        <v>3494200</v>
      </c>
      <c r="H11" s="110">
        <f>D11+F11</f>
        <v>232</v>
      </c>
      <c r="I11" s="111">
        <f>G11/H11</f>
        <v>15061.206896551725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20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16.5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35</v>
      </c>
      <c r="D17" s="29"/>
      <c r="E17" s="30"/>
      <c r="F17" s="34"/>
      <c r="G17" s="118"/>
      <c r="H17" s="29"/>
      <c r="I17" s="37">
        <f>C17-D17-D18*1/2-E17-E18*1/2+F17-H17-H18*1/2-I18*1/2</f>
        <v>34.5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120</v>
      </c>
      <c r="D21" s="41"/>
      <c r="E21" s="42">
        <v>2</v>
      </c>
      <c r="F21" s="43"/>
      <c r="G21" s="44"/>
      <c r="H21" s="43"/>
      <c r="I21" s="45">
        <f t="shared" ref="I21:I48" si="0">C21-D21-E21+F21-H21</f>
        <v>118</v>
      </c>
    </row>
    <row r="22" spans="1:9" ht="17.25" customHeight="1" x14ac:dyDescent="0.3">
      <c r="A22" s="352"/>
      <c r="B22" s="21" t="s">
        <v>32</v>
      </c>
      <c r="C22" s="46">
        <v>30</v>
      </c>
      <c r="D22" s="23"/>
      <c r="E22" s="47">
        <v>2</v>
      </c>
      <c r="F22" s="48"/>
      <c r="G22" s="25"/>
      <c r="H22" s="48"/>
      <c r="I22" s="49">
        <f t="shared" si="0"/>
        <v>28</v>
      </c>
    </row>
    <row r="23" spans="1:9" ht="17.25" customHeight="1" x14ac:dyDescent="0.3">
      <c r="A23" s="352"/>
      <c r="B23" s="27" t="s">
        <v>33</v>
      </c>
      <c r="C23" s="33">
        <v>153</v>
      </c>
      <c r="D23" s="29"/>
      <c r="E23" s="50">
        <v>2</v>
      </c>
      <c r="F23" s="51"/>
      <c r="G23" s="25"/>
      <c r="H23" s="51"/>
      <c r="I23" s="52">
        <f>C23-D23-D24-E23-E24+F23+F24-H23-H24-I24</f>
        <v>150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36</v>
      </c>
      <c r="D25" s="23"/>
      <c r="E25" s="47"/>
      <c r="F25" s="48"/>
      <c r="G25" s="112"/>
      <c r="H25" s="48"/>
      <c r="I25" s="49">
        <f t="shared" si="0"/>
        <v>36</v>
      </c>
    </row>
    <row r="26" spans="1:9" ht="17.25" customHeight="1" x14ac:dyDescent="0.3">
      <c r="A26" s="352"/>
      <c r="B26" s="160" t="s">
        <v>36</v>
      </c>
      <c r="C26" s="55">
        <v>32</v>
      </c>
      <c r="D26" s="41"/>
      <c r="E26" s="42"/>
      <c r="F26" s="43"/>
      <c r="G26" s="113"/>
      <c r="H26" s="43"/>
      <c r="I26" s="45">
        <f t="shared" si="0"/>
        <v>32</v>
      </c>
    </row>
    <row r="27" spans="1:9" ht="17.25" customHeight="1" x14ac:dyDescent="0.3">
      <c r="A27" s="352"/>
      <c r="B27" s="21" t="s">
        <v>37</v>
      </c>
      <c r="C27" s="46">
        <v>32</v>
      </c>
      <c r="D27" s="23">
        <v>1</v>
      </c>
      <c r="E27" s="47">
        <v>1</v>
      </c>
      <c r="F27" s="48"/>
      <c r="G27" s="112"/>
      <c r="H27" s="48"/>
      <c r="I27" s="49">
        <f t="shared" si="0"/>
        <v>30</v>
      </c>
    </row>
    <row r="28" spans="1:9" ht="17.25" customHeight="1" x14ac:dyDescent="0.3">
      <c r="A28" s="352"/>
      <c r="B28" s="160" t="s">
        <v>38</v>
      </c>
      <c r="C28" s="55">
        <v>47</v>
      </c>
      <c r="D28" s="41"/>
      <c r="E28" s="42">
        <v>1</v>
      </c>
      <c r="F28" s="43"/>
      <c r="G28" s="113"/>
      <c r="H28" s="43">
        <v>2</v>
      </c>
      <c r="I28" s="45">
        <f t="shared" si="0"/>
        <v>44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123</v>
      </c>
      <c r="D30" s="29"/>
      <c r="E30" s="50"/>
      <c r="F30" s="51"/>
      <c r="G30" s="25"/>
      <c r="H30" s="51">
        <v>2</v>
      </c>
      <c r="I30" s="52">
        <f>C30-D30-D31-E30-E31+F30+F31-H30-H31-I31</f>
        <v>121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39</v>
      </c>
    </row>
    <row r="36" spans="1:9" ht="17.25" customHeight="1" x14ac:dyDescent="0.3">
      <c r="A36" s="352"/>
      <c r="B36" s="153" t="s">
        <v>80</v>
      </c>
      <c r="C36" s="121">
        <v>21</v>
      </c>
      <c r="D36" s="122"/>
      <c r="E36" s="123">
        <v>1</v>
      </c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10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3"/>
      <c r="B51" s="64" t="s">
        <v>42</v>
      </c>
      <c r="C51" s="65">
        <f>SUM(C13:C50)</f>
        <v>705</v>
      </c>
      <c r="D51" s="66">
        <f>SUM(D13:D46)</f>
        <v>1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4</v>
      </c>
      <c r="I51" s="70">
        <f>SUM(I13:I46)</f>
        <v>732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451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5</v>
      </c>
      <c r="G53" s="341">
        <v>9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106800</v>
      </c>
      <c r="F55" s="349">
        <v>139200</v>
      </c>
      <c r="G55" s="349">
        <v>117300</v>
      </c>
      <c r="H55" s="341"/>
      <c r="I55" s="335">
        <v>38600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457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458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459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460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455</v>
      </c>
      <c r="B61" s="302"/>
      <c r="C61" s="391" t="s">
        <v>450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38" t="s">
        <v>456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442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thickBot="1" x14ac:dyDescent="0.35">
      <c r="A73" s="301" t="s">
        <v>50</v>
      </c>
      <c r="B73" s="302"/>
      <c r="C73" s="323" t="s">
        <v>443</v>
      </c>
      <c r="D73" s="324"/>
      <c r="E73" s="324"/>
      <c r="F73" s="324"/>
      <c r="G73" s="324"/>
      <c r="H73" s="324"/>
      <c r="I73" s="325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444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445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446</v>
      </c>
      <c r="E79" s="94">
        <v>0.8125</v>
      </c>
      <c r="F79" s="93" t="s">
        <v>447</v>
      </c>
      <c r="G79" s="315" t="s">
        <v>448</v>
      </c>
      <c r="H79" s="316"/>
      <c r="I79" s="95" t="s">
        <v>449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C37" sqref="C3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461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462</v>
      </c>
      <c r="D3" s="5" t="s">
        <v>4</v>
      </c>
      <c r="E3" s="373"/>
      <c r="F3" s="380" t="s">
        <v>463</v>
      </c>
      <c r="G3" s="381"/>
      <c r="H3" s="382">
        <f>G11+'13일'!H3:I3</f>
        <v>33784440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464</v>
      </c>
      <c r="F6" s="15" t="s">
        <v>466</v>
      </c>
      <c r="G6" s="16" t="s">
        <v>465</v>
      </c>
      <c r="H6" s="17">
        <v>0.36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2813300</v>
      </c>
      <c r="D11" s="102">
        <v>170</v>
      </c>
      <c r="E11" s="109">
        <f>SUM(E55:I56)</f>
        <v>430300</v>
      </c>
      <c r="F11" s="109">
        <f>SUM(E53:I54)</f>
        <v>18</v>
      </c>
      <c r="G11" s="110">
        <f>C11+E11</f>
        <v>3243600</v>
      </c>
      <c r="H11" s="110">
        <f>D11+F11</f>
        <v>188</v>
      </c>
      <c r="I11" s="111">
        <f>G11/H11</f>
        <v>17253.191489361703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39</v>
      </c>
      <c r="D13" s="23"/>
      <c r="E13" s="22"/>
      <c r="F13" s="24"/>
      <c r="G13" s="25"/>
      <c r="H13" s="23"/>
      <c r="I13" s="26">
        <f>C13-D13-D14*1/2-E13-E14*1/2+F13-H13-H14*1/2-I14*1/2</f>
        <v>38.5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17.5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11.5</v>
      </c>
    </row>
    <row r="20" spans="1:9" ht="17.25" customHeight="1" x14ac:dyDescent="0.3">
      <c r="A20" s="352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81</v>
      </c>
      <c r="D21" s="41"/>
      <c r="E21" s="42">
        <v>1</v>
      </c>
      <c r="F21" s="43"/>
      <c r="G21" s="44"/>
      <c r="H21" s="43"/>
      <c r="I21" s="45">
        <f t="shared" ref="I21:I48" si="0">C21-D21-E21+F21-H21</f>
        <v>80</v>
      </c>
    </row>
    <row r="22" spans="1:9" ht="17.25" customHeight="1" x14ac:dyDescent="0.3">
      <c r="A22" s="352"/>
      <c r="B22" s="21" t="s">
        <v>32</v>
      </c>
      <c r="C22" s="46">
        <v>30</v>
      </c>
      <c r="D22" s="23"/>
      <c r="E22" s="47">
        <v>2</v>
      </c>
      <c r="F22" s="48"/>
      <c r="G22" s="25"/>
      <c r="H22" s="48"/>
      <c r="I22" s="49">
        <f t="shared" si="0"/>
        <v>28</v>
      </c>
    </row>
    <row r="23" spans="1:9" ht="17.25" customHeight="1" x14ac:dyDescent="0.3">
      <c r="A23" s="352"/>
      <c r="B23" s="27" t="s">
        <v>33</v>
      </c>
      <c r="C23" s="33">
        <v>181</v>
      </c>
      <c r="D23" s="29">
        <v>2</v>
      </c>
      <c r="E23" s="50">
        <v>2</v>
      </c>
      <c r="F23" s="51"/>
      <c r="G23" s="25"/>
      <c r="H23" s="51"/>
      <c r="I23" s="52">
        <f>C23-D23-D24-E23-E24+F23+F24-H23-H24-I24</f>
        <v>170</v>
      </c>
    </row>
    <row r="24" spans="1:9" ht="17.25" customHeight="1" x14ac:dyDescent="0.3">
      <c r="A24" s="352"/>
      <c r="B24" s="160" t="s">
        <v>34</v>
      </c>
      <c r="C24" s="53"/>
      <c r="D24" s="41">
        <v>6</v>
      </c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25</v>
      </c>
      <c r="D25" s="23"/>
      <c r="E25" s="47"/>
      <c r="F25" s="48"/>
      <c r="G25" s="112"/>
      <c r="H25" s="48"/>
      <c r="I25" s="49">
        <f t="shared" si="0"/>
        <v>25</v>
      </c>
    </row>
    <row r="26" spans="1:9" ht="17.25" customHeight="1" x14ac:dyDescent="0.3">
      <c r="A26" s="352"/>
      <c r="B26" s="160" t="s">
        <v>36</v>
      </c>
      <c r="C26" s="55">
        <v>40</v>
      </c>
      <c r="D26" s="41"/>
      <c r="E26" s="42"/>
      <c r="F26" s="43"/>
      <c r="G26" s="113"/>
      <c r="H26" s="43"/>
      <c r="I26" s="45">
        <f t="shared" si="0"/>
        <v>40</v>
      </c>
    </row>
    <row r="27" spans="1:9" ht="17.25" customHeight="1" x14ac:dyDescent="0.3">
      <c r="A27" s="352"/>
      <c r="B27" s="21" t="s">
        <v>37</v>
      </c>
      <c r="C27" s="46">
        <v>35</v>
      </c>
      <c r="D27" s="23"/>
      <c r="E27" s="47">
        <v>1</v>
      </c>
      <c r="F27" s="48"/>
      <c r="G27" s="112"/>
      <c r="H27" s="48"/>
      <c r="I27" s="49">
        <f t="shared" si="0"/>
        <v>34</v>
      </c>
    </row>
    <row r="28" spans="1:9" ht="17.25" customHeight="1" x14ac:dyDescent="0.3">
      <c r="A28" s="352"/>
      <c r="B28" s="160" t="s">
        <v>38</v>
      </c>
      <c r="C28" s="55">
        <v>50</v>
      </c>
      <c r="D28" s="41"/>
      <c r="E28" s="42">
        <v>1</v>
      </c>
      <c r="F28" s="43"/>
      <c r="G28" s="113"/>
      <c r="H28" s="43">
        <v>15</v>
      </c>
      <c r="I28" s="45">
        <f t="shared" si="0"/>
        <v>34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121</v>
      </c>
      <c r="D30" s="29">
        <v>3</v>
      </c>
      <c r="E30" s="50">
        <v>7</v>
      </c>
      <c r="F30" s="51"/>
      <c r="G30" s="25"/>
      <c r="H30" s="51">
        <v>18</v>
      </c>
      <c r="I30" s="52">
        <f>C30-D30-D31-E30-E31+F30+F31-H30-H31-I31</f>
        <v>93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22</v>
      </c>
    </row>
    <row r="36" spans="1:9" ht="17.25" customHeight="1" x14ac:dyDescent="0.3">
      <c r="A36" s="352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2"/>
      <c r="B37" s="163" t="s">
        <v>106</v>
      </c>
      <c r="C37" s="117">
        <v>9</v>
      </c>
      <c r="D37" s="29"/>
      <c r="E37" s="50"/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2"/>
      <c r="B47" s="120" t="s">
        <v>88</v>
      </c>
      <c r="C47" s="121">
        <v>3</v>
      </c>
      <c r="D47" s="122"/>
      <c r="E47" s="123"/>
      <c r="F47" s="124"/>
      <c r="G47" s="112"/>
      <c r="H47" s="124"/>
      <c r="I47" s="52">
        <f t="shared" si="0"/>
        <v>3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5</v>
      </c>
    </row>
    <row r="51" spans="1:10" ht="17.25" customHeight="1" thickBot="1" x14ac:dyDescent="0.35">
      <c r="A51" s="353"/>
      <c r="B51" s="64" t="s">
        <v>42</v>
      </c>
      <c r="C51" s="65">
        <f>SUM(C13:C50)</f>
        <v>689</v>
      </c>
      <c r="D51" s="66">
        <f>SUM(D13:D46)</f>
        <v>11</v>
      </c>
      <c r="E51" s="67">
        <f>SUM(E13:E46)</f>
        <v>21</v>
      </c>
      <c r="F51" s="67">
        <f>SUM(F13:F46)</f>
        <v>0</v>
      </c>
      <c r="G51" s="68" t="s">
        <v>22</v>
      </c>
      <c r="H51" s="69">
        <f>SUM(H13:H46)</f>
        <v>33</v>
      </c>
      <c r="I51" s="70">
        <f>SUM(I13:I46)</f>
        <v>649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5</v>
      </c>
      <c r="F53" s="341">
        <v>1</v>
      </c>
      <c r="G53" s="341">
        <v>11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104700</v>
      </c>
      <c r="F55" s="349">
        <v>18100</v>
      </c>
      <c r="G55" s="349">
        <v>170000</v>
      </c>
      <c r="H55" s="341"/>
      <c r="I55" s="335">
        <v>137500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476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479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478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477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91" t="s">
        <v>474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38" t="s">
        <v>475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467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/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468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469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470</v>
      </c>
      <c r="E79" s="94">
        <v>0.77083333333333337</v>
      </c>
      <c r="F79" s="93" t="s">
        <v>471</v>
      </c>
      <c r="G79" s="315" t="s">
        <v>472</v>
      </c>
      <c r="H79" s="316"/>
      <c r="I79" s="95" t="s">
        <v>473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8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480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481</v>
      </c>
      <c r="D3" s="5" t="s">
        <v>4</v>
      </c>
      <c r="E3" s="373"/>
      <c r="F3" s="380" t="s">
        <v>482</v>
      </c>
      <c r="G3" s="381"/>
      <c r="H3" s="382">
        <f>G11+'14일'!H3:I3</f>
        <v>35572340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483</v>
      </c>
      <c r="F6" s="15" t="s">
        <v>484</v>
      </c>
      <c r="G6" s="16" t="s">
        <v>485</v>
      </c>
      <c r="H6" s="17">
        <v>0.6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1558700</v>
      </c>
      <c r="D11" s="102">
        <v>94</v>
      </c>
      <c r="E11" s="109">
        <f>SUM(E55:I56)</f>
        <v>229200</v>
      </c>
      <c r="F11" s="109">
        <f>SUM(E53:I54)</f>
        <v>7</v>
      </c>
      <c r="G11" s="110">
        <f>C11+E11</f>
        <v>1787900</v>
      </c>
      <c r="H11" s="110">
        <f>D11+F11</f>
        <v>101</v>
      </c>
      <c r="I11" s="111">
        <f>G11/H11</f>
        <v>17701.980198019803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17</v>
      </c>
      <c r="D13" s="23"/>
      <c r="E13" s="22">
        <v>1</v>
      </c>
      <c r="F13" s="24"/>
      <c r="G13" s="25"/>
      <c r="H13" s="23">
        <v>1</v>
      </c>
      <c r="I13" s="26">
        <f>C13-D13-D14*1/2-E13-E14*1/2+F13-H13-H14*1/2-I14*1/2</f>
        <v>15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14</v>
      </c>
      <c r="D15" s="29"/>
      <c r="E15" s="30"/>
      <c r="F15" s="34"/>
      <c r="G15" s="25"/>
      <c r="H15" s="29">
        <v>3</v>
      </c>
      <c r="I15" s="35">
        <f>C15-D15-D16*1/2-E15-E16*1/2+F15-H15-H16*1/2-I16*1/2</f>
        <v>11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16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>
        <v>4</v>
      </c>
      <c r="I19" s="35">
        <f>C19-D19-D20*1/2-E19-E20*1/2+F19-H19-H20*1/2-I20*1/2</f>
        <v>8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64</v>
      </c>
      <c r="D21" s="41"/>
      <c r="E21" s="42">
        <v>3</v>
      </c>
      <c r="F21" s="43"/>
      <c r="G21" s="44"/>
      <c r="H21" s="43"/>
      <c r="I21" s="45">
        <f t="shared" ref="I21:I48" si="0">C21-D21-E21+F21-H21</f>
        <v>61</v>
      </c>
    </row>
    <row r="22" spans="1:9" ht="17.25" customHeight="1" x14ac:dyDescent="0.3">
      <c r="A22" s="352"/>
      <c r="B22" s="21" t="s">
        <v>32</v>
      </c>
      <c r="C22" s="46">
        <v>14</v>
      </c>
      <c r="D22" s="23"/>
      <c r="E22" s="47"/>
      <c r="F22" s="48"/>
      <c r="G22" s="25"/>
      <c r="H22" s="48"/>
      <c r="I22" s="49">
        <f t="shared" si="0"/>
        <v>14</v>
      </c>
    </row>
    <row r="23" spans="1:9" ht="17.25" customHeight="1" x14ac:dyDescent="0.3">
      <c r="A23" s="352"/>
      <c r="B23" s="27" t="s">
        <v>33</v>
      </c>
      <c r="C23" s="33">
        <v>110</v>
      </c>
      <c r="D23" s="29"/>
      <c r="E23" s="50"/>
      <c r="F23" s="51"/>
      <c r="G23" s="25"/>
      <c r="H23" s="51">
        <v>8</v>
      </c>
      <c r="I23" s="52">
        <f>C23-D23-D24-E23-E24+F23+F24-H23-H24-I24</f>
        <v>90</v>
      </c>
    </row>
    <row r="24" spans="1:9" ht="17.25" customHeight="1" x14ac:dyDescent="0.3">
      <c r="A24" s="352"/>
      <c r="B24" s="160" t="s">
        <v>34</v>
      </c>
      <c r="C24" s="53"/>
      <c r="D24" s="41">
        <v>1</v>
      </c>
      <c r="E24" s="42"/>
      <c r="F24" s="43"/>
      <c r="G24" s="113"/>
      <c r="H24" s="43">
        <v>11</v>
      </c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2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52"/>
      <c r="B27" s="21" t="s">
        <v>37</v>
      </c>
      <c r="C27" s="46">
        <v>20</v>
      </c>
      <c r="D27" s="23"/>
      <c r="E27" s="47"/>
      <c r="F27" s="48"/>
      <c r="G27" s="112"/>
      <c r="H27" s="48"/>
      <c r="I27" s="49">
        <f t="shared" si="0"/>
        <v>20</v>
      </c>
    </row>
    <row r="28" spans="1:9" ht="17.25" customHeight="1" x14ac:dyDescent="0.3">
      <c r="A28" s="352"/>
      <c r="B28" s="160" t="s">
        <v>38</v>
      </c>
      <c r="C28" s="55">
        <v>29</v>
      </c>
      <c r="D28" s="41"/>
      <c r="E28" s="42"/>
      <c r="F28" s="43"/>
      <c r="G28" s="113"/>
      <c r="H28" s="43">
        <v>9</v>
      </c>
      <c r="I28" s="45">
        <f t="shared" si="0"/>
        <v>20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61</v>
      </c>
      <c r="D30" s="29">
        <v>1</v>
      </c>
      <c r="E30" s="50"/>
      <c r="F30" s="51"/>
      <c r="G30" s="25"/>
      <c r="H30" s="51"/>
      <c r="I30" s="52">
        <f>C30-D30-D31-E30-E31+F30+F31-H30-H31-I31</f>
        <v>60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15</v>
      </c>
      <c r="D36" s="122"/>
      <c r="E36" s="123"/>
      <c r="F36" s="124"/>
      <c r="G36" s="112"/>
      <c r="H36" s="124"/>
      <c r="I36" s="52">
        <f>C36-D36-E36+F36-H36</f>
        <v>15</v>
      </c>
    </row>
    <row r="37" spans="1:9" ht="17.25" customHeight="1" x14ac:dyDescent="0.3">
      <c r="A37" s="352"/>
      <c r="B37" s="163" t="s">
        <v>106</v>
      </c>
      <c r="C37" s="117">
        <v>6</v>
      </c>
      <c r="D37" s="29"/>
      <c r="E37" s="50">
        <v>1</v>
      </c>
      <c r="F37" s="51"/>
      <c r="G37" s="25"/>
      <c r="H37" s="51"/>
      <c r="I37" s="196">
        <f>C37-D37-D38*1/2-E37-E38*1/2+F37-H37-H38*1/2-I38*1/2</f>
        <v>5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5</v>
      </c>
      <c r="D46" s="23"/>
      <c r="E46" s="47"/>
      <c r="F46" s="48"/>
      <c r="G46" s="116"/>
      <c r="H46" s="48"/>
      <c r="I46" s="49">
        <f t="shared" si="0"/>
        <v>5</v>
      </c>
    </row>
    <row r="47" spans="1:9" ht="17.25" customHeight="1" x14ac:dyDescent="0.3">
      <c r="A47" s="352"/>
      <c r="B47" s="120" t="s">
        <v>88</v>
      </c>
      <c r="C47" s="121">
        <v>5</v>
      </c>
      <c r="D47" s="122"/>
      <c r="E47" s="123"/>
      <c r="F47" s="124"/>
      <c r="G47" s="112"/>
      <c r="H47" s="124">
        <v>2</v>
      </c>
      <c r="I47" s="52">
        <f t="shared" si="0"/>
        <v>3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437</v>
      </c>
      <c r="D51" s="66">
        <f>SUM(D13:D46)</f>
        <v>2</v>
      </c>
      <c r="E51" s="67">
        <f>SUM(E13:E46)</f>
        <v>5</v>
      </c>
      <c r="F51" s="67">
        <f>SUM(F13:F46)</f>
        <v>0</v>
      </c>
      <c r="G51" s="68" t="s">
        <v>22</v>
      </c>
      <c r="H51" s="69">
        <f>SUM(H13:H46)</f>
        <v>36</v>
      </c>
      <c r="I51" s="70">
        <f>SUM(I13:I46)</f>
        <v>389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6</v>
      </c>
      <c r="F53" s="341">
        <v>1</v>
      </c>
      <c r="G53" s="341"/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120600</v>
      </c>
      <c r="F55" s="349">
        <v>19900</v>
      </c>
      <c r="G55" s="349">
        <v>88700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496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497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498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499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91" t="s">
        <v>494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20" t="s">
        <v>495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 t="s">
        <v>500</v>
      </c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486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487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488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489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490</v>
      </c>
      <c r="E79" s="94">
        <v>0.77083333333333337</v>
      </c>
      <c r="F79" s="93" t="s">
        <v>491</v>
      </c>
      <c r="G79" s="315" t="s">
        <v>492</v>
      </c>
      <c r="H79" s="316"/>
      <c r="I79" s="95" t="s">
        <v>493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H16" sqref="H1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501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502</v>
      </c>
      <c r="D3" s="5" t="s">
        <v>4</v>
      </c>
      <c r="E3" s="373"/>
      <c r="F3" s="380" t="s">
        <v>503</v>
      </c>
      <c r="G3" s="381"/>
      <c r="H3" s="382">
        <f>G11+'15일'!H3:I3</f>
        <v>38267180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504</v>
      </c>
      <c r="F6" s="15" t="s">
        <v>505</v>
      </c>
      <c r="G6" s="16" t="s">
        <v>506</v>
      </c>
      <c r="H6" s="17">
        <v>0.34</v>
      </c>
      <c r="I6" s="18">
        <v>0.24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2489600</v>
      </c>
      <c r="D11" s="102">
        <v>198</v>
      </c>
      <c r="E11" s="109">
        <f>SUM(E55:I56)</f>
        <v>205240</v>
      </c>
      <c r="F11" s="109">
        <f>SUM(E53:I54)</f>
        <v>18</v>
      </c>
      <c r="G11" s="110">
        <f>C11+E11</f>
        <v>2694840</v>
      </c>
      <c r="H11" s="110">
        <f>D11+F11</f>
        <v>216</v>
      </c>
      <c r="I11" s="111">
        <f>G11/H11</f>
        <v>12476.111111111111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18</v>
      </c>
      <c r="D13" s="23"/>
      <c r="E13" s="22">
        <v>1</v>
      </c>
      <c r="F13" s="24"/>
      <c r="G13" s="25"/>
      <c r="H13" s="23"/>
      <c r="I13" s="26">
        <f>C13-D13-D14*1/2-E13-E14*1/2+F13-H13-H14*1/2-I14*1/2</f>
        <v>17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17</v>
      </c>
      <c r="D15" s="29"/>
      <c r="E15" s="30">
        <v>1</v>
      </c>
      <c r="F15" s="34"/>
      <c r="G15" s="25"/>
      <c r="H15" s="29"/>
      <c r="I15" s="35">
        <f>C15-D15-D16*1/2-E15-E16*1/2+F15-H15-H16*1/2-I16*1/2</f>
        <v>16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18</v>
      </c>
      <c r="D17" s="29"/>
      <c r="E17" s="30">
        <v>1</v>
      </c>
      <c r="F17" s="34"/>
      <c r="G17" s="118"/>
      <c r="H17" s="29"/>
      <c r="I17" s="37">
        <f>C17-D17-D18*1/2-E17-E18*1/2+F17-H17-H18*1/2-I18*1/2</f>
        <v>17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>
        <v>1</v>
      </c>
      <c r="F19" s="34"/>
      <c r="G19" s="25"/>
      <c r="H19" s="29"/>
      <c r="I19" s="35">
        <f>C19-D19-D20*1/2-E19-E20*1/2+F19-H19-H20*1/2-I20*1/2</f>
        <v>11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86</v>
      </c>
      <c r="D21" s="41"/>
      <c r="E21" s="42">
        <v>1</v>
      </c>
      <c r="F21" s="43"/>
      <c r="G21" s="44"/>
      <c r="H21" s="43">
        <v>12</v>
      </c>
      <c r="I21" s="45">
        <f t="shared" ref="I21:I48" si="0">C21-D21-E21+F21-H21</f>
        <v>73</v>
      </c>
    </row>
    <row r="22" spans="1:9" ht="17.25" customHeight="1" x14ac:dyDescent="0.3">
      <c r="A22" s="352"/>
      <c r="B22" s="21" t="s">
        <v>32</v>
      </c>
      <c r="C22" s="46">
        <v>35</v>
      </c>
      <c r="D22" s="23"/>
      <c r="E22" s="47">
        <v>2</v>
      </c>
      <c r="F22" s="48"/>
      <c r="G22" s="25"/>
      <c r="H22" s="48">
        <v>6</v>
      </c>
      <c r="I22" s="49">
        <f t="shared" si="0"/>
        <v>27</v>
      </c>
    </row>
    <row r="23" spans="1:9" ht="17.25" customHeight="1" x14ac:dyDescent="0.3">
      <c r="A23" s="352"/>
      <c r="B23" s="27" t="s">
        <v>33</v>
      </c>
      <c r="C23" s="33">
        <v>152</v>
      </c>
      <c r="D23" s="29"/>
      <c r="E23" s="50">
        <v>3</v>
      </c>
      <c r="F23" s="51"/>
      <c r="G23" s="25"/>
      <c r="H23" s="51">
        <v>8</v>
      </c>
      <c r="I23" s="52">
        <f>C23-D23-D24-E23-E24+F23+F24-H23-H24-I24</f>
        <v>132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>
        <v>8</v>
      </c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2"/>
      <c r="B26" s="160" t="s">
        <v>36</v>
      </c>
      <c r="C26" s="55">
        <v>41</v>
      </c>
      <c r="D26" s="41"/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52"/>
      <c r="B27" s="21" t="s">
        <v>37</v>
      </c>
      <c r="C27" s="46">
        <v>32</v>
      </c>
      <c r="D27" s="23"/>
      <c r="E27" s="47"/>
      <c r="F27" s="48"/>
      <c r="G27" s="112"/>
      <c r="H27" s="48"/>
      <c r="I27" s="49">
        <f t="shared" si="0"/>
        <v>32</v>
      </c>
    </row>
    <row r="28" spans="1:9" ht="17.25" customHeight="1" x14ac:dyDescent="0.3">
      <c r="A28" s="352"/>
      <c r="B28" s="160" t="s">
        <v>38</v>
      </c>
      <c r="C28" s="55">
        <v>28</v>
      </c>
      <c r="D28" s="41"/>
      <c r="E28" s="42">
        <v>1</v>
      </c>
      <c r="F28" s="43"/>
      <c r="G28" s="113"/>
      <c r="H28" s="43"/>
      <c r="I28" s="45">
        <f t="shared" si="0"/>
        <v>27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61</v>
      </c>
      <c r="D30" s="29">
        <v>1</v>
      </c>
      <c r="E30" s="50">
        <v>1</v>
      </c>
      <c r="F30" s="51"/>
      <c r="G30" s="25"/>
      <c r="H30" s="51"/>
      <c r="I30" s="52">
        <f>C30-D30-D31-E30-E31+F30+F31-H30-H31-I31</f>
        <v>58</v>
      </c>
    </row>
    <row r="31" spans="1:9" ht="17.25" customHeight="1" x14ac:dyDescent="0.3">
      <c r="A31" s="352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>
        <v>1</v>
      </c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>
        <v>3</v>
      </c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>
        <v>6</v>
      </c>
      <c r="D37" s="29"/>
      <c r="E37" s="50">
        <v>1</v>
      </c>
      <c r="F37" s="51"/>
      <c r="G37" s="25"/>
      <c r="H37" s="51"/>
      <c r="I37" s="196">
        <f>C37-D37-D38*1/2-E37-E38*1/2+F37-H37-H38*1/2-I38*1/2</f>
        <v>5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20</v>
      </c>
      <c r="D46" s="23"/>
      <c r="E46" s="47"/>
      <c r="F46" s="48"/>
      <c r="G46" s="116"/>
      <c r="H46" s="48"/>
      <c r="I46" s="49">
        <f t="shared" si="0"/>
        <v>20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583</v>
      </c>
      <c r="D51" s="66">
        <f>SUM(D13:D46)</f>
        <v>1</v>
      </c>
      <c r="E51" s="67">
        <f>SUM(E13:E46)</f>
        <v>19</v>
      </c>
      <c r="F51" s="67">
        <f>SUM(F13:F46)</f>
        <v>0</v>
      </c>
      <c r="G51" s="68" t="s">
        <v>22</v>
      </c>
      <c r="H51" s="69">
        <f>SUM(H13:H46)</f>
        <v>34</v>
      </c>
      <c r="I51" s="70">
        <f>SUM(I13:I46)</f>
        <v>525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>
        <v>4</v>
      </c>
      <c r="G53" s="341">
        <v>10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77200</v>
      </c>
      <c r="F55" s="349">
        <v>77200</v>
      </c>
      <c r="G55" s="349">
        <v>12640</v>
      </c>
      <c r="H55" s="341"/>
      <c r="I55" s="335">
        <v>38200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517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518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519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520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507</v>
      </c>
      <c r="D61" s="318"/>
      <c r="E61" s="318"/>
      <c r="F61" s="318"/>
      <c r="G61" s="318"/>
      <c r="H61" s="318"/>
      <c r="I61" s="319"/>
    </row>
    <row r="62" spans="1:10" s="76" customFormat="1" ht="36.75" customHeight="1" x14ac:dyDescent="0.3">
      <c r="A62" s="303"/>
      <c r="B62" s="304"/>
      <c r="C62" s="397" t="s">
        <v>514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84" t="s">
        <v>516</v>
      </c>
      <c r="D63" s="385"/>
      <c r="E63" s="385"/>
      <c r="F63" s="385"/>
      <c r="G63" s="385"/>
      <c r="H63" s="385"/>
      <c r="I63" s="386"/>
    </row>
    <row r="64" spans="1:10" s="76" customFormat="1" ht="17.25" customHeight="1" thickBot="1" x14ac:dyDescent="0.35">
      <c r="A64" s="305"/>
      <c r="B64" s="306"/>
      <c r="C64" s="387"/>
      <c r="D64" s="388"/>
      <c r="E64" s="388"/>
      <c r="F64" s="388"/>
      <c r="G64" s="388"/>
      <c r="H64" s="388"/>
      <c r="I64" s="389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513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515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508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509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510</v>
      </c>
      <c r="E79" s="94">
        <v>0.8125</v>
      </c>
      <c r="F79" s="93" t="s">
        <v>511</v>
      </c>
      <c r="G79" s="315" t="s">
        <v>512</v>
      </c>
      <c r="H79" s="316"/>
      <c r="I79" s="95" t="s">
        <v>512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A73:B74"/>
    <mergeCell ref="A75:B75"/>
    <mergeCell ref="A78:B79"/>
    <mergeCell ref="C78:D78"/>
    <mergeCell ref="E78:F78"/>
    <mergeCell ref="C63:I64"/>
    <mergeCell ref="H80:I80"/>
    <mergeCell ref="C72:I72"/>
    <mergeCell ref="C73:I73"/>
    <mergeCell ref="C74:I74"/>
    <mergeCell ref="G78:H78"/>
    <mergeCell ref="G79:H79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0:I60"/>
    <mergeCell ref="C61:I61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C27" sqref="C27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521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522</v>
      </c>
      <c r="D3" s="5" t="s">
        <v>4</v>
      </c>
      <c r="E3" s="373"/>
      <c r="F3" s="380" t="s">
        <v>523</v>
      </c>
      <c r="G3" s="381"/>
      <c r="H3" s="382">
        <f>G11+'16일'!H3:I3</f>
        <v>41254780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525</v>
      </c>
      <c r="F6" s="15" t="s">
        <v>524</v>
      </c>
      <c r="G6" s="16" t="s">
        <v>526</v>
      </c>
      <c r="H6" s="17">
        <v>0.25</v>
      </c>
      <c r="I6" s="18">
        <v>0.24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2691200</v>
      </c>
      <c r="D11" s="102">
        <v>194</v>
      </c>
      <c r="E11" s="109">
        <f>SUM(E55:I56)</f>
        <v>296400</v>
      </c>
      <c r="F11" s="109">
        <f>SUM(E53:I54)</f>
        <v>9</v>
      </c>
      <c r="G11" s="110">
        <f>C11+E11</f>
        <v>2987600</v>
      </c>
      <c r="H11" s="110">
        <f>D11+F11</f>
        <v>203</v>
      </c>
      <c r="I11" s="111">
        <f>G11/H11</f>
        <v>14717.241379310344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30</v>
      </c>
      <c r="D13" s="23"/>
      <c r="E13" s="22"/>
      <c r="F13" s="24"/>
      <c r="G13" s="25"/>
      <c r="H13" s="23">
        <v>5</v>
      </c>
      <c r="I13" s="26">
        <f>C13-D13-D14*1/2-E13-E14*1/2+F13-H13-H14*1/2-I14*1/2</f>
        <v>24.5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15</v>
      </c>
      <c r="D15" s="29"/>
      <c r="E15" s="30"/>
      <c r="F15" s="34"/>
      <c r="G15" s="25"/>
      <c r="H15" s="29">
        <v>2</v>
      </c>
      <c r="I15" s="35">
        <f>C15-D15-D16*1/2-E15-E16*1/2+F15-H15-H16*1/2-I16*1/2</f>
        <v>12.5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18</v>
      </c>
      <c r="D17" s="29"/>
      <c r="E17" s="30">
        <v>1</v>
      </c>
      <c r="F17" s="34"/>
      <c r="G17" s="118"/>
      <c r="H17" s="29"/>
      <c r="I17" s="37">
        <f>C17-D17-D18*1/2-E17-E18*1/2+F17-H17-H18*1/2-I18*1/2</f>
        <v>16.5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91</v>
      </c>
      <c r="D21" s="41">
        <v>2</v>
      </c>
      <c r="E21" s="42">
        <v>2</v>
      </c>
      <c r="F21" s="43"/>
      <c r="G21" s="44"/>
      <c r="H21" s="43">
        <v>14</v>
      </c>
      <c r="I21" s="45">
        <f t="shared" ref="I21:I48" si="0">C21-D21-E21+F21-H21</f>
        <v>73</v>
      </c>
    </row>
    <row r="22" spans="1:9" ht="17.25" customHeight="1" x14ac:dyDescent="0.3">
      <c r="A22" s="352"/>
      <c r="B22" s="21" t="s">
        <v>32</v>
      </c>
      <c r="C22" s="46">
        <v>29</v>
      </c>
      <c r="D22" s="23"/>
      <c r="E22" s="47">
        <v>2</v>
      </c>
      <c r="F22" s="48"/>
      <c r="G22" s="25"/>
      <c r="H22" s="48">
        <v>4</v>
      </c>
      <c r="I22" s="49">
        <f t="shared" si="0"/>
        <v>23</v>
      </c>
    </row>
    <row r="23" spans="1:9" ht="17.25" customHeight="1" x14ac:dyDescent="0.3">
      <c r="A23" s="352"/>
      <c r="B23" s="27" t="s">
        <v>33</v>
      </c>
      <c r="C23" s="33">
        <v>181</v>
      </c>
      <c r="D23" s="29"/>
      <c r="E23" s="50">
        <v>4</v>
      </c>
      <c r="F23" s="51"/>
      <c r="G23" s="25"/>
      <c r="H23" s="51">
        <v>40</v>
      </c>
      <c r="I23" s="52">
        <f>C23-D23-D24-E23-E24+F23+F24-H23-H24-I24</f>
        <v>115</v>
      </c>
    </row>
    <row r="24" spans="1:9" ht="17.25" customHeight="1" x14ac:dyDescent="0.3">
      <c r="A24" s="352"/>
      <c r="B24" s="160" t="s">
        <v>34</v>
      </c>
      <c r="C24" s="53"/>
      <c r="D24" s="41">
        <v>1</v>
      </c>
      <c r="E24" s="42">
        <v>2</v>
      </c>
      <c r="F24" s="43"/>
      <c r="G24" s="113"/>
      <c r="H24" s="43">
        <v>19</v>
      </c>
      <c r="I24" s="54"/>
    </row>
    <row r="25" spans="1:9" ht="17.25" customHeight="1" x14ac:dyDescent="0.3">
      <c r="A25" s="352"/>
      <c r="B25" s="21" t="s">
        <v>35</v>
      </c>
      <c r="C25" s="46">
        <v>25</v>
      </c>
      <c r="D25" s="23"/>
      <c r="E25" s="47"/>
      <c r="F25" s="48"/>
      <c r="G25" s="112"/>
      <c r="H25" s="48"/>
      <c r="I25" s="49">
        <f t="shared" si="0"/>
        <v>25</v>
      </c>
    </row>
    <row r="26" spans="1:9" ht="17.25" customHeight="1" x14ac:dyDescent="0.3">
      <c r="A26" s="352"/>
      <c r="B26" s="160" t="s">
        <v>36</v>
      </c>
      <c r="C26" s="55">
        <v>41</v>
      </c>
      <c r="D26" s="41"/>
      <c r="E26" s="42"/>
      <c r="F26" s="43"/>
      <c r="G26" s="113"/>
      <c r="H26" s="43"/>
      <c r="I26" s="45">
        <f t="shared" si="0"/>
        <v>41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2"/>
      <c r="B28" s="160" t="s">
        <v>38</v>
      </c>
      <c r="C28" s="55">
        <v>42</v>
      </c>
      <c r="D28" s="41"/>
      <c r="E28" s="42"/>
      <c r="F28" s="43"/>
      <c r="G28" s="113"/>
      <c r="H28" s="43"/>
      <c r="I28" s="45">
        <f t="shared" si="0"/>
        <v>42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101</v>
      </c>
      <c r="D30" s="29">
        <v>4</v>
      </c>
      <c r="E30" s="50"/>
      <c r="F30" s="51"/>
      <c r="G30" s="25"/>
      <c r="H30" s="51">
        <v>13</v>
      </c>
      <c r="I30" s="52">
        <f>C30-D30-D31-E30-E31+F30+F31-H30-H31-I31</f>
        <v>84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19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10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23</v>
      </c>
      <c r="D46" s="23"/>
      <c r="E46" s="47"/>
      <c r="F46" s="48"/>
      <c r="G46" s="116"/>
      <c r="H46" s="48"/>
      <c r="I46" s="49">
        <f t="shared" si="0"/>
        <v>23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679</v>
      </c>
      <c r="D51" s="66">
        <f>SUM(D13:D46)</f>
        <v>7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97</v>
      </c>
      <c r="I51" s="70">
        <f>SUM(I13:I46)</f>
        <v>577.5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>
        <v>1</v>
      </c>
      <c r="G53" s="341">
        <v>4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78900</v>
      </c>
      <c r="F55" s="349">
        <v>31000</v>
      </c>
      <c r="G55" s="349">
        <v>35300</v>
      </c>
      <c r="H55" s="341"/>
      <c r="I55" s="335">
        <v>151200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541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538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539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540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91" t="s">
        <v>528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84" t="s">
        <v>537</v>
      </c>
      <c r="D63" s="385"/>
      <c r="E63" s="385"/>
      <c r="F63" s="385"/>
      <c r="G63" s="385"/>
      <c r="H63" s="385"/>
      <c r="I63" s="386"/>
    </row>
    <row r="64" spans="1:10" s="76" customFormat="1" ht="17.25" customHeight="1" thickBot="1" x14ac:dyDescent="0.35">
      <c r="A64" s="305"/>
      <c r="B64" s="306"/>
      <c r="C64" s="387"/>
      <c r="D64" s="388"/>
      <c r="E64" s="388"/>
      <c r="F64" s="388"/>
      <c r="G64" s="388"/>
      <c r="H64" s="388"/>
      <c r="I64" s="389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527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535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 t="s">
        <v>536</v>
      </c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529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530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531</v>
      </c>
      <c r="E79" s="94">
        <v>0.8125</v>
      </c>
      <c r="F79" s="93" t="s">
        <v>532</v>
      </c>
      <c r="G79" s="315" t="s">
        <v>533</v>
      </c>
      <c r="H79" s="316"/>
      <c r="I79" s="95" t="s">
        <v>534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4">
    <mergeCell ref="C63:I64"/>
    <mergeCell ref="A57:B60"/>
    <mergeCell ref="C57:I57"/>
    <mergeCell ref="C58:I58"/>
    <mergeCell ref="A61:B64"/>
    <mergeCell ref="C59:I59"/>
    <mergeCell ref="C60:I60"/>
    <mergeCell ref="C61:I62"/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542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543</v>
      </c>
      <c r="D3" s="5" t="s">
        <v>4</v>
      </c>
      <c r="E3" s="373"/>
      <c r="F3" s="380" t="s">
        <v>544</v>
      </c>
      <c r="G3" s="381"/>
      <c r="H3" s="382">
        <f>G11+'17일'!H3:I3</f>
        <v>44473980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545</v>
      </c>
      <c r="F6" s="15" t="s">
        <v>546</v>
      </c>
      <c r="G6" s="16" t="s">
        <v>547</v>
      </c>
      <c r="H6" s="17">
        <v>0.7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2711900</v>
      </c>
      <c r="D11" s="102">
        <v>163</v>
      </c>
      <c r="E11" s="109">
        <f>SUM(E55:I56)</f>
        <v>507300</v>
      </c>
      <c r="F11" s="109">
        <f>SUM(E53:I54)</f>
        <v>15</v>
      </c>
      <c r="G11" s="110">
        <f>C11+E11</f>
        <v>3219200</v>
      </c>
      <c r="H11" s="110">
        <f>D11+F11</f>
        <v>178</v>
      </c>
      <c r="I11" s="111">
        <f>G11/H11</f>
        <v>18085.393258426968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47</v>
      </c>
      <c r="D13" s="23"/>
      <c r="E13" s="22">
        <v>1</v>
      </c>
      <c r="F13" s="24"/>
      <c r="G13" s="25"/>
      <c r="H13" s="23"/>
      <c r="I13" s="26">
        <f>C13-D13-D14*1/2-E13-E14*1/2+F13-H13-H14*1/2-I14*1/2</f>
        <v>45.5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26</v>
      </c>
      <c r="D15" s="29"/>
      <c r="E15" s="30"/>
      <c r="F15" s="34"/>
      <c r="G15" s="25"/>
      <c r="H15" s="29">
        <v>9</v>
      </c>
      <c r="I15" s="35">
        <f>C15-D15-D16*1/2-E15-E16*1/2+F15-H15-H16*1/2-I16*1/2</f>
        <v>16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>
        <v>2</v>
      </c>
      <c r="I16" s="36"/>
    </row>
    <row r="17" spans="1:9" ht="17.25" customHeight="1" x14ac:dyDescent="0.3">
      <c r="A17" s="352"/>
      <c r="B17" s="27" t="s">
        <v>27</v>
      </c>
      <c r="C17" s="33">
        <v>22</v>
      </c>
      <c r="D17" s="29"/>
      <c r="E17" s="30">
        <v>3</v>
      </c>
      <c r="F17" s="34"/>
      <c r="G17" s="118"/>
      <c r="H17" s="29">
        <v>8</v>
      </c>
      <c r="I17" s="37">
        <f>C17-D17-D18*1/2-E17-E18*1/2+F17-H17-H18*1/2-I18*1/2</f>
        <v>11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92</v>
      </c>
      <c r="D21" s="41"/>
      <c r="E21" s="42">
        <v>2</v>
      </c>
      <c r="F21" s="43"/>
      <c r="G21" s="44"/>
      <c r="H21" s="43"/>
      <c r="I21" s="45">
        <f t="shared" ref="I21:I48" si="0">C21-D21-E21+F21-H21</f>
        <v>90</v>
      </c>
    </row>
    <row r="22" spans="1:9" ht="17.25" customHeight="1" x14ac:dyDescent="0.3">
      <c r="A22" s="352"/>
      <c r="B22" s="21" t="s">
        <v>32</v>
      </c>
      <c r="C22" s="46">
        <v>26</v>
      </c>
      <c r="D22" s="23"/>
      <c r="E22" s="47">
        <v>1</v>
      </c>
      <c r="F22" s="48"/>
      <c r="G22" s="25"/>
      <c r="H22" s="48"/>
      <c r="I22" s="49">
        <f t="shared" si="0"/>
        <v>25</v>
      </c>
    </row>
    <row r="23" spans="1:9" ht="17.25" customHeight="1" x14ac:dyDescent="0.3">
      <c r="A23" s="352"/>
      <c r="B23" s="27" t="s">
        <v>33</v>
      </c>
      <c r="C23" s="33">
        <v>173</v>
      </c>
      <c r="D23" s="29"/>
      <c r="E23" s="50">
        <v>2</v>
      </c>
      <c r="F23" s="51"/>
      <c r="G23" s="25"/>
      <c r="H23" s="51">
        <v>25</v>
      </c>
      <c r="I23" s="52">
        <f>C23-D23-D24-E23-E24+F23+F24-H23-H24-I24</f>
        <v>129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3</v>
      </c>
      <c r="F24" s="43"/>
      <c r="G24" s="113"/>
      <c r="H24" s="43">
        <v>14</v>
      </c>
      <c r="I24" s="54"/>
    </row>
    <row r="25" spans="1:9" ht="17.25" customHeight="1" x14ac:dyDescent="0.3">
      <c r="A25" s="352"/>
      <c r="B25" s="21" t="s">
        <v>35</v>
      </c>
      <c r="C25" s="46">
        <v>36</v>
      </c>
      <c r="D25" s="23"/>
      <c r="E25" s="47"/>
      <c r="F25" s="48"/>
      <c r="G25" s="112"/>
      <c r="H25" s="48">
        <v>5</v>
      </c>
      <c r="I25" s="49">
        <f t="shared" si="0"/>
        <v>31</v>
      </c>
    </row>
    <row r="26" spans="1:9" ht="17.25" customHeight="1" x14ac:dyDescent="0.3">
      <c r="A26" s="352"/>
      <c r="B26" s="160" t="s">
        <v>36</v>
      </c>
      <c r="C26" s="55">
        <v>30</v>
      </c>
      <c r="D26" s="41"/>
      <c r="E26" s="42"/>
      <c r="F26" s="43"/>
      <c r="G26" s="113"/>
      <c r="H26" s="43"/>
      <c r="I26" s="45">
        <f t="shared" si="0"/>
        <v>30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2"/>
      <c r="B28" s="160" t="s">
        <v>38</v>
      </c>
      <c r="C28" s="55">
        <v>42</v>
      </c>
      <c r="D28" s="41">
        <v>5</v>
      </c>
      <c r="E28" s="42">
        <v>1</v>
      </c>
      <c r="F28" s="43"/>
      <c r="G28" s="113"/>
      <c r="H28" s="43"/>
      <c r="I28" s="45">
        <f t="shared" si="0"/>
        <v>36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111</v>
      </c>
      <c r="D30" s="29"/>
      <c r="E30" s="50">
        <v>1</v>
      </c>
      <c r="F30" s="51"/>
      <c r="G30" s="25"/>
      <c r="H30" s="51">
        <v>13</v>
      </c>
      <c r="I30" s="52">
        <f>C30-D30-D31-E30-E31+F30+F31-H30-H31-I31</f>
        <v>97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21</v>
      </c>
      <c r="D36" s="122"/>
      <c r="E36" s="123"/>
      <c r="F36" s="124"/>
      <c r="G36" s="112"/>
      <c r="H36" s="124">
        <v>1</v>
      </c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10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53"/>
      <c r="B51" s="64" t="s">
        <v>42</v>
      </c>
      <c r="C51" s="65">
        <f>SUM(C13:C50)</f>
        <v>703</v>
      </c>
      <c r="D51" s="66">
        <f>SUM(D13:D46)</f>
        <v>5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77</v>
      </c>
      <c r="I51" s="70">
        <f>SUM(I13:I46)</f>
        <v>605.5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10</v>
      </c>
      <c r="F53" s="341">
        <v>1</v>
      </c>
      <c r="G53" s="341">
        <v>1</v>
      </c>
      <c r="H53" s="341"/>
      <c r="I53" s="343">
        <v>3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213900</v>
      </c>
      <c r="F55" s="349">
        <v>25100</v>
      </c>
      <c r="G55" s="349">
        <v>7900</v>
      </c>
      <c r="H55" s="341"/>
      <c r="I55" s="335">
        <v>260400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560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558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556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557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548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559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/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549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/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550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551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552</v>
      </c>
      <c r="E79" s="94">
        <v>0.8125</v>
      </c>
      <c r="F79" s="93" t="s">
        <v>553</v>
      </c>
      <c r="G79" s="315" t="s">
        <v>554</v>
      </c>
      <c r="H79" s="316"/>
      <c r="I79" s="95" t="s">
        <v>555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K12" sqref="K12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561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562</v>
      </c>
      <c r="D3" s="5" t="s">
        <v>4</v>
      </c>
      <c r="E3" s="373"/>
      <c r="F3" s="380" t="s">
        <v>563</v>
      </c>
      <c r="G3" s="381"/>
      <c r="H3" s="382">
        <f>G11+'18일'!H3:I3</f>
        <v>47438880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564</v>
      </c>
      <c r="F6" s="15" t="s">
        <v>565</v>
      </c>
      <c r="G6" s="16" t="s">
        <v>566</v>
      </c>
      <c r="H6" s="17"/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2594500</v>
      </c>
      <c r="D11" s="102">
        <v>192</v>
      </c>
      <c r="E11" s="109">
        <f>SUM(E55:I56)</f>
        <v>370400</v>
      </c>
      <c r="F11" s="109">
        <f>SUM(E53:I54)</f>
        <v>14</v>
      </c>
      <c r="G11" s="110">
        <f>C11+E11</f>
        <v>2964900</v>
      </c>
      <c r="H11" s="110">
        <f>D11+F11</f>
        <v>206</v>
      </c>
      <c r="I11" s="111">
        <f>G11/H11</f>
        <v>14392.718446601943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28</v>
      </c>
      <c r="D13" s="23"/>
      <c r="E13" s="22"/>
      <c r="F13" s="24"/>
      <c r="G13" s="25"/>
      <c r="H13" s="23"/>
      <c r="I13" s="26">
        <f>C13-D13-D14*1/2-E13-E14*1/2+F13-H13-H14*1/2-I14*1/2</f>
        <v>28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28</v>
      </c>
      <c r="D15" s="29"/>
      <c r="E15" s="30"/>
      <c r="F15" s="34"/>
      <c r="G15" s="25"/>
      <c r="H15" s="29"/>
      <c r="I15" s="35">
        <f>C15-D15-D16*1/2-E15-E16*1/2+F15-H15-H16*1/2-I16*1/2</f>
        <v>27.5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24</v>
      </c>
      <c r="D17" s="29"/>
      <c r="E17" s="30">
        <v>2</v>
      </c>
      <c r="F17" s="34"/>
      <c r="G17" s="118"/>
      <c r="H17" s="29"/>
      <c r="I17" s="37">
        <f>C17-D17-D18*1/2-E17-E18*1/2+F17-H17-H18*1/2-I18*1/2</f>
        <v>21.5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96</v>
      </c>
      <c r="D21" s="41"/>
      <c r="E21" s="42">
        <v>2</v>
      </c>
      <c r="F21" s="43"/>
      <c r="G21" s="44"/>
      <c r="H21" s="43">
        <v>9</v>
      </c>
      <c r="I21" s="45">
        <f t="shared" ref="I21:I48" si="0">C21-D21-E21+F21-H21</f>
        <v>85</v>
      </c>
    </row>
    <row r="22" spans="1:9" ht="17.25" customHeight="1" x14ac:dyDescent="0.3">
      <c r="A22" s="352"/>
      <c r="B22" s="21" t="s">
        <v>32</v>
      </c>
      <c r="C22" s="46">
        <v>32</v>
      </c>
      <c r="D22" s="23"/>
      <c r="E22" s="47">
        <v>2</v>
      </c>
      <c r="F22" s="48"/>
      <c r="G22" s="25"/>
      <c r="H22" s="48">
        <v>8</v>
      </c>
      <c r="I22" s="49">
        <f t="shared" si="0"/>
        <v>22</v>
      </c>
    </row>
    <row r="23" spans="1:9" ht="17.25" customHeight="1" x14ac:dyDescent="0.3">
      <c r="A23" s="352"/>
      <c r="B23" s="27" t="s">
        <v>33</v>
      </c>
      <c r="C23" s="33">
        <v>154</v>
      </c>
      <c r="D23" s="29"/>
      <c r="E23" s="50">
        <v>4</v>
      </c>
      <c r="F23" s="51"/>
      <c r="G23" s="25"/>
      <c r="H23" s="51">
        <v>19</v>
      </c>
      <c r="I23" s="52">
        <f>C23-D23-D24-E23-E24+F23+F24-H23-H24-I24</f>
        <v>128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3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>
        <v>2</v>
      </c>
      <c r="F25" s="48"/>
      <c r="G25" s="112"/>
      <c r="H25" s="48">
        <v>6</v>
      </c>
      <c r="I25" s="49">
        <f t="shared" si="0"/>
        <v>16</v>
      </c>
    </row>
    <row r="26" spans="1:9" ht="17.25" customHeight="1" x14ac:dyDescent="0.3">
      <c r="A26" s="352"/>
      <c r="B26" s="160" t="s">
        <v>36</v>
      </c>
      <c r="C26" s="55">
        <v>41</v>
      </c>
      <c r="D26" s="41"/>
      <c r="E26" s="42">
        <v>2</v>
      </c>
      <c r="F26" s="43"/>
      <c r="G26" s="113"/>
      <c r="H26" s="43"/>
      <c r="I26" s="45">
        <f t="shared" si="0"/>
        <v>39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>
        <v>5</v>
      </c>
      <c r="I27" s="49">
        <f t="shared" si="0"/>
        <v>23</v>
      </c>
    </row>
    <row r="28" spans="1:9" ht="17.25" customHeight="1" x14ac:dyDescent="0.3">
      <c r="A28" s="352"/>
      <c r="B28" s="160" t="s">
        <v>38</v>
      </c>
      <c r="C28" s="55">
        <v>48</v>
      </c>
      <c r="D28" s="41"/>
      <c r="E28" s="42">
        <v>3</v>
      </c>
      <c r="F28" s="43"/>
      <c r="G28" s="113"/>
      <c r="H28" s="43"/>
      <c r="I28" s="45">
        <f t="shared" si="0"/>
        <v>45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116</v>
      </c>
      <c r="D30" s="29">
        <v>1</v>
      </c>
      <c r="E30" s="50"/>
      <c r="F30" s="51"/>
      <c r="G30" s="25"/>
      <c r="H30" s="51"/>
      <c r="I30" s="52">
        <f>C30-D30-D31-E30-E31+F30+F31-H30-H31-I31</f>
        <v>115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2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3</v>
      </c>
      <c r="F35" s="48"/>
      <c r="G35" s="116"/>
      <c r="H35" s="48"/>
      <c r="I35" s="282">
        <v>27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>
        <v>2</v>
      </c>
      <c r="I36" s="52">
        <f>C36-D36-E36+F36-H36</f>
        <v>18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10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52"/>
      <c r="B47" s="120" t="s">
        <v>88</v>
      </c>
      <c r="C47" s="121">
        <v>21</v>
      </c>
      <c r="D47" s="122"/>
      <c r="E47" s="123"/>
      <c r="F47" s="124"/>
      <c r="G47" s="112"/>
      <c r="H47" s="124"/>
      <c r="I47" s="52">
        <f t="shared" si="0"/>
        <v>21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701</v>
      </c>
      <c r="D51" s="66">
        <f>SUM(D13:D46)</f>
        <v>1</v>
      </c>
      <c r="E51" s="67">
        <f>SUM(E13:E46)</f>
        <v>25</v>
      </c>
      <c r="F51" s="67">
        <f>SUM(F13:F46)</f>
        <v>0</v>
      </c>
      <c r="G51" s="68" t="s">
        <v>22</v>
      </c>
      <c r="H51" s="69">
        <f>SUM(H13:H46)</f>
        <v>49</v>
      </c>
      <c r="I51" s="70">
        <f>SUM(I13:I46)</f>
        <v>640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2</v>
      </c>
      <c r="G53" s="341">
        <v>8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95000</v>
      </c>
      <c r="F55" s="349">
        <v>41300</v>
      </c>
      <c r="G55" s="349">
        <v>90100</v>
      </c>
      <c r="H55" s="341"/>
      <c r="I55" s="335">
        <v>144000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580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581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582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583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567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98" t="s">
        <v>568</v>
      </c>
      <c r="D62" s="399"/>
      <c r="E62" s="399"/>
      <c r="F62" s="399"/>
      <c r="G62" s="399"/>
      <c r="H62" s="399"/>
      <c r="I62" s="400"/>
    </row>
    <row r="63" spans="1:10" s="76" customFormat="1" ht="17.25" customHeight="1" x14ac:dyDescent="0.3">
      <c r="A63" s="303"/>
      <c r="B63" s="304"/>
      <c r="C63" s="320" t="s">
        <v>569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570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571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 t="s">
        <v>572</v>
      </c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573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574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575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576</v>
      </c>
      <c r="E79" s="94">
        <v>0.8125</v>
      </c>
      <c r="F79" s="93" t="s">
        <v>577</v>
      </c>
      <c r="G79" s="315" t="s">
        <v>578</v>
      </c>
      <c r="H79" s="316"/>
      <c r="I79" s="95" t="s">
        <v>579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G29" sqref="G2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584</v>
      </c>
      <c r="D2" s="372"/>
      <c r="E2" s="365" t="s">
        <v>586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585</v>
      </c>
      <c r="D3" s="5" t="s">
        <v>4</v>
      </c>
      <c r="E3" s="373"/>
      <c r="F3" s="380" t="s">
        <v>587</v>
      </c>
      <c r="G3" s="381"/>
      <c r="H3" s="382">
        <f>G11+'19일'!H3:I3</f>
        <v>51019480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588</v>
      </c>
      <c r="F6" s="15" t="s">
        <v>589</v>
      </c>
      <c r="G6" s="16" t="s">
        <v>590</v>
      </c>
      <c r="H6" s="17">
        <v>0.45</v>
      </c>
      <c r="I6" s="18">
        <v>0.28999999999999998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3284700</v>
      </c>
      <c r="D11" s="102">
        <v>221</v>
      </c>
      <c r="E11" s="109">
        <f>SUM(E55:I56)</f>
        <v>295900</v>
      </c>
      <c r="F11" s="109">
        <f>SUM(E53:I54)</f>
        <v>15</v>
      </c>
      <c r="G11" s="110">
        <f>C11+E11</f>
        <v>3580600</v>
      </c>
      <c r="H11" s="110">
        <f>D11+F11</f>
        <v>236</v>
      </c>
      <c r="I11" s="111">
        <f>G11/H11</f>
        <v>15172.033898305084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30</v>
      </c>
      <c r="D13" s="23"/>
      <c r="E13" s="22">
        <v>1</v>
      </c>
      <c r="F13" s="24"/>
      <c r="G13" s="25"/>
      <c r="H13" s="23"/>
      <c r="I13" s="26">
        <f>C13-D13-D14*1/2-E13-E14*1/2+F13-H13-H14*1/2-I14*1/2</f>
        <v>29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22</v>
      </c>
      <c r="D15" s="29"/>
      <c r="E15" s="30">
        <v>1</v>
      </c>
      <c r="F15" s="34"/>
      <c r="G15" s="25"/>
      <c r="H15" s="29"/>
      <c r="I15" s="35">
        <f>C15-D15-D16*1/2-E15-E16*1/2+F15-H15-H16*1/2-I16*1/2</f>
        <v>21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22</v>
      </c>
      <c r="D17" s="29"/>
      <c r="E17" s="30">
        <v>1</v>
      </c>
      <c r="F17" s="34"/>
      <c r="G17" s="118"/>
      <c r="H17" s="29"/>
      <c r="I17" s="37">
        <f>C17-D17-D18*1/2-E17-E18*1/2+F17-H17-H18*1/2-I18*1/2</f>
        <v>21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84</v>
      </c>
      <c r="D21" s="41"/>
      <c r="E21" s="42">
        <v>1</v>
      </c>
      <c r="F21" s="43"/>
      <c r="G21" s="44"/>
      <c r="H21" s="43"/>
      <c r="I21" s="45">
        <f t="shared" ref="I21:I48" si="0">C21-D21-E21+F21-H21</f>
        <v>83</v>
      </c>
    </row>
    <row r="22" spans="1:9" ht="17.25" customHeight="1" x14ac:dyDescent="0.3">
      <c r="A22" s="352"/>
      <c r="B22" s="21" t="s">
        <v>32</v>
      </c>
      <c r="C22" s="46">
        <v>35</v>
      </c>
      <c r="D22" s="23"/>
      <c r="E22" s="47">
        <v>1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52"/>
      <c r="B23" s="27" t="s">
        <v>33</v>
      </c>
      <c r="C23" s="33">
        <v>157</v>
      </c>
      <c r="D23" s="29"/>
      <c r="E23" s="50">
        <v>1</v>
      </c>
      <c r="F23" s="51"/>
      <c r="G23" s="25"/>
      <c r="H23" s="51"/>
      <c r="I23" s="52">
        <f>C23-D23-D24-E23-E24+F23+F24-H23-H24-I24</f>
        <v>154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>
        <v>1</v>
      </c>
      <c r="F25" s="48"/>
      <c r="G25" s="112"/>
      <c r="H25" s="48"/>
      <c r="I25" s="49">
        <f t="shared" si="0"/>
        <v>23</v>
      </c>
    </row>
    <row r="26" spans="1:9" ht="17.25" customHeight="1" x14ac:dyDescent="0.3">
      <c r="A26" s="35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52"/>
      <c r="B27" s="21" t="s">
        <v>37</v>
      </c>
      <c r="C27" s="46">
        <v>35</v>
      </c>
      <c r="D27" s="23"/>
      <c r="E27" s="47"/>
      <c r="F27" s="48"/>
      <c r="G27" s="112"/>
      <c r="H27" s="48"/>
      <c r="I27" s="49">
        <f t="shared" si="0"/>
        <v>35</v>
      </c>
    </row>
    <row r="28" spans="1:9" ht="17.25" customHeight="1" x14ac:dyDescent="0.3">
      <c r="A28" s="352"/>
      <c r="B28" s="160" t="s">
        <v>38</v>
      </c>
      <c r="C28" s="55">
        <v>36</v>
      </c>
      <c r="D28" s="41"/>
      <c r="E28" s="42">
        <v>2</v>
      </c>
      <c r="F28" s="43"/>
      <c r="G28" s="113"/>
      <c r="H28" s="43">
        <v>1</v>
      </c>
      <c r="I28" s="45">
        <f t="shared" si="0"/>
        <v>33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133</v>
      </c>
      <c r="D30" s="29"/>
      <c r="E30" s="50">
        <v>2</v>
      </c>
      <c r="F30" s="51"/>
      <c r="G30" s="25"/>
      <c r="H30" s="51"/>
      <c r="I30" s="52">
        <f>C30-D30-D31-E30-E31+F30+F31-H30-H31-I31</f>
        <v>128</v>
      </c>
    </row>
    <row r="31" spans="1:9" ht="17.25" customHeight="1" x14ac:dyDescent="0.3">
      <c r="A31" s="352"/>
      <c r="B31" s="58" t="s">
        <v>41</v>
      </c>
      <c r="C31" s="59"/>
      <c r="D31" s="60"/>
      <c r="E31" s="61">
        <v>3</v>
      </c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>
        <v>1</v>
      </c>
      <c r="F32" s="48"/>
      <c r="G32" s="116"/>
      <c r="H32" s="48"/>
      <c r="I32" s="187">
        <v>2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5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29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659</v>
      </c>
      <c r="D51" s="66">
        <f>SUM(D13:D46)</f>
        <v>0</v>
      </c>
      <c r="E51" s="67">
        <f>SUM(E13:E46)</f>
        <v>19</v>
      </c>
      <c r="F51" s="67">
        <f>SUM(F13:F46)</f>
        <v>0</v>
      </c>
      <c r="G51" s="68" t="s">
        <v>22</v>
      </c>
      <c r="H51" s="69">
        <f>SUM(H13:H46)</f>
        <v>1</v>
      </c>
      <c r="I51" s="70">
        <f>SUM(I13:I46)</f>
        <v>678</v>
      </c>
    </row>
    <row r="52" spans="1:10" ht="17.25" customHeight="1" x14ac:dyDescent="0.3">
      <c r="A52" s="301" t="s">
        <v>72</v>
      </c>
      <c r="B52" s="302"/>
      <c r="C52" s="71"/>
      <c r="D52" s="72" t="s">
        <v>161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2</v>
      </c>
      <c r="F53" s="341">
        <v>1</v>
      </c>
      <c r="G53" s="341">
        <v>11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39900</v>
      </c>
      <c r="F55" s="349">
        <v>23600</v>
      </c>
      <c r="G55" s="349">
        <v>193800</v>
      </c>
      <c r="H55" s="341"/>
      <c r="I55" s="335">
        <v>38600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603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604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602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605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591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600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38" t="s">
        <v>601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592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599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593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594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595</v>
      </c>
      <c r="E79" s="94">
        <v>0.8125</v>
      </c>
      <c r="F79" s="93" t="s">
        <v>596</v>
      </c>
      <c r="G79" s="315" t="s">
        <v>597</v>
      </c>
      <c r="H79" s="316"/>
      <c r="I79" s="95" t="s">
        <v>598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19" zoomScale="90" zoomScaleNormal="90" workbookViewId="0">
      <selection activeCell="L15" sqref="L1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606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607</v>
      </c>
      <c r="D3" s="5" t="s">
        <v>4</v>
      </c>
      <c r="E3" s="373"/>
      <c r="F3" s="380" t="s">
        <v>608</v>
      </c>
      <c r="G3" s="381"/>
      <c r="H3" s="382">
        <f>G11+'20일'!H3:I3</f>
        <v>54317380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609</v>
      </c>
      <c r="F6" s="15" t="s">
        <v>610</v>
      </c>
      <c r="G6" s="16" t="s">
        <v>611</v>
      </c>
      <c r="H6" s="17">
        <v>0.22</v>
      </c>
      <c r="I6" s="18">
        <v>0.24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3072100</v>
      </c>
      <c r="D11" s="102">
        <v>176</v>
      </c>
      <c r="E11" s="109">
        <f>SUM(E55:I56)</f>
        <v>225800</v>
      </c>
      <c r="F11" s="109">
        <f>SUM(E53:I54)</f>
        <v>12</v>
      </c>
      <c r="G11" s="110">
        <f>C11+E11</f>
        <v>3297900</v>
      </c>
      <c r="H11" s="110">
        <f>D11+F11</f>
        <v>188</v>
      </c>
      <c r="I11" s="111">
        <f>G11/H11</f>
        <v>17542.021276595744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50</v>
      </c>
      <c r="D13" s="23"/>
      <c r="E13" s="22">
        <v>1</v>
      </c>
      <c r="F13" s="24"/>
      <c r="G13" s="25"/>
      <c r="H13" s="23">
        <v>13</v>
      </c>
      <c r="I13" s="26">
        <f>C13-D13-D14*1/2-E13-E14*1/2+F13-H13-H14*1/2-I14*1/2</f>
        <v>36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36</v>
      </c>
      <c r="D15" s="29"/>
      <c r="E15" s="30">
        <v>1</v>
      </c>
      <c r="F15" s="34"/>
      <c r="G15" s="25"/>
      <c r="H15" s="29">
        <v>18</v>
      </c>
      <c r="I15" s="35">
        <f>C15-D15-D16*1/2-E15-E16*1/2+F15-H15-H16*1/2-I16*1/2</f>
        <v>17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22</v>
      </c>
      <c r="D17" s="29"/>
      <c r="E17" s="30">
        <v>1</v>
      </c>
      <c r="F17" s="34"/>
      <c r="G17" s="118"/>
      <c r="H17" s="29"/>
      <c r="I17" s="37">
        <f>C17-D17-D18*1/2-E17-E18*1/2+F17-H17-H18*1/2-I18*1/2</f>
        <v>21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81</v>
      </c>
      <c r="D21" s="41"/>
      <c r="E21" s="42">
        <v>1</v>
      </c>
      <c r="F21" s="43"/>
      <c r="G21" s="44"/>
      <c r="H21" s="43"/>
      <c r="I21" s="45">
        <f t="shared" ref="I21:I48" si="0">C21-D21-E21+F21-H21</f>
        <v>80</v>
      </c>
    </row>
    <row r="22" spans="1:9" ht="17.25" customHeight="1" x14ac:dyDescent="0.3">
      <c r="A22" s="352"/>
      <c r="B22" s="21" t="s">
        <v>32</v>
      </c>
      <c r="C22" s="46"/>
      <c r="D22" s="23"/>
      <c r="E22" s="47">
        <v>1</v>
      </c>
      <c r="F22" s="48"/>
      <c r="G22" s="25"/>
      <c r="H22" s="48"/>
      <c r="I22" s="49">
        <f t="shared" si="0"/>
        <v>-1</v>
      </c>
    </row>
    <row r="23" spans="1:9" ht="17.25" customHeight="1" x14ac:dyDescent="0.3">
      <c r="A23" s="352"/>
      <c r="B23" s="27" t="s">
        <v>33</v>
      </c>
      <c r="C23" s="33"/>
      <c r="D23" s="29"/>
      <c r="E23" s="50">
        <v>3</v>
      </c>
      <c r="F23" s="51"/>
      <c r="G23" s="25"/>
      <c r="H23" s="51"/>
      <c r="I23" s="52">
        <f>C23-D23-D24-E23-E24+F23+F24-H23-H24-I24</f>
        <v>-6</v>
      </c>
    </row>
    <row r="24" spans="1:9" ht="17.25" customHeight="1" x14ac:dyDescent="0.3">
      <c r="A24" s="352"/>
      <c r="B24" s="160" t="s">
        <v>34</v>
      </c>
      <c r="C24" s="53"/>
      <c r="D24" s="41">
        <v>2</v>
      </c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52"/>
      <c r="B27" s="21" t="s">
        <v>37</v>
      </c>
      <c r="C27" s="46">
        <v>35</v>
      </c>
      <c r="D27" s="23"/>
      <c r="E27" s="47"/>
      <c r="F27" s="48"/>
      <c r="G27" s="112"/>
      <c r="H27" s="48"/>
      <c r="I27" s="49">
        <f t="shared" si="0"/>
        <v>35</v>
      </c>
    </row>
    <row r="28" spans="1:9" ht="17.25" customHeight="1" x14ac:dyDescent="0.3">
      <c r="A28" s="352"/>
      <c r="B28" s="160" t="s">
        <v>38</v>
      </c>
      <c r="C28" s="55">
        <v>36</v>
      </c>
      <c r="D28" s="41"/>
      <c r="E28" s="42"/>
      <c r="F28" s="43"/>
      <c r="G28" s="113"/>
      <c r="H28" s="43">
        <v>9</v>
      </c>
      <c r="I28" s="45">
        <f t="shared" si="0"/>
        <v>27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133</v>
      </c>
      <c r="D30" s="29"/>
      <c r="E30" s="50">
        <v>3</v>
      </c>
      <c r="F30" s="51"/>
      <c r="G30" s="25"/>
      <c r="H30" s="51">
        <v>12</v>
      </c>
      <c r="I30" s="52">
        <f>C30-D30-D31-E30-E31+F30+F31-H30-H31-I31</f>
        <v>118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1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27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2"/>
      <c r="B37" s="163" t="s">
        <v>106</v>
      </c>
      <c r="C37" s="117">
        <v>9</v>
      </c>
      <c r="D37" s="29"/>
      <c r="E37" s="50"/>
      <c r="F37" s="51"/>
      <c r="G37" s="25"/>
      <c r="H37" s="51"/>
      <c r="I37" s="196">
        <f>C37-D37-D38*1/2-E37-E38*1/2+F37-H37-H38*1/2-I38*1/2</f>
        <v>9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20</v>
      </c>
      <c r="D46" s="23"/>
      <c r="E46" s="47"/>
      <c r="F46" s="48"/>
      <c r="G46" s="116"/>
      <c r="H46" s="48"/>
      <c r="I46" s="49">
        <f t="shared" si="0"/>
        <v>20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53"/>
      <c r="B51" s="64" t="s">
        <v>42</v>
      </c>
      <c r="C51" s="65">
        <f>SUM(C13:C50)</f>
        <v>527</v>
      </c>
      <c r="D51" s="66">
        <f>SUM(D13:D46)</f>
        <v>2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52</v>
      </c>
      <c r="I51" s="70">
        <f>SUM(I13:I46)</f>
        <v>490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5</v>
      </c>
      <c r="F53" s="341">
        <v>1</v>
      </c>
      <c r="G53" s="341">
        <v>6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117900</v>
      </c>
      <c r="F55" s="349">
        <v>21000</v>
      </c>
      <c r="G55" s="349">
        <v>86900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623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624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625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626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91" t="s">
        <v>620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33" customHeight="1" x14ac:dyDescent="0.3">
      <c r="A63" s="303"/>
      <c r="B63" s="304"/>
      <c r="C63" s="401" t="s">
        <v>621</v>
      </c>
      <c r="D63" s="402"/>
      <c r="E63" s="402"/>
      <c r="F63" s="402"/>
      <c r="G63" s="402"/>
      <c r="H63" s="402"/>
      <c r="I63" s="403"/>
    </row>
    <row r="64" spans="1:10" s="76" customFormat="1" ht="17.25" customHeight="1" thickBot="1" x14ac:dyDescent="0.35">
      <c r="A64" s="305"/>
      <c r="B64" s="306"/>
      <c r="C64" s="324" t="s">
        <v>627</v>
      </c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619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622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612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613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614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615</v>
      </c>
      <c r="E79" s="94">
        <v>0.77083333333333337</v>
      </c>
      <c r="F79" s="93" t="s">
        <v>616</v>
      </c>
      <c r="G79" s="315" t="s">
        <v>617</v>
      </c>
      <c r="H79" s="316"/>
      <c r="I79" s="95" t="s">
        <v>618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1" zoomScale="90" zoomScaleNormal="90" workbookViewId="0">
      <selection activeCell="C68" sqref="C68:I6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629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630</v>
      </c>
      <c r="D3" s="5" t="s">
        <v>4</v>
      </c>
      <c r="E3" s="373"/>
      <c r="F3" s="380" t="s">
        <v>631</v>
      </c>
      <c r="G3" s="381"/>
      <c r="H3" s="382">
        <f>G11+'21일'!H3:I3</f>
        <v>56478780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633</v>
      </c>
      <c r="F6" s="15" t="s">
        <v>632</v>
      </c>
      <c r="G6" s="16" t="s">
        <v>628</v>
      </c>
      <c r="H6" s="17">
        <v>0.23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1955800</v>
      </c>
      <c r="D11" s="102">
        <v>114</v>
      </c>
      <c r="E11" s="109">
        <f>SUM(E55:I56)</f>
        <v>205600</v>
      </c>
      <c r="F11" s="109">
        <f>SUM(E53:I54)</f>
        <v>10</v>
      </c>
      <c r="G11" s="110">
        <f>C11+E11</f>
        <v>2161400</v>
      </c>
      <c r="H11" s="110">
        <f>D11+F11</f>
        <v>124</v>
      </c>
      <c r="I11" s="111">
        <f>G11/H11</f>
        <v>17430.645161290322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16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11</v>
      </c>
      <c r="D15" s="29"/>
      <c r="E15" s="30"/>
      <c r="F15" s="34"/>
      <c r="G15" s="25"/>
      <c r="H15" s="29"/>
      <c r="I15" s="35">
        <f>C15-D15-D16*1/2-E15-E16*1/2+F15-H15-H16*1/2-I16*1/2</f>
        <v>11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16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>
        <v>1</v>
      </c>
      <c r="I19" s="35">
        <f>C19-D19-D20*1/2-E19-E20*1/2+F19-H19-H20*1/2-I20*1/2</f>
        <v>11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72</v>
      </c>
      <c r="D21" s="41"/>
      <c r="E21" s="42"/>
      <c r="F21" s="43"/>
      <c r="G21" s="44"/>
      <c r="H21" s="43"/>
      <c r="I21" s="45">
        <f t="shared" ref="I21:I48" si="0">C21-D21-E21+F21-H21</f>
        <v>72</v>
      </c>
    </row>
    <row r="22" spans="1:9" ht="17.25" customHeight="1" x14ac:dyDescent="0.3">
      <c r="A22" s="352"/>
      <c r="B22" s="21" t="s">
        <v>32</v>
      </c>
      <c r="C22" s="46">
        <v>21</v>
      </c>
      <c r="D22" s="23">
        <v>1</v>
      </c>
      <c r="E22" s="47"/>
      <c r="F22" s="48"/>
      <c r="G22" s="25"/>
      <c r="H22" s="48"/>
      <c r="I22" s="49">
        <f t="shared" si="0"/>
        <v>20</v>
      </c>
    </row>
    <row r="23" spans="1:9" ht="17.25" customHeight="1" x14ac:dyDescent="0.3">
      <c r="A23" s="352"/>
      <c r="B23" s="27" t="s">
        <v>33</v>
      </c>
      <c r="C23" s="33">
        <v>125</v>
      </c>
      <c r="D23" s="29"/>
      <c r="E23" s="50">
        <v>6</v>
      </c>
      <c r="F23" s="51"/>
      <c r="G23" s="25"/>
      <c r="H23" s="51"/>
      <c r="I23" s="52">
        <f>C23-D23-D24-E23-E24+F23+F24-H23-H24-I24</f>
        <v>118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22</v>
      </c>
      <c r="D25" s="23">
        <v>1</v>
      </c>
      <c r="E25" s="47"/>
      <c r="F25" s="48"/>
      <c r="G25" s="112"/>
      <c r="H25" s="48">
        <v>4</v>
      </c>
      <c r="I25" s="49">
        <f t="shared" si="0"/>
        <v>17</v>
      </c>
    </row>
    <row r="26" spans="1:9" ht="17.25" customHeight="1" x14ac:dyDescent="0.3">
      <c r="A26" s="352"/>
      <c r="B26" s="160" t="s">
        <v>36</v>
      </c>
      <c r="C26" s="55">
        <v>21</v>
      </c>
      <c r="D26" s="41">
        <v>1</v>
      </c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52"/>
      <c r="B27" s="21" t="s">
        <v>37</v>
      </c>
      <c r="C27" s="46">
        <v>22</v>
      </c>
      <c r="D27" s="23"/>
      <c r="E27" s="47"/>
      <c r="F27" s="48"/>
      <c r="G27" s="112"/>
      <c r="H27" s="48"/>
      <c r="I27" s="49">
        <f t="shared" si="0"/>
        <v>22</v>
      </c>
    </row>
    <row r="28" spans="1:9" ht="17.25" customHeight="1" x14ac:dyDescent="0.3">
      <c r="A28" s="352"/>
      <c r="B28" s="160" t="s">
        <v>38</v>
      </c>
      <c r="C28" s="55">
        <v>27</v>
      </c>
      <c r="D28" s="41">
        <v>1</v>
      </c>
      <c r="E28" s="42">
        <v>5</v>
      </c>
      <c r="F28" s="43"/>
      <c r="G28" s="113"/>
      <c r="H28" s="43">
        <v>11</v>
      </c>
      <c r="I28" s="45">
        <f t="shared" si="0"/>
        <v>10</v>
      </c>
    </row>
    <row r="29" spans="1:9" ht="17.25" customHeight="1" x14ac:dyDescent="0.3">
      <c r="A29" s="352"/>
      <c r="B29" s="21" t="s">
        <v>39</v>
      </c>
      <c r="C29" s="46">
        <v>5</v>
      </c>
      <c r="D29" s="23">
        <v>1</v>
      </c>
      <c r="E29" s="47"/>
      <c r="F29" s="48"/>
      <c r="G29" s="25"/>
      <c r="H29" s="48"/>
      <c r="I29" s="49">
        <f t="shared" si="0"/>
        <v>4</v>
      </c>
    </row>
    <row r="30" spans="1:9" ht="17.25" customHeight="1" x14ac:dyDescent="0.3">
      <c r="A30" s="352"/>
      <c r="B30" s="56" t="s">
        <v>40</v>
      </c>
      <c r="C30" s="57">
        <v>62</v>
      </c>
      <c r="D30" s="29"/>
      <c r="E30" s="50"/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>
        <v>3</v>
      </c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10</v>
      </c>
      <c r="D36" s="122">
        <v>1</v>
      </c>
      <c r="E36" s="123"/>
      <c r="F36" s="124"/>
      <c r="G36" s="112"/>
      <c r="H36" s="124"/>
      <c r="I36" s="52">
        <f>C36-D36-E36+F36-H36</f>
        <v>9</v>
      </c>
    </row>
    <row r="37" spans="1:9" ht="17.25" customHeight="1" x14ac:dyDescent="0.3">
      <c r="A37" s="352"/>
      <c r="B37" s="163" t="s">
        <v>106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458</v>
      </c>
      <c r="D51" s="66">
        <f>SUM(D13:D46)</f>
        <v>6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16</v>
      </c>
      <c r="I51" s="70">
        <f>SUM(I13:I46)</f>
        <v>424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5</v>
      </c>
      <c r="F53" s="341">
        <v>2</v>
      </c>
      <c r="G53" s="341">
        <v>3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109500</v>
      </c>
      <c r="F55" s="349">
        <v>44600</v>
      </c>
      <c r="G55" s="349">
        <v>51500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644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645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646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/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634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643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20" t="s">
        <v>649</v>
      </c>
      <c r="D63" s="321"/>
      <c r="E63" s="321"/>
      <c r="F63" s="321"/>
      <c r="G63" s="321"/>
      <c r="H63" s="321"/>
      <c r="I63" s="322"/>
    </row>
    <row r="64" spans="1:10" s="76" customFormat="1" ht="17.25" customHeight="1" thickBot="1" x14ac:dyDescent="0.35">
      <c r="A64" s="305"/>
      <c r="B64" s="306"/>
      <c r="C64" s="324" t="s">
        <v>650</v>
      </c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 t="s">
        <v>647</v>
      </c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 t="s">
        <v>635</v>
      </c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636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648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637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638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639</v>
      </c>
      <c r="E79" s="94">
        <v>0.77083333333333337</v>
      </c>
      <c r="F79" s="93" t="s">
        <v>640</v>
      </c>
      <c r="G79" s="315" t="s">
        <v>641</v>
      </c>
      <c r="H79" s="316"/>
      <c r="I79" s="95" t="s">
        <v>642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H14" sqref="H1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651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652</v>
      </c>
      <c r="D3" s="5" t="s">
        <v>4</v>
      </c>
      <c r="E3" s="373"/>
      <c r="F3" s="380" t="s">
        <v>653</v>
      </c>
      <c r="G3" s="381"/>
      <c r="H3" s="382">
        <f>G11+'22일'!H3:I3</f>
        <v>58719580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654</v>
      </c>
      <c r="F6" s="15" t="s">
        <v>655</v>
      </c>
      <c r="G6" s="16" t="s">
        <v>656</v>
      </c>
      <c r="H6" s="17">
        <v>0.25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2063500</v>
      </c>
      <c r="D11" s="102">
        <v>167</v>
      </c>
      <c r="E11" s="109">
        <f>SUM(E55:I56)</f>
        <v>177300</v>
      </c>
      <c r="F11" s="109">
        <f>SUM(E53:I54)</f>
        <v>8</v>
      </c>
      <c r="G11" s="110">
        <f>C11+E11</f>
        <v>2240800</v>
      </c>
      <c r="H11" s="110">
        <f>D11+F11</f>
        <v>175</v>
      </c>
      <c r="I11" s="111">
        <f>G11/H11</f>
        <v>12804.571428571429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17</v>
      </c>
      <c r="D15" s="29"/>
      <c r="E15" s="30">
        <v>1</v>
      </c>
      <c r="F15" s="34"/>
      <c r="G15" s="25"/>
      <c r="H15" s="29">
        <v>2</v>
      </c>
      <c r="I15" s="35">
        <f>C15-D15-D16*1/2-E15-E16*1/2+F15-H15-H16*1/2-I16*1/2</f>
        <v>14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19</v>
      </c>
      <c r="D17" s="29"/>
      <c r="E17" s="30">
        <v>1</v>
      </c>
      <c r="F17" s="34"/>
      <c r="G17" s="118"/>
      <c r="H17" s="29">
        <v>4</v>
      </c>
      <c r="I17" s="37">
        <f>C17-D17-D18*1/2-E17-E18*1/2+F17-H17-H18*1/2-I18*1/2</f>
        <v>14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74</v>
      </c>
      <c r="D21" s="41"/>
      <c r="E21" s="42">
        <v>3</v>
      </c>
      <c r="F21" s="43"/>
      <c r="G21" s="44"/>
      <c r="H21" s="43">
        <v>16</v>
      </c>
      <c r="I21" s="45">
        <f t="shared" ref="I21:I48" si="0">C21-D21-E21+F21-H21</f>
        <v>55</v>
      </c>
    </row>
    <row r="22" spans="1:9" ht="17.25" customHeight="1" x14ac:dyDescent="0.3">
      <c r="A22" s="352"/>
      <c r="B22" s="21" t="s">
        <v>32</v>
      </c>
      <c r="C22" s="46">
        <v>39</v>
      </c>
      <c r="D22" s="23">
        <v>2</v>
      </c>
      <c r="E22" s="47">
        <v>5</v>
      </c>
      <c r="F22" s="48"/>
      <c r="G22" s="25"/>
      <c r="H22" s="48">
        <v>15</v>
      </c>
      <c r="I22" s="49">
        <f t="shared" si="0"/>
        <v>17</v>
      </c>
    </row>
    <row r="23" spans="1:9" ht="17.25" customHeight="1" x14ac:dyDescent="0.3">
      <c r="A23" s="352"/>
      <c r="B23" s="27" t="s">
        <v>33</v>
      </c>
      <c r="C23" s="33">
        <v>170</v>
      </c>
      <c r="D23" s="29"/>
      <c r="E23" s="50">
        <v>6</v>
      </c>
      <c r="F23" s="51"/>
      <c r="G23" s="25"/>
      <c r="H23" s="51">
        <v>18</v>
      </c>
      <c r="I23" s="52">
        <f>C23-D23-D24-E23-E24+F23+F24-H23-H24-I24</f>
        <v>136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5</v>
      </c>
      <c r="F24" s="43"/>
      <c r="G24" s="113"/>
      <c r="H24" s="43">
        <v>5</v>
      </c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2"/>
      <c r="B26" s="160" t="s">
        <v>36</v>
      </c>
      <c r="C26" s="55">
        <v>44</v>
      </c>
      <c r="D26" s="41"/>
      <c r="E26" s="42">
        <v>1</v>
      </c>
      <c r="F26" s="43"/>
      <c r="G26" s="113"/>
      <c r="H26" s="43">
        <v>10</v>
      </c>
      <c r="I26" s="45">
        <f t="shared" si="0"/>
        <v>33</v>
      </c>
    </row>
    <row r="27" spans="1:9" ht="17.25" customHeight="1" x14ac:dyDescent="0.3">
      <c r="A27" s="352"/>
      <c r="B27" s="21" t="s">
        <v>37</v>
      </c>
      <c r="C27" s="46">
        <v>26</v>
      </c>
      <c r="D27" s="23"/>
      <c r="E27" s="47"/>
      <c r="F27" s="48"/>
      <c r="G27" s="112"/>
      <c r="H27" s="48">
        <v>5</v>
      </c>
      <c r="I27" s="49">
        <f t="shared" si="0"/>
        <v>21</v>
      </c>
    </row>
    <row r="28" spans="1:9" ht="17.25" customHeight="1" x14ac:dyDescent="0.3">
      <c r="A28" s="352"/>
      <c r="B28" s="160" t="s">
        <v>38</v>
      </c>
      <c r="C28" s="55">
        <v>39</v>
      </c>
      <c r="D28" s="41"/>
      <c r="E28" s="42">
        <v>4</v>
      </c>
      <c r="F28" s="43"/>
      <c r="G28" s="113"/>
      <c r="H28" s="43">
        <v>12</v>
      </c>
      <c r="I28" s="45">
        <f t="shared" si="0"/>
        <v>23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76</v>
      </c>
      <c r="D30" s="29"/>
      <c r="E30" s="50">
        <v>1</v>
      </c>
      <c r="F30" s="51"/>
      <c r="G30" s="25"/>
      <c r="H30" s="51">
        <v>5</v>
      </c>
      <c r="I30" s="52">
        <f>C30-D30-D31-E30-E31+F30+F31-H30-H31-I31</f>
        <v>70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>
        <v>2</v>
      </c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15</v>
      </c>
      <c r="D36" s="122"/>
      <c r="E36" s="123"/>
      <c r="F36" s="124"/>
      <c r="G36" s="112"/>
      <c r="H36" s="124"/>
      <c r="I36" s="52">
        <f>C36-D36-E36+F36-H36</f>
        <v>15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>
        <v>5</v>
      </c>
      <c r="I37" s="196">
        <f>C37-D37-D38*1/2-E37-E38*1/2+F37-H37-H38*1/2-I38*1/2</f>
        <v>5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16</v>
      </c>
      <c r="D46" s="23"/>
      <c r="E46" s="47"/>
      <c r="F46" s="48"/>
      <c r="G46" s="116"/>
      <c r="H46" s="48"/>
      <c r="I46" s="49">
        <f t="shared" si="0"/>
        <v>16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604</v>
      </c>
      <c r="D51" s="66">
        <f>SUM(D13:D46)</f>
        <v>2</v>
      </c>
      <c r="E51" s="67">
        <f>SUM(E13:E46)</f>
        <v>27</v>
      </c>
      <c r="F51" s="67">
        <f>SUM(F13:F46)</f>
        <v>0</v>
      </c>
      <c r="G51" s="68" t="s">
        <v>22</v>
      </c>
      <c r="H51" s="69">
        <f>SUM(H13:H46)</f>
        <v>99</v>
      </c>
      <c r="I51" s="70">
        <f>SUM(I13:I46)</f>
        <v>478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/>
      <c r="G53" s="341">
        <v>5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62700</v>
      </c>
      <c r="F55" s="349"/>
      <c r="G55" s="349">
        <v>114600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667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668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/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/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91" t="s">
        <v>665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38" t="s">
        <v>666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664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663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657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658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659</v>
      </c>
      <c r="E79" s="94">
        <v>0.8125</v>
      </c>
      <c r="F79" s="93" t="s">
        <v>660</v>
      </c>
      <c r="G79" s="315" t="s">
        <v>661</v>
      </c>
      <c r="H79" s="316"/>
      <c r="I79" s="95" t="s">
        <v>662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E16" sqref="E1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669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670</v>
      </c>
      <c r="D3" s="5" t="s">
        <v>4</v>
      </c>
      <c r="E3" s="373"/>
      <c r="F3" s="380" t="s">
        <v>671</v>
      </c>
      <c r="G3" s="381"/>
      <c r="H3" s="382">
        <f>G11+'23일'!H3:I3</f>
        <v>61707380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672</v>
      </c>
      <c r="F6" s="15" t="s">
        <v>673</v>
      </c>
      <c r="G6" s="16" t="s">
        <v>674</v>
      </c>
      <c r="H6" s="17">
        <v>0.28999999999999998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2704100</v>
      </c>
      <c r="D11" s="102">
        <v>203</v>
      </c>
      <c r="E11" s="109">
        <f>SUM(E55:I56)</f>
        <v>283700</v>
      </c>
      <c r="F11" s="109">
        <f>SUM(E53:I54)</f>
        <v>8</v>
      </c>
      <c r="G11" s="110">
        <f>C11+E11</f>
        <v>2987800</v>
      </c>
      <c r="H11" s="110">
        <f>D11+F11</f>
        <v>211</v>
      </c>
      <c r="I11" s="111">
        <f>G11/H11</f>
        <v>14160.189573459716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28</v>
      </c>
      <c r="D13" s="23"/>
      <c r="E13" s="22"/>
      <c r="F13" s="24"/>
      <c r="G13" s="25"/>
      <c r="H13" s="23"/>
      <c r="I13" s="26">
        <f>C13-D13-D14*1/2-E13-E14*1/2+F13-H13-H14*1/2-I14*1/2</f>
        <v>27.5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18</v>
      </c>
      <c r="D15" s="29"/>
      <c r="E15" s="30"/>
      <c r="F15" s="34"/>
      <c r="G15" s="25"/>
      <c r="H15" s="29">
        <v>3</v>
      </c>
      <c r="I15" s="35">
        <f>C15-D15-D16*1/2-E15-E16*1/2+F15-H15-H16*1/2-I16*1/2</f>
        <v>14.5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19</v>
      </c>
      <c r="D17" s="29"/>
      <c r="E17" s="30">
        <v>1</v>
      </c>
      <c r="F17" s="34"/>
      <c r="G17" s="118"/>
      <c r="H17" s="29"/>
      <c r="I17" s="37">
        <f>C17-D17-D18*1/2-E17-E18*1/2+F17-H17-H18*1/2-I18*1/2</f>
        <v>18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91</v>
      </c>
      <c r="D21" s="41"/>
      <c r="E21" s="42">
        <v>3</v>
      </c>
      <c r="F21" s="43"/>
      <c r="G21" s="44"/>
      <c r="H21" s="43">
        <v>13</v>
      </c>
      <c r="I21" s="45">
        <f t="shared" ref="I21:I48" si="0">C21-D21-E21+F21-H21</f>
        <v>75</v>
      </c>
    </row>
    <row r="22" spans="1:9" ht="17.25" customHeight="1" x14ac:dyDescent="0.3">
      <c r="A22" s="352"/>
      <c r="B22" s="21" t="s">
        <v>32</v>
      </c>
      <c r="C22" s="46">
        <v>26</v>
      </c>
      <c r="D22" s="23"/>
      <c r="E22" s="47"/>
      <c r="F22" s="48"/>
      <c r="G22" s="25"/>
      <c r="H22" s="48"/>
      <c r="I22" s="49">
        <f t="shared" si="0"/>
        <v>26</v>
      </c>
    </row>
    <row r="23" spans="1:9" ht="17.25" customHeight="1" x14ac:dyDescent="0.3">
      <c r="A23" s="352"/>
      <c r="B23" s="27" t="s">
        <v>33</v>
      </c>
      <c r="C23" s="33">
        <v>166</v>
      </c>
      <c r="D23" s="29"/>
      <c r="E23" s="50">
        <v>1</v>
      </c>
      <c r="F23" s="51"/>
      <c r="G23" s="25"/>
      <c r="H23" s="51"/>
      <c r="I23" s="52">
        <f>C23-D23-D24-E23-E24+F23+F24-H23-H24-I24</f>
        <v>148</v>
      </c>
    </row>
    <row r="24" spans="1:9" ht="17.25" customHeight="1" x14ac:dyDescent="0.3">
      <c r="A24" s="352"/>
      <c r="B24" s="160" t="s">
        <v>34</v>
      </c>
      <c r="C24" s="53"/>
      <c r="D24" s="41"/>
      <c r="E24" s="42"/>
      <c r="F24" s="43"/>
      <c r="G24" s="113"/>
      <c r="H24" s="43">
        <v>17</v>
      </c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>
        <v>1</v>
      </c>
      <c r="E25" s="47">
        <v>1</v>
      </c>
      <c r="F25" s="48"/>
      <c r="G25" s="112"/>
      <c r="H25" s="48"/>
      <c r="I25" s="49">
        <f t="shared" si="0"/>
        <v>22</v>
      </c>
    </row>
    <row r="26" spans="1:9" ht="17.25" customHeight="1" x14ac:dyDescent="0.3">
      <c r="A26" s="352"/>
      <c r="B26" s="160" t="s">
        <v>36</v>
      </c>
      <c r="C26" s="55">
        <v>44</v>
      </c>
      <c r="D26" s="41"/>
      <c r="E26" s="42"/>
      <c r="F26" s="43"/>
      <c r="G26" s="113"/>
      <c r="H26" s="43">
        <v>2</v>
      </c>
      <c r="I26" s="45">
        <f t="shared" si="0"/>
        <v>42</v>
      </c>
    </row>
    <row r="27" spans="1:9" ht="17.25" customHeight="1" x14ac:dyDescent="0.3">
      <c r="A27" s="352"/>
      <c r="B27" s="21" t="s">
        <v>37</v>
      </c>
      <c r="C27" s="46">
        <v>26</v>
      </c>
      <c r="D27" s="23"/>
      <c r="E27" s="47"/>
      <c r="F27" s="48"/>
      <c r="G27" s="112"/>
      <c r="H27" s="48">
        <v>6</v>
      </c>
      <c r="I27" s="49">
        <f t="shared" si="0"/>
        <v>20</v>
      </c>
    </row>
    <row r="28" spans="1:9" ht="17.25" customHeight="1" x14ac:dyDescent="0.3">
      <c r="A28" s="352"/>
      <c r="B28" s="160" t="s">
        <v>38</v>
      </c>
      <c r="C28" s="55">
        <v>37</v>
      </c>
      <c r="D28" s="41"/>
      <c r="E28" s="42"/>
      <c r="F28" s="43"/>
      <c r="G28" s="113"/>
      <c r="H28" s="43"/>
      <c r="I28" s="45">
        <f t="shared" si="0"/>
        <v>37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117</v>
      </c>
      <c r="D30" s="29"/>
      <c r="E30" s="50">
        <v>3</v>
      </c>
      <c r="F30" s="51"/>
      <c r="G30" s="25"/>
      <c r="H30" s="51">
        <v>20</v>
      </c>
      <c r="I30" s="52">
        <f>C30-D30-D31-E30-E31+F30+F31-H30-H31-I31</f>
        <v>94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>
        <v>22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15</v>
      </c>
      <c r="D46" s="23"/>
      <c r="E46" s="47"/>
      <c r="F46" s="48"/>
      <c r="G46" s="116"/>
      <c r="H46" s="48"/>
      <c r="I46" s="49">
        <f t="shared" si="0"/>
        <v>15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2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3</v>
      </c>
    </row>
    <row r="51" spans="1:10" ht="17.25" customHeight="1" thickBot="1" x14ac:dyDescent="0.35">
      <c r="A51" s="353"/>
      <c r="B51" s="64" t="s">
        <v>42</v>
      </c>
      <c r="C51" s="65">
        <f>SUM(C13:C50)</f>
        <v>656</v>
      </c>
      <c r="D51" s="66">
        <f>SUM(D13:D46)</f>
        <v>1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61</v>
      </c>
      <c r="I51" s="70">
        <f>SUM(I13:I46)</f>
        <v>598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1</v>
      </c>
      <c r="F53" s="341">
        <v>1</v>
      </c>
      <c r="G53" s="341">
        <v>5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33100</v>
      </c>
      <c r="F55" s="349">
        <v>19100</v>
      </c>
      <c r="G55" s="349">
        <v>80300</v>
      </c>
      <c r="H55" s="341"/>
      <c r="I55" s="335">
        <v>151200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686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687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688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689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91" t="s">
        <v>683</v>
      </c>
      <c r="D61" s="392"/>
      <c r="E61" s="392"/>
      <c r="F61" s="392"/>
      <c r="G61" s="392"/>
      <c r="H61" s="392"/>
      <c r="I61" s="393"/>
    </row>
    <row r="62" spans="1:10" s="76" customFormat="1" ht="17.25" customHeight="1" x14ac:dyDescent="0.3">
      <c r="A62" s="303"/>
      <c r="B62" s="304"/>
      <c r="C62" s="394"/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03"/>
      <c r="B63" s="304"/>
      <c r="C63" s="338" t="s">
        <v>684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 t="s">
        <v>685</v>
      </c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675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676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677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678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679</v>
      </c>
      <c r="E79" s="94">
        <v>0.8125</v>
      </c>
      <c r="F79" s="93" t="s">
        <v>680</v>
      </c>
      <c r="G79" s="315" t="s">
        <v>681</v>
      </c>
      <c r="H79" s="316"/>
      <c r="I79" s="95" t="s">
        <v>682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I39" sqref="I3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690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691</v>
      </c>
      <c r="D3" s="5" t="s">
        <v>4</v>
      </c>
      <c r="E3" s="373"/>
      <c r="F3" s="380" t="s">
        <v>692</v>
      </c>
      <c r="G3" s="381"/>
      <c r="H3" s="382">
        <f>G11+'24일'!H3:I3</f>
        <v>64797280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693</v>
      </c>
      <c r="F6" s="15" t="s">
        <v>694</v>
      </c>
      <c r="G6" s="16" t="s">
        <v>695</v>
      </c>
      <c r="H6" s="17">
        <v>0.48</v>
      </c>
      <c r="I6" s="18">
        <v>0.26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2568900</v>
      </c>
      <c r="D11" s="102">
        <v>165</v>
      </c>
      <c r="E11" s="109">
        <f>SUM(E55:I56)</f>
        <v>521000</v>
      </c>
      <c r="F11" s="109">
        <f>SUM(E53:I54)</f>
        <v>12</v>
      </c>
      <c r="G11" s="110">
        <f>C11+E11</f>
        <v>3089900</v>
      </c>
      <c r="H11" s="110">
        <f>D11+F11</f>
        <v>177</v>
      </c>
      <c r="I11" s="111">
        <f>G11/H11</f>
        <v>17457.062146892655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30</v>
      </c>
      <c r="D13" s="23"/>
      <c r="E13" s="22"/>
      <c r="F13" s="24"/>
      <c r="G13" s="25"/>
      <c r="H13" s="23"/>
      <c r="I13" s="26">
        <f>C13-D13-D14*1/2-E13-E14*1/2+F13-H13-H14*1/2-I14*1/2</f>
        <v>29.5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18</v>
      </c>
      <c r="D15" s="29"/>
      <c r="E15" s="30"/>
      <c r="F15" s="34"/>
      <c r="G15" s="25"/>
      <c r="H15" s="29">
        <v>1</v>
      </c>
      <c r="I15" s="35">
        <f>C15-D15-D16*1/2-E15-E16*1/2+F15-H15-H16*1/2-I16*1/2</f>
        <v>16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52"/>
      <c r="B17" s="27" t="s">
        <v>27</v>
      </c>
      <c r="C17" s="33">
        <v>19</v>
      </c>
      <c r="D17" s="29"/>
      <c r="E17" s="30"/>
      <c r="F17" s="34"/>
      <c r="G17" s="118"/>
      <c r="H17" s="29">
        <v>1</v>
      </c>
      <c r="I17" s="37">
        <f>C17-D17-D18*1/2-E17-E18*1/2+F17-H17-H18*1/2-I18*1/2</f>
        <v>17.5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>
        <v>1</v>
      </c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>
        <v>1</v>
      </c>
      <c r="F19" s="34"/>
      <c r="G19" s="25"/>
      <c r="H19" s="29">
        <v>2</v>
      </c>
      <c r="I19" s="35">
        <f>C19-D19-D20*1/2-E19-E20*1/2+F19-H19-H20*1/2-I20*1/2</f>
        <v>8.5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52"/>
      <c r="B21" s="39" t="s">
        <v>31</v>
      </c>
      <c r="C21" s="40">
        <v>90</v>
      </c>
      <c r="D21" s="41"/>
      <c r="E21" s="42">
        <v>2</v>
      </c>
      <c r="F21" s="43"/>
      <c r="G21" s="44"/>
      <c r="H21" s="43"/>
      <c r="I21" s="45">
        <f t="shared" ref="I21:I48" si="0">C21-D21-E21+F21-H21</f>
        <v>88</v>
      </c>
    </row>
    <row r="22" spans="1:9" ht="17.25" customHeight="1" x14ac:dyDescent="0.3">
      <c r="A22" s="352"/>
      <c r="B22" s="21" t="s">
        <v>32</v>
      </c>
      <c r="C22" s="46">
        <v>21</v>
      </c>
      <c r="D22" s="23"/>
      <c r="E22" s="47">
        <v>1</v>
      </c>
      <c r="F22" s="48"/>
      <c r="G22" s="25"/>
      <c r="H22" s="48">
        <v>1</v>
      </c>
      <c r="I22" s="49">
        <f t="shared" si="0"/>
        <v>19</v>
      </c>
    </row>
    <row r="23" spans="1:9" ht="17.25" customHeight="1" x14ac:dyDescent="0.3">
      <c r="A23" s="352"/>
      <c r="B23" s="27" t="s">
        <v>33</v>
      </c>
      <c r="C23" s="33">
        <v>159</v>
      </c>
      <c r="D23" s="29"/>
      <c r="E23" s="50">
        <v>3</v>
      </c>
      <c r="F23" s="51"/>
      <c r="G23" s="25"/>
      <c r="H23" s="51">
        <v>3</v>
      </c>
      <c r="I23" s="52">
        <f>C23-D23-D24-E23-E24+F23+F24-H23-H24-I24</f>
        <v>152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2"/>
      <c r="B26" s="160" t="s">
        <v>36</v>
      </c>
      <c r="C26" s="55">
        <v>42</v>
      </c>
      <c r="D26" s="41"/>
      <c r="E26" s="42"/>
      <c r="F26" s="43"/>
      <c r="G26" s="113"/>
      <c r="H26" s="43">
        <v>1</v>
      </c>
      <c r="I26" s="45">
        <f t="shared" si="0"/>
        <v>41</v>
      </c>
    </row>
    <row r="27" spans="1:9" ht="17.25" customHeight="1" x14ac:dyDescent="0.3">
      <c r="A27" s="352"/>
      <c r="B27" s="21" t="s">
        <v>37</v>
      </c>
      <c r="C27" s="46">
        <v>26</v>
      </c>
      <c r="D27" s="23"/>
      <c r="E27" s="47"/>
      <c r="F27" s="48"/>
      <c r="G27" s="112"/>
      <c r="H27" s="48">
        <v>17</v>
      </c>
      <c r="I27" s="49">
        <f t="shared" si="0"/>
        <v>9</v>
      </c>
    </row>
    <row r="28" spans="1:9" ht="17.25" customHeight="1" x14ac:dyDescent="0.3">
      <c r="A28" s="352"/>
      <c r="B28" s="160" t="s">
        <v>38</v>
      </c>
      <c r="C28" s="55">
        <v>39</v>
      </c>
      <c r="D28" s="41"/>
      <c r="E28" s="42"/>
      <c r="F28" s="43"/>
      <c r="G28" s="113"/>
      <c r="H28" s="43">
        <v>13</v>
      </c>
      <c r="I28" s="45">
        <f t="shared" si="0"/>
        <v>26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52"/>
      <c r="B30" s="56" t="s">
        <v>40</v>
      </c>
      <c r="C30" s="57">
        <v>113</v>
      </c>
      <c r="D30" s="29"/>
      <c r="E30" s="50">
        <v>2</v>
      </c>
      <c r="F30" s="51"/>
      <c r="G30" s="25"/>
      <c r="H30" s="51">
        <v>18</v>
      </c>
      <c r="I30" s="52">
        <f>C30-D30-D31-E30-E31+F30+F31-H30-H31-I31</f>
        <v>93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>
        <v>11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/>
      <c r="D37" s="29"/>
      <c r="E37" s="50"/>
      <c r="F37" s="51"/>
      <c r="G37" s="25"/>
      <c r="H37" s="51">
        <v>2</v>
      </c>
      <c r="I37" s="196">
        <v>2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>
        <v>1</v>
      </c>
      <c r="I38" s="195">
        <v>9</v>
      </c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2"/>
      <c r="B47" s="120" t="s">
        <v>88</v>
      </c>
      <c r="C47" s="121">
        <v>11</v>
      </c>
      <c r="D47" s="122"/>
      <c r="E47" s="123"/>
      <c r="F47" s="124"/>
      <c r="G47" s="112"/>
      <c r="H47" s="124"/>
      <c r="I47" s="52">
        <f t="shared" si="0"/>
        <v>11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4</v>
      </c>
    </row>
    <row r="51" spans="1:10" ht="17.25" customHeight="1" thickBot="1" x14ac:dyDescent="0.35">
      <c r="A51" s="353"/>
      <c r="B51" s="64" t="s">
        <v>42</v>
      </c>
      <c r="C51" s="65">
        <f>SUM(C13:C50)</f>
        <v>641</v>
      </c>
      <c r="D51" s="66">
        <f>SUM(D13:D46)</f>
        <v>0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64</v>
      </c>
      <c r="I51" s="70">
        <f>SUM(I13:I46)</f>
        <v>582.5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>
        <v>0</v>
      </c>
      <c r="G53" s="341">
        <v>6</v>
      </c>
      <c r="H53" s="341"/>
      <c r="I53" s="343">
        <v>2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79100</v>
      </c>
      <c r="F55" s="349">
        <v>0</v>
      </c>
      <c r="G55" s="349">
        <v>66500</v>
      </c>
      <c r="H55" s="341"/>
      <c r="I55" s="335">
        <v>375400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705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708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706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707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704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/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/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697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696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698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699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700</v>
      </c>
      <c r="E79" s="94">
        <v>0.8125</v>
      </c>
      <c r="F79" s="93" t="s">
        <v>701</v>
      </c>
      <c r="G79" s="315" t="s">
        <v>702</v>
      </c>
      <c r="H79" s="316"/>
      <c r="I79" s="95" t="s">
        <v>703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C11" sqref="C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709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710</v>
      </c>
      <c r="D3" s="5" t="s">
        <v>4</v>
      </c>
      <c r="E3" s="373"/>
      <c r="F3" s="380" t="s">
        <v>711</v>
      </c>
      <c r="G3" s="381"/>
      <c r="H3" s="382">
        <f>G11+'25일'!H3:I3</f>
        <v>67808580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713</v>
      </c>
      <c r="F6" s="15" t="s">
        <v>712</v>
      </c>
      <c r="G6" s="16" t="s">
        <v>714</v>
      </c>
      <c r="H6" s="17">
        <v>0.37</v>
      </c>
      <c r="I6" s="18">
        <v>0.3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2628900</v>
      </c>
      <c r="D11" s="102">
        <v>196</v>
      </c>
      <c r="E11" s="109">
        <f>SUM(E55:I56)</f>
        <v>382400</v>
      </c>
      <c r="F11" s="109">
        <f>SUM(E53:I54)</f>
        <v>14</v>
      </c>
      <c r="G11" s="110">
        <f>C11+E11</f>
        <v>3011300</v>
      </c>
      <c r="H11" s="110">
        <f>D11+F11</f>
        <v>210</v>
      </c>
      <c r="I11" s="111">
        <f>G11/H11</f>
        <v>14339.523809523809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16.5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15</v>
      </c>
      <c r="D15" s="29"/>
      <c r="E15" s="30"/>
      <c r="F15" s="34"/>
      <c r="G15" s="25"/>
      <c r="H15" s="29"/>
      <c r="I15" s="35">
        <f>C15-D15-D16*1/2-E15-E16*1/2+F15-H15-H16*1/2-I16*1/2</f>
        <v>15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22</v>
      </c>
      <c r="D17" s="29"/>
      <c r="E17" s="30">
        <v>1</v>
      </c>
      <c r="F17" s="34"/>
      <c r="G17" s="118"/>
      <c r="H17" s="29"/>
      <c r="I17" s="37">
        <f>C17-D17-D18*1/2-E17-E18*1/2+F17-H17-H18*1/2-I18*1/2</f>
        <v>21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42</v>
      </c>
      <c r="D21" s="41"/>
      <c r="E21" s="42">
        <v>1</v>
      </c>
      <c r="F21" s="43"/>
      <c r="G21" s="44"/>
      <c r="H21" s="43"/>
      <c r="I21" s="45">
        <f t="shared" ref="I21:I48" si="0">C21-D21-E21+F21-H21</f>
        <v>41</v>
      </c>
    </row>
    <row r="22" spans="1:9" ht="17.25" customHeight="1" x14ac:dyDescent="0.3">
      <c r="A22" s="352"/>
      <c r="B22" s="21" t="s">
        <v>32</v>
      </c>
      <c r="C22" s="46">
        <v>35</v>
      </c>
      <c r="D22" s="23"/>
      <c r="E22" s="47">
        <v>1</v>
      </c>
      <c r="F22" s="48"/>
      <c r="G22" s="25"/>
      <c r="H22" s="48">
        <v>6</v>
      </c>
      <c r="I22" s="49">
        <f t="shared" si="0"/>
        <v>28</v>
      </c>
    </row>
    <row r="23" spans="1:9" ht="17.25" customHeight="1" x14ac:dyDescent="0.3">
      <c r="A23" s="352"/>
      <c r="B23" s="27" t="s">
        <v>33</v>
      </c>
      <c r="C23" s="33">
        <v>161</v>
      </c>
      <c r="D23" s="29"/>
      <c r="E23" s="50">
        <v>5</v>
      </c>
      <c r="F23" s="51"/>
      <c r="G23" s="25"/>
      <c r="H23" s="51">
        <v>8</v>
      </c>
      <c r="I23" s="52">
        <f>C23-D23-D24-E23-E24+F23+F24-H23-H24-I24</f>
        <v>148</v>
      </c>
    </row>
    <row r="24" spans="1:9" ht="17.25" customHeight="1" x14ac:dyDescent="0.3">
      <c r="A24" s="35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52"/>
      <c r="B26" s="160" t="s">
        <v>36</v>
      </c>
      <c r="C26" s="55">
        <v>21</v>
      </c>
      <c r="D26" s="41"/>
      <c r="E26" s="42"/>
      <c r="F26" s="43"/>
      <c r="G26" s="113"/>
      <c r="H26" s="43">
        <v>8</v>
      </c>
      <c r="I26" s="45">
        <f t="shared" si="0"/>
        <v>13</v>
      </c>
    </row>
    <row r="27" spans="1:9" ht="17.25" customHeight="1" x14ac:dyDescent="0.3">
      <c r="A27" s="352"/>
      <c r="B27" s="21" t="s">
        <v>37</v>
      </c>
      <c r="C27" s="46">
        <v>26</v>
      </c>
      <c r="D27" s="23"/>
      <c r="E27" s="47"/>
      <c r="F27" s="48"/>
      <c r="G27" s="112"/>
      <c r="H27" s="48"/>
      <c r="I27" s="49">
        <f t="shared" si="0"/>
        <v>26</v>
      </c>
    </row>
    <row r="28" spans="1:9" ht="17.25" customHeight="1" x14ac:dyDescent="0.3">
      <c r="A28" s="352"/>
      <c r="B28" s="160" t="s">
        <v>38</v>
      </c>
      <c r="C28" s="55">
        <v>36</v>
      </c>
      <c r="D28" s="41"/>
      <c r="E28" s="42"/>
      <c r="F28" s="43"/>
      <c r="G28" s="113"/>
      <c r="H28" s="43">
        <v>1</v>
      </c>
      <c r="I28" s="45">
        <f t="shared" si="0"/>
        <v>35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112</v>
      </c>
      <c r="D30" s="29">
        <v>3</v>
      </c>
      <c r="E30" s="50">
        <v>2</v>
      </c>
      <c r="F30" s="51"/>
      <c r="G30" s="25"/>
      <c r="H30" s="51">
        <v>21</v>
      </c>
      <c r="I30" s="52">
        <f>C30-D30-D31-E30-E31+F30+F31-H30-H31-I31</f>
        <v>86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1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4</v>
      </c>
      <c r="F35" s="48"/>
      <c r="G35" s="116"/>
      <c r="H35" s="48"/>
      <c r="I35" s="282">
        <v>34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>
        <v>1</v>
      </c>
      <c r="I36" s="52">
        <f>C36-D36-E36+F36-H36</f>
        <v>19</v>
      </c>
    </row>
    <row r="37" spans="1:9" ht="17.25" customHeight="1" x14ac:dyDescent="0.3">
      <c r="A37" s="352"/>
      <c r="B37" s="163" t="s">
        <v>106</v>
      </c>
      <c r="C37" s="117">
        <v>8</v>
      </c>
      <c r="D37" s="29"/>
      <c r="E37" s="50"/>
      <c r="F37" s="51"/>
      <c r="G37" s="25"/>
      <c r="H37" s="51"/>
      <c r="I37" s="196">
        <f>C37-D37-D38*1/2-E37-E38*1/2+F37-H37-H38*1/2-I38*1/2</f>
        <v>1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>
        <v>14</v>
      </c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52"/>
      <c r="B47" s="120" t="s">
        <v>88</v>
      </c>
      <c r="C47" s="121">
        <v>21</v>
      </c>
      <c r="D47" s="122"/>
      <c r="E47" s="123"/>
      <c r="F47" s="124"/>
      <c r="G47" s="112"/>
      <c r="H47" s="124"/>
      <c r="I47" s="52">
        <f t="shared" si="0"/>
        <v>21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589</v>
      </c>
      <c r="D51" s="66">
        <f>SUM(D13:D46)</f>
        <v>3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45</v>
      </c>
      <c r="I51" s="70">
        <f>SUM(I13:I46)</f>
        <v>553.5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6</v>
      </c>
      <c r="F53" s="341">
        <v>1</v>
      </c>
      <c r="G53" s="341">
        <v>6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>
        <v>66200</v>
      </c>
      <c r="E55" s="349">
        <v>152900</v>
      </c>
      <c r="F55" s="349">
        <v>19000</v>
      </c>
      <c r="G55" s="349">
        <v>66500</v>
      </c>
      <c r="H55" s="341"/>
      <c r="I55" s="335">
        <v>144000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726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727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728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729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715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20" t="s">
        <v>723</v>
      </c>
      <c r="D62" s="321"/>
      <c r="E62" s="321"/>
      <c r="F62" s="321"/>
      <c r="G62" s="321"/>
      <c r="H62" s="321"/>
      <c r="I62" s="322"/>
    </row>
    <row r="63" spans="1:10" s="76" customFormat="1" ht="17.25" customHeight="1" x14ac:dyDescent="0.3">
      <c r="A63" s="303"/>
      <c r="B63" s="304"/>
      <c r="C63" s="384" t="s">
        <v>725</v>
      </c>
      <c r="D63" s="385"/>
      <c r="E63" s="385"/>
      <c r="F63" s="385"/>
      <c r="G63" s="385"/>
      <c r="H63" s="385"/>
      <c r="I63" s="386"/>
    </row>
    <row r="64" spans="1:10" s="76" customFormat="1" ht="17.25" customHeight="1" thickBot="1" x14ac:dyDescent="0.35">
      <c r="A64" s="305"/>
      <c r="B64" s="306"/>
      <c r="C64" s="387"/>
      <c r="D64" s="388"/>
      <c r="E64" s="388"/>
      <c r="F64" s="388"/>
      <c r="G64" s="388"/>
      <c r="H64" s="388"/>
      <c r="I64" s="389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716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724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717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718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719</v>
      </c>
      <c r="E79" s="94">
        <v>0.8125</v>
      </c>
      <c r="F79" s="93" t="s">
        <v>720</v>
      </c>
      <c r="G79" s="315" t="s">
        <v>721</v>
      </c>
      <c r="H79" s="316"/>
      <c r="I79" s="95" t="s">
        <v>722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65:A69"/>
    <mergeCell ref="B65:B66"/>
    <mergeCell ref="B67:B69"/>
    <mergeCell ref="C67:I67"/>
    <mergeCell ref="C68:I68"/>
    <mergeCell ref="C69:I69"/>
    <mergeCell ref="C65:I65"/>
    <mergeCell ref="C66:I6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C63:I64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1:I61"/>
    <mergeCell ref="C62:I62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H55" sqref="H55:H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730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731</v>
      </c>
      <c r="D3" s="5" t="s">
        <v>4</v>
      </c>
      <c r="E3" s="373"/>
      <c r="F3" s="380" t="s">
        <v>732</v>
      </c>
      <c r="G3" s="381"/>
      <c r="H3" s="382">
        <f>G11+'26일'!H3:I3</f>
        <v>71219590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735</v>
      </c>
      <c r="F6" s="15" t="s">
        <v>734</v>
      </c>
      <c r="G6" s="16" t="s">
        <v>733</v>
      </c>
      <c r="H6" s="17">
        <v>0.47</v>
      </c>
      <c r="I6" s="18">
        <v>0.3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3194900</v>
      </c>
      <c r="D11" s="102">
        <v>219</v>
      </c>
      <c r="E11" s="109">
        <f>SUM(E55:I56)</f>
        <v>216110</v>
      </c>
      <c r="F11" s="109">
        <f>SUM(E53:I54)</f>
        <v>12</v>
      </c>
      <c r="G11" s="110">
        <f>C11+E11</f>
        <v>3411010</v>
      </c>
      <c r="H11" s="110">
        <f>D11+F11</f>
        <v>231</v>
      </c>
      <c r="I11" s="111">
        <f>G11/H11</f>
        <v>14766.277056277057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40</v>
      </c>
      <c r="D13" s="23"/>
      <c r="E13" s="22"/>
      <c r="F13" s="24"/>
      <c r="G13" s="25"/>
      <c r="H13" s="23"/>
      <c r="I13" s="26">
        <f>C13-D13-D14*1/2-E13-E14*1/2+F13-H13-H14*1/2-I14*1/2</f>
        <v>40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16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22</v>
      </c>
      <c r="D17" s="29"/>
      <c r="E17" s="30"/>
      <c r="F17" s="34"/>
      <c r="G17" s="118"/>
      <c r="H17" s="29"/>
      <c r="I17" s="37">
        <f>C17-D17-D18*1/2-E17-E18*1/2+F17-H17-H18*1/2-I18*1/2</f>
        <v>21.5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98</v>
      </c>
      <c r="D21" s="41">
        <v>1</v>
      </c>
      <c r="E21" s="42">
        <v>1</v>
      </c>
      <c r="F21" s="43"/>
      <c r="G21" s="44"/>
      <c r="H21" s="43"/>
      <c r="I21" s="45">
        <f t="shared" ref="I21:I48" si="0">C21-D21-E21+F21-H21</f>
        <v>96</v>
      </c>
    </row>
    <row r="22" spans="1:9" ht="17.25" customHeight="1" x14ac:dyDescent="0.3">
      <c r="A22" s="352"/>
      <c r="B22" s="21" t="s">
        <v>32</v>
      </c>
      <c r="C22" s="46">
        <v>35</v>
      </c>
      <c r="D22" s="23"/>
      <c r="E22" s="47"/>
      <c r="F22" s="48"/>
      <c r="G22" s="25"/>
      <c r="H22" s="48">
        <v>2</v>
      </c>
      <c r="I22" s="49">
        <f t="shared" si="0"/>
        <v>33</v>
      </c>
    </row>
    <row r="23" spans="1:9" ht="17.25" customHeight="1" x14ac:dyDescent="0.3">
      <c r="A23" s="352"/>
      <c r="B23" s="27" t="s">
        <v>33</v>
      </c>
      <c r="C23" s="33">
        <v>139</v>
      </c>
      <c r="D23" s="29"/>
      <c r="E23" s="50">
        <v>3</v>
      </c>
      <c r="F23" s="51"/>
      <c r="G23" s="25"/>
      <c r="H23" s="51">
        <v>7</v>
      </c>
      <c r="I23" s="52">
        <f>C23-D23-D24-E23-E24+F23+F24-H23-H24-I24</f>
        <v>129</v>
      </c>
    </row>
    <row r="24" spans="1:9" ht="17.25" customHeight="1" x14ac:dyDescent="0.3">
      <c r="A24" s="35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25</v>
      </c>
      <c r="D25" s="23"/>
      <c r="E25" s="47"/>
      <c r="F25" s="48"/>
      <c r="G25" s="112"/>
      <c r="H25" s="48"/>
      <c r="I25" s="49">
        <f t="shared" si="0"/>
        <v>25</v>
      </c>
    </row>
    <row r="26" spans="1:9" ht="17.25" customHeight="1" x14ac:dyDescent="0.3">
      <c r="A26" s="352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52"/>
      <c r="B27" s="21" t="s">
        <v>37</v>
      </c>
      <c r="C27" s="46">
        <v>24</v>
      </c>
      <c r="D27" s="23"/>
      <c r="E27" s="47"/>
      <c r="F27" s="48"/>
      <c r="G27" s="112"/>
      <c r="H27" s="48"/>
      <c r="I27" s="49">
        <f t="shared" si="0"/>
        <v>24</v>
      </c>
    </row>
    <row r="28" spans="1:9" ht="17.25" customHeight="1" x14ac:dyDescent="0.3">
      <c r="A28" s="352"/>
      <c r="B28" s="160" t="s">
        <v>38</v>
      </c>
      <c r="C28" s="55">
        <v>45</v>
      </c>
      <c r="D28" s="41"/>
      <c r="E28" s="42"/>
      <c r="F28" s="43"/>
      <c r="G28" s="113"/>
      <c r="H28" s="43">
        <v>3</v>
      </c>
      <c r="I28" s="45">
        <f t="shared" si="0"/>
        <v>42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112</v>
      </c>
      <c r="D30" s="29"/>
      <c r="E30" s="50">
        <v>3</v>
      </c>
      <c r="F30" s="51"/>
      <c r="G30" s="25"/>
      <c r="H30" s="51">
        <v>12</v>
      </c>
      <c r="I30" s="52">
        <f>C30-D30-D31-E30-E31+F30+F31-H30-H31-I31</f>
        <v>97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3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43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/>
      <c r="I37" s="196">
        <f>C37-D37-D38*1/2-E37-E38*1/2+F37-H37-H38*1/2-I38*1/2</f>
        <v>10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13</v>
      </c>
      <c r="D46" s="23"/>
      <c r="E46" s="47"/>
      <c r="F46" s="48"/>
      <c r="G46" s="116"/>
      <c r="H46" s="48"/>
      <c r="I46" s="49">
        <f t="shared" si="0"/>
        <v>13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2</v>
      </c>
    </row>
    <row r="51" spans="1:10" ht="17.25" customHeight="1" thickBot="1" x14ac:dyDescent="0.35">
      <c r="A51" s="353"/>
      <c r="B51" s="64" t="s">
        <v>42</v>
      </c>
      <c r="C51" s="65">
        <f>SUM(C13:C50)</f>
        <v>660</v>
      </c>
      <c r="D51" s="66">
        <f>SUM(D13:D46)</f>
        <v>1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24</v>
      </c>
      <c r="I51" s="70">
        <f>SUM(I13:I46)</f>
        <v>674.5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2</v>
      </c>
      <c r="F53" s="341">
        <v>1</v>
      </c>
      <c r="G53" s="341">
        <v>8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39200</v>
      </c>
      <c r="F55" s="349">
        <v>25800</v>
      </c>
      <c r="G55" s="349">
        <v>112510</v>
      </c>
      <c r="H55" s="341"/>
      <c r="I55" s="335">
        <v>38600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746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747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744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745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736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84" t="s">
        <v>748</v>
      </c>
      <c r="D62" s="385"/>
      <c r="E62" s="385"/>
      <c r="F62" s="385"/>
      <c r="G62" s="385"/>
      <c r="H62" s="385"/>
      <c r="I62" s="386"/>
    </row>
    <row r="63" spans="1:10" s="76" customFormat="1" ht="17.25" customHeight="1" x14ac:dyDescent="0.3">
      <c r="A63" s="303"/>
      <c r="B63" s="304"/>
      <c r="C63" s="394"/>
      <c r="D63" s="395"/>
      <c r="E63" s="395"/>
      <c r="F63" s="395"/>
      <c r="G63" s="395"/>
      <c r="H63" s="395"/>
      <c r="I63" s="396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743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/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737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738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739</v>
      </c>
      <c r="E79" s="94">
        <v>0.8125</v>
      </c>
      <c r="F79" s="93" t="s">
        <v>740</v>
      </c>
      <c r="G79" s="315" t="s">
        <v>741</v>
      </c>
      <c r="H79" s="316"/>
      <c r="I79" s="95" t="s">
        <v>742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C59:I59"/>
    <mergeCell ref="A73:B74"/>
    <mergeCell ref="A75:B75"/>
    <mergeCell ref="C60:I60"/>
    <mergeCell ref="C61:I61"/>
    <mergeCell ref="C64:I64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A78:B79"/>
    <mergeCell ref="C78:D78"/>
    <mergeCell ref="E78:F78"/>
    <mergeCell ref="C62:I63"/>
    <mergeCell ref="H80:I80"/>
    <mergeCell ref="C72:I72"/>
    <mergeCell ref="C73:I73"/>
    <mergeCell ref="C74:I74"/>
    <mergeCell ref="G78:H78"/>
    <mergeCell ref="G79:H79"/>
    <mergeCell ref="C65:I65"/>
    <mergeCell ref="C66:I66"/>
    <mergeCell ref="C67:I67"/>
    <mergeCell ref="C68:I68"/>
    <mergeCell ref="C69:I69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F55" sqref="F55:F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749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750</v>
      </c>
      <c r="D3" s="5" t="s">
        <v>4</v>
      </c>
      <c r="E3" s="373"/>
      <c r="F3" s="380" t="s">
        <v>751</v>
      </c>
      <c r="G3" s="381"/>
      <c r="H3" s="382">
        <f>G11+'27일'!H3:I3</f>
        <v>74289590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754</v>
      </c>
      <c r="F6" s="15" t="s">
        <v>753</v>
      </c>
      <c r="G6" s="16" t="s">
        <v>752</v>
      </c>
      <c r="H6" s="17">
        <v>0.35</v>
      </c>
      <c r="I6" s="18">
        <v>0.28000000000000003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2908500</v>
      </c>
      <c r="D11" s="102">
        <v>175</v>
      </c>
      <c r="E11" s="109">
        <f>SUM(E55:I56)</f>
        <v>161500</v>
      </c>
      <c r="F11" s="109">
        <f>SUM(E53:I54)</f>
        <v>8</v>
      </c>
      <c r="G11" s="110">
        <f>C11+E11</f>
        <v>3070000</v>
      </c>
      <c r="H11" s="110">
        <f>D11+F11</f>
        <v>183</v>
      </c>
      <c r="I11" s="111">
        <f>G11/H11</f>
        <v>16775.956284153006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27</v>
      </c>
      <c r="D13" s="23"/>
      <c r="E13" s="22"/>
      <c r="F13" s="24"/>
      <c r="G13" s="25"/>
      <c r="H13" s="23"/>
      <c r="I13" s="26">
        <f>C13-D13-D14*1/2-E13-E14*1/2+F13-H13-H14*1/2-I14*1/2</f>
        <v>26.5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28</v>
      </c>
      <c r="D15" s="29"/>
      <c r="E15" s="30"/>
      <c r="F15" s="34"/>
      <c r="G15" s="25"/>
      <c r="H15" s="29"/>
      <c r="I15" s="35">
        <f>C15-D15-D16*1/2-E15-E16*1/2+F15-H15-H16*1/2-I16*1/2</f>
        <v>28</v>
      </c>
    </row>
    <row r="16" spans="1:9" ht="17.25" customHeight="1" x14ac:dyDescent="0.3">
      <c r="A16" s="352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21</v>
      </c>
      <c r="D17" s="29"/>
      <c r="E17" s="30">
        <v>1</v>
      </c>
      <c r="F17" s="34"/>
      <c r="G17" s="118"/>
      <c r="H17" s="29"/>
      <c r="I17" s="37">
        <f>C17-D17-D18*1/2-E17-E18*1/2+F17-H17-H18*1/2-I18*1/2</f>
        <v>19.5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>
        <v>1</v>
      </c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89</v>
      </c>
      <c r="D21" s="41"/>
      <c r="E21" s="42">
        <v>3</v>
      </c>
      <c r="F21" s="43"/>
      <c r="G21" s="44"/>
      <c r="H21" s="43"/>
      <c r="I21" s="45">
        <f t="shared" ref="I21:I48" si="0">C21-D21-E21+F21-H21</f>
        <v>86</v>
      </c>
    </row>
    <row r="22" spans="1:9" ht="17.25" customHeight="1" x14ac:dyDescent="0.3">
      <c r="A22" s="352"/>
      <c r="B22" s="21" t="s">
        <v>32</v>
      </c>
      <c r="C22" s="46">
        <v>34</v>
      </c>
      <c r="D22" s="23"/>
      <c r="E22" s="47">
        <v>1</v>
      </c>
      <c r="F22" s="48"/>
      <c r="G22" s="25"/>
      <c r="H22" s="48"/>
      <c r="I22" s="49">
        <f t="shared" si="0"/>
        <v>33</v>
      </c>
    </row>
    <row r="23" spans="1:9" ht="17.25" customHeight="1" x14ac:dyDescent="0.3">
      <c r="A23" s="352"/>
      <c r="B23" s="27" t="s">
        <v>33</v>
      </c>
      <c r="C23" s="33">
        <v>148</v>
      </c>
      <c r="D23" s="29"/>
      <c r="E23" s="50">
        <v>2</v>
      </c>
      <c r="F23" s="51"/>
      <c r="G23" s="25"/>
      <c r="H23" s="51">
        <v>4</v>
      </c>
      <c r="I23" s="52">
        <f>C23-D23-D24-E23-E24+F23+F24-H23-H24-I24</f>
        <v>142</v>
      </c>
    </row>
    <row r="24" spans="1:9" ht="17.25" customHeight="1" x14ac:dyDescent="0.3">
      <c r="A24" s="352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25</v>
      </c>
      <c r="D25" s="23"/>
      <c r="E25" s="47"/>
      <c r="F25" s="48"/>
      <c r="G25" s="112"/>
      <c r="H25" s="48"/>
      <c r="I25" s="49">
        <f t="shared" si="0"/>
        <v>25</v>
      </c>
    </row>
    <row r="26" spans="1:9" ht="17.25" customHeight="1" x14ac:dyDescent="0.3">
      <c r="A26" s="352"/>
      <c r="B26" s="160" t="s">
        <v>36</v>
      </c>
      <c r="C26" s="55">
        <v>44</v>
      </c>
      <c r="D26" s="41"/>
      <c r="E26" s="42"/>
      <c r="F26" s="43"/>
      <c r="G26" s="113"/>
      <c r="H26" s="43">
        <v>11</v>
      </c>
      <c r="I26" s="45">
        <f t="shared" si="0"/>
        <v>33</v>
      </c>
    </row>
    <row r="27" spans="1:9" ht="17.25" customHeight="1" x14ac:dyDescent="0.3">
      <c r="A27" s="352"/>
      <c r="B27" s="21" t="s">
        <v>37</v>
      </c>
      <c r="C27" s="46">
        <v>34</v>
      </c>
      <c r="D27" s="23">
        <v>1</v>
      </c>
      <c r="E27" s="47">
        <v>1</v>
      </c>
      <c r="F27" s="48"/>
      <c r="G27" s="112"/>
      <c r="H27" s="48">
        <v>6</v>
      </c>
      <c r="I27" s="49">
        <f t="shared" si="0"/>
        <v>26</v>
      </c>
    </row>
    <row r="28" spans="1:9" ht="17.25" customHeight="1" x14ac:dyDescent="0.3">
      <c r="A28" s="352"/>
      <c r="B28" s="160" t="s">
        <v>38</v>
      </c>
      <c r="C28" s="55">
        <v>39</v>
      </c>
      <c r="D28" s="41"/>
      <c r="E28" s="42"/>
      <c r="F28" s="43"/>
      <c r="G28" s="113"/>
      <c r="H28" s="43">
        <v>19</v>
      </c>
      <c r="I28" s="45">
        <f t="shared" si="0"/>
        <v>20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114</v>
      </c>
      <c r="D30" s="29"/>
      <c r="E30" s="50">
        <v>3</v>
      </c>
      <c r="F30" s="51"/>
      <c r="G30" s="25"/>
      <c r="H30" s="51">
        <v>24</v>
      </c>
      <c r="I30" s="52">
        <f>C30-D30-D31-E30-E31+F30+F31-H30-H31-I31</f>
        <v>87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>
        <v>1</v>
      </c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52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15</v>
      </c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/>
      <c r="F37" s="51"/>
      <c r="G37" s="25"/>
      <c r="H37" s="51">
        <v>1</v>
      </c>
      <c r="I37" s="196">
        <f>C37-D37-D38*1/2-E37-E38*1/2+F37-H37-H38*1/2-I38*1/2</f>
        <v>9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16</v>
      </c>
      <c r="D46" s="23"/>
      <c r="E46" s="47"/>
      <c r="F46" s="48"/>
      <c r="G46" s="116"/>
      <c r="H46" s="48"/>
      <c r="I46" s="49">
        <f t="shared" si="0"/>
        <v>16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53"/>
      <c r="B51" s="64" t="s">
        <v>42</v>
      </c>
      <c r="C51" s="65">
        <f>SUM(C13:C50)</f>
        <v>666</v>
      </c>
      <c r="D51" s="66">
        <f>SUM(D13:D46)</f>
        <v>1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66</v>
      </c>
      <c r="I51" s="70">
        <f>SUM(I13:I46)</f>
        <v>605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2</v>
      </c>
      <c r="F53" s="341">
        <v>4</v>
      </c>
      <c r="G53" s="341">
        <v>2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43000</v>
      </c>
      <c r="F55" s="349">
        <v>97600</v>
      </c>
      <c r="G55" s="349">
        <v>20900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787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766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767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768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755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762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/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 t="s">
        <v>763</v>
      </c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764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765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/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756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757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758</v>
      </c>
      <c r="E79" s="94">
        <v>0.79166666666666663</v>
      </c>
      <c r="F79" s="93" t="s">
        <v>759</v>
      </c>
      <c r="G79" s="315" t="s">
        <v>760</v>
      </c>
      <c r="H79" s="316"/>
      <c r="I79" s="95" t="s">
        <v>761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C60" sqref="C60:I6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769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770</v>
      </c>
      <c r="D3" s="5" t="s">
        <v>4</v>
      </c>
      <c r="E3" s="373"/>
      <c r="F3" s="380" t="s">
        <v>771</v>
      </c>
      <c r="G3" s="381"/>
      <c r="H3" s="382">
        <f>G11+'28일'!H3:I3</f>
        <v>76312090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772</v>
      </c>
      <c r="F6" s="15" t="s">
        <v>773</v>
      </c>
      <c r="G6" s="16" t="s">
        <v>774</v>
      </c>
      <c r="H6" s="17">
        <v>0.28999999999999998</v>
      </c>
      <c r="I6" s="18">
        <v>0.26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1790400</v>
      </c>
      <c r="D11" s="102">
        <v>112</v>
      </c>
      <c r="E11" s="109">
        <f>SUM(E55:I56)</f>
        <v>232100</v>
      </c>
      <c r="F11" s="109">
        <f>SUM(E53:I54)</f>
        <v>10</v>
      </c>
      <c r="G11" s="110">
        <f>C11+E11</f>
        <v>2022500</v>
      </c>
      <c r="H11" s="110">
        <f>D11+F11</f>
        <v>122</v>
      </c>
      <c r="I11" s="111">
        <f>G11/H11</f>
        <v>16577.868852459018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16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15</v>
      </c>
      <c r="D15" s="29"/>
      <c r="E15" s="30"/>
      <c r="F15" s="34"/>
      <c r="G15" s="25"/>
      <c r="H15" s="29">
        <v>1</v>
      </c>
      <c r="I15" s="35">
        <f>C15-D15-D16*1/2-E15-E16*1/2+F15-H15-H16*1/2-I16*1/2</f>
        <v>13.5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8</v>
      </c>
      <c r="D19" s="29"/>
      <c r="E19" s="30"/>
      <c r="F19" s="34"/>
      <c r="G19" s="25"/>
      <c r="H19" s="29"/>
      <c r="I19" s="35">
        <f>C19-D19-D20*1/2-E19-E20*1/2+F19-H19-H20*1/2-I20*1/2</f>
        <v>8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68</v>
      </c>
      <c r="D21" s="41"/>
      <c r="E21" s="42">
        <v>2</v>
      </c>
      <c r="F21" s="43"/>
      <c r="G21" s="44"/>
      <c r="H21" s="43">
        <v>1</v>
      </c>
      <c r="I21" s="45">
        <f t="shared" ref="I21:I48" si="0">C21-D21-E21+F21-H21</f>
        <v>65</v>
      </c>
    </row>
    <row r="22" spans="1:9" ht="17.25" customHeight="1" x14ac:dyDescent="0.3">
      <c r="A22" s="352"/>
      <c r="B22" s="21" t="s">
        <v>32</v>
      </c>
      <c r="C22" s="46">
        <v>17</v>
      </c>
      <c r="D22" s="23"/>
      <c r="E22" s="47">
        <v>2</v>
      </c>
      <c r="F22" s="48"/>
      <c r="G22" s="25"/>
      <c r="H22" s="48"/>
      <c r="I22" s="49">
        <f t="shared" si="0"/>
        <v>15</v>
      </c>
    </row>
    <row r="23" spans="1:9" ht="17.25" customHeight="1" x14ac:dyDescent="0.3">
      <c r="A23" s="352"/>
      <c r="B23" s="27" t="s">
        <v>33</v>
      </c>
      <c r="C23" s="33">
        <v>104</v>
      </c>
      <c r="D23" s="29">
        <v>7</v>
      </c>
      <c r="E23" s="50">
        <v>2</v>
      </c>
      <c r="F23" s="51"/>
      <c r="G23" s="25"/>
      <c r="H23" s="51"/>
      <c r="I23" s="52">
        <f>C23-D23-D24-E23-E24+F23+F24-H23-H24-I24</f>
        <v>92</v>
      </c>
    </row>
    <row r="24" spans="1:9" ht="17.25" customHeight="1" x14ac:dyDescent="0.3">
      <c r="A24" s="352"/>
      <c r="B24" s="160" t="s">
        <v>34</v>
      </c>
      <c r="C24" s="53"/>
      <c r="D24" s="41">
        <v>2</v>
      </c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24</v>
      </c>
      <c r="D25" s="23"/>
      <c r="E25" s="47"/>
      <c r="F25" s="48"/>
      <c r="G25" s="112"/>
      <c r="H25" s="48">
        <v>2</v>
      </c>
      <c r="I25" s="49">
        <f t="shared" si="0"/>
        <v>22</v>
      </c>
    </row>
    <row r="26" spans="1:9" ht="17.25" customHeight="1" x14ac:dyDescent="0.3">
      <c r="A26" s="352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52"/>
      <c r="B27" s="21" t="s">
        <v>37</v>
      </c>
      <c r="C27" s="46">
        <v>22</v>
      </c>
      <c r="D27" s="23"/>
      <c r="E27" s="47">
        <v>1</v>
      </c>
      <c r="F27" s="48"/>
      <c r="G27" s="112"/>
      <c r="H27" s="48">
        <v>2</v>
      </c>
      <c r="I27" s="49">
        <f t="shared" si="0"/>
        <v>19</v>
      </c>
    </row>
    <row r="28" spans="1:9" ht="17.25" customHeight="1" x14ac:dyDescent="0.3">
      <c r="A28" s="352"/>
      <c r="B28" s="160" t="s">
        <v>38</v>
      </c>
      <c r="C28" s="55">
        <v>27</v>
      </c>
      <c r="D28" s="41"/>
      <c r="E28" s="42">
        <v>2</v>
      </c>
      <c r="F28" s="43"/>
      <c r="G28" s="113"/>
      <c r="H28" s="43"/>
      <c r="I28" s="45">
        <f t="shared" si="0"/>
        <v>25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62</v>
      </c>
      <c r="D30" s="29">
        <v>1</v>
      </c>
      <c r="E30" s="50">
        <v>2</v>
      </c>
      <c r="F30" s="51"/>
      <c r="G30" s="25"/>
      <c r="H30" s="51">
        <v>7</v>
      </c>
      <c r="I30" s="52">
        <f>C30-D30-D31-E30-E31+F30+F31-H30-H31-I31</f>
        <v>52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>
        <v>1</v>
      </c>
      <c r="F32" s="48"/>
      <c r="G32" s="116"/>
      <c r="H32" s="48">
        <v>1</v>
      </c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>
        <v>1</v>
      </c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52"/>
      <c r="B37" s="163" t="s">
        <v>106</v>
      </c>
      <c r="C37" s="117">
        <v>6</v>
      </c>
      <c r="D37" s="29"/>
      <c r="E37" s="50"/>
      <c r="F37" s="51"/>
      <c r="G37" s="25"/>
      <c r="H37" s="51"/>
      <c r="I37" s="196">
        <f>C37-D37-D38*1/2-E37-E38*1/2+F37-H37-H38*1/2-I38*1/2</f>
        <v>6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428</v>
      </c>
      <c r="D51" s="66">
        <f>SUM(D13:D46)</f>
        <v>10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14</v>
      </c>
      <c r="I51" s="70">
        <f>SUM(I13:I46)</f>
        <v>392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>
        <v>4</v>
      </c>
      <c r="G53" s="341">
        <v>3</v>
      </c>
      <c r="H53" s="341"/>
      <c r="I53" s="343"/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96600</v>
      </c>
      <c r="F55" s="349">
        <v>96400</v>
      </c>
      <c r="G55" s="349">
        <v>39100</v>
      </c>
      <c r="H55" s="341"/>
      <c r="I55" s="335"/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785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789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786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807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775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788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/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776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777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778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779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780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781</v>
      </c>
      <c r="E79" s="94">
        <v>0.79166666666666663</v>
      </c>
      <c r="F79" s="93" t="s">
        <v>782</v>
      </c>
      <c r="G79" s="315" t="s">
        <v>783</v>
      </c>
      <c r="H79" s="316"/>
      <c r="I79" s="95" t="s">
        <v>784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6" zoomScale="90" zoomScaleNormal="90" workbookViewId="0">
      <selection activeCell="G55" sqref="G55:G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790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791</v>
      </c>
      <c r="D3" s="5" t="s">
        <v>4</v>
      </c>
      <c r="E3" s="373"/>
      <c r="F3" s="380" t="s">
        <v>792</v>
      </c>
      <c r="G3" s="381"/>
      <c r="H3" s="382">
        <f>G11+'29일'!H3:I3</f>
        <v>79111790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793</v>
      </c>
      <c r="F6" s="15" t="s">
        <v>794</v>
      </c>
      <c r="G6" s="16" t="s">
        <v>795</v>
      </c>
      <c r="H6" s="17">
        <v>0.25</v>
      </c>
      <c r="I6" s="18">
        <v>0.25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2183500</v>
      </c>
      <c r="D11" s="102">
        <v>166</v>
      </c>
      <c r="E11" s="109">
        <f>SUM(E55:I56)</f>
        <v>616200</v>
      </c>
      <c r="F11" s="109">
        <f>SUM(E53:I54)</f>
        <v>15</v>
      </c>
      <c r="G11" s="110">
        <f>C11+E11</f>
        <v>2799700</v>
      </c>
      <c r="H11" s="110">
        <f>D11+F11</f>
        <v>181</v>
      </c>
      <c r="I11" s="111">
        <f>G11/H11</f>
        <v>15467.955801104972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18</v>
      </c>
      <c r="D13" s="23"/>
      <c r="E13" s="22"/>
      <c r="F13" s="24"/>
      <c r="G13" s="25"/>
      <c r="H13" s="23">
        <v>3</v>
      </c>
      <c r="I13" s="26">
        <f>C13-D13-D14*1/2-E13-E14*1/2+F13-H13-H14*1/2-I14*1/2</f>
        <v>15</v>
      </c>
    </row>
    <row r="14" spans="1:9" ht="17.25" customHeight="1" x14ac:dyDescent="0.3">
      <c r="A14" s="352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17</v>
      </c>
      <c r="D15" s="29"/>
      <c r="E15" s="30"/>
      <c r="F15" s="34"/>
      <c r="G15" s="25"/>
      <c r="H15" s="29">
        <v>1</v>
      </c>
      <c r="I15" s="35">
        <f>C15-D15-D16*1/2-E15-E16*1/2+F15-H15-H16*1/2-I16*1/2</f>
        <v>15.5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19</v>
      </c>
      <c r="D17" s="29"/>
      <c r="E17" s="30"/>
      <c r="F17" s="34"/>
      <c r="G17" s="118"/>
      <c r="H17" s="29">
        <v>5</v>
      </c>
      <c r="I17" s="37">
        <f>C17-D17-D18*1/2-E17-E18*1/2+F17-H17-H18*1/2-I18*1/2</f>
        <v>13.5</v>
      </c>
    </row>
    <row r="18" spans="1:9" ht="17.25" customHeight="1" x14ac:dyDescent="0.3">
      <c r="A18" s="352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>
        <v>1</v>
      </c>
      <c r="I19" s="35">
        <f>C19-D19-D20*1/2-E19-E20*1/2+F19-H19-H20*1/2-I20*1/2</f>
        <v>10.5</v>
      </c>
    </row>
    <row r="20" spans="1:9" ht="17.25" customHeight="1" x14ac:dyDescent="0.3">
      <c r="A20" s="352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52"/>
      <c r="B21" s="39" t="s">
        <v>31</v>
      </c>
      <c r="C21" s="40">
        <v>74</v>
      </c>
      <c r="D21" s="41"/>
      <c r="E21" s="42">
        <v>2</v>
      </c>
      <c r="F21" s="43"/>
      <c r="G21" s="44"/>
      <c r="H21" s="43"/>
      <c r="I21" s="45">
        <f t="shared" ref="I21:I48" si="0">C21-D21-E21+F21-H21</f>
        <v>72</v>
      </c>
    </row>
    <row r="22" spans="1:9" ht="17.25" customHeight="1" x14ac:dyDescent="0.3">
      <c r="A22" s="352"/>
      <c r="B22" s="21" t="s">
        <v>32</v>
      </c>
      <c r="C22" s="46">
        <v>43</v>
      </c>
      <c r="D22" s="23"/>
      <c r="E22" s="47">
        <v>2</v>
      </c>
      <c r="F22" s="48"/>
      <c r="G22" s="25"/>
      <c r="H22" s="48">
        <v>3</v>
      </c>
      <c r="I22" s="49">
        <f t="shared" si="0"/>
        <v>38</v>
      </c>
    </row>
    <row r="23" spans="1:9" ht="17.25" customHeight="1" x14ac:dyDescent="0.3">
      <c r="A23" s="352"/>
      <c r="B23" s="27" t="s">
        <v>33</v>
      </c>
      <c r="C23" s="33">
        <v>132</v>
      </c>
      <c r="D23" s="29"/>
      <c r="E23" s="50">
        <v>2</v>
      </c>
      <c r="F23" s="51"/>
      <c r="G23" s="25"/>
      <c r="H23" s="51">
        <v>6</v>
      </c>
      <c r="I23" s="52">
        <f>C23-D23-D24-E23-E24+F23+F24-H23-H24-I24</f>
        <v>114</v>
      </c>
    </row>
    <row r="24" spans="1:9" ht="17.25" customHeight="1" x14ac:dyDescent="0.3">
      <c r="A24" s="352"/>
      <c r="B24" s="160" t="s">
        <v>34</v>
      </c>
      <c r="C24" s="53"/>
      <c r="D24" s="41"/>
      <c r="E24" s="42">
        <v>1</v>
      </c>
      <c r="F24" s="43"/>
      <c r="G24" s="113"/>
      <c r="H24" s="43">
        <v>9</v>
      </c>
      <c r="I24" s="54"/>
    </row>
    <row r="25" spans="1:9" ht="17.25" customHeight="1" x14ac:dyDescent="0.3">
      <c r="A25" s="352"/>
      <c r="B25" s="21" t="s">
        <v>35</v>
      </c>
      <c r="C25" s="46">
        <v>39</v>
      </c>
      <c r="D25" s="23">
        <v>2</v>
      </c>
      <c r="E25" s="47">
        <v>2</v>
      </c>
      <c r="F25" s="48"/>
      <c r="G25" s="112"/>
      <c r="H25" s="48">
        <v>2</v>
      </c>
      <c r="I25" s="49">
        <f t="shared" si="0"/>
        <v>33</v>
      </c>
    </row>
    <row r="26" spans="1:9" ht="17.25" customHeight="1" x14ac:dyDescent="0.3">
      <c r="A26" s="352"/>
      <c r="B26" s="160" t="s">
        <v>36</v>
      </c>
      <c r="C26" s="55">
        <v>33</v>
      </c>
      <c r="D26" s="41"/>
      <c r="E26" s="42"/>
      <c r="F26" s="43"/>
      <c r="G26" s="113"/>
      <c r="H26" s="43">
        <v>1</v>
      </c>
      <c r="I26" s="45">
        <f t="shared" si="0"/>
        <v>32</v>
      </c>
    </row>
    <row r="27" spans="1:9" ht="17.25" customHeight="1" x14ac:dyDescent="0.3">
      <c r="A27" s="352"/>
      <c r="B27" s="21" t="s">
        <v>37</v>
      </c>
      <c r="C27" s="46">
        <v>22</v>
      </c>
      <c r="D27" s="23"/>
      <c r="E27" s="47"/>
      <c r="F27" s="48"/>
      <c r="G27" s="112"/>
      <c r="H27" s="48">
        <v>6</v>
      </c>
      <c r="I27" s="49">
        <f t="shared" si="0"/>
        <v>16</v>
      </c>
    </row>
    <row r="28" spans="1:9" ht="17.25" customHeight="1" x14ac:dyDescent="0.3">
      <c r="A28" s="352"/>
      <c r="B28" s="160" t="s">
        <v>38</v>
      </c>
      <c r="C28" s="55">
        <v>27</v>
      </c>
      <c r="D28" s="41">
        <v>2</v>
      </c>
      <c r="E28" s="42">
        <v>2</v>
      </c>
      <c r="F28" s="43"/>
      <c r="G28" s="113"/>
      <c r="H28" s="43">
        <v>9</v>
      </c>
      <c r="I28" s="45">
        <f t="shared" si="0"/>
        <v>14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110</v>
      </c>
      <c r="D30" s="29">
        <v>5</v>
      </c>
      <c r="E30" s="50">
        <v>1</v>
      </c>
      <c r="F30" s="51"/>
      <c r="G30" s="25"/>
      <c r="H30" s="51"/>
      <c r="I30" s="52">
        <f>C30-D30-D31-E30-E31+F30+F31-H30-H31-I31</f>
        <v>104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>
        <v>1</v>
      </c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52"/>
      <c r="B35" s="191" t="s">
        <v>79</v>
      </c>
      <c r="C35" s="281"/>
      <c r="D35" s="23"/>
      <c r="E35" s="47">
        <v>3</v>
      </c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15</v>
      </c>
      <c r="D36" s="122">
        <v>2</v>
      </c>
      <c r="E36" s="123">
        <v>2</v>
      </c>
      <c r="F36" s="124"/>
      <c r="G36" s="112"/>
      <c r="H36" s="124"/>
      <c r="I36" s="52">
        <f>C36-D36-E36+F36-H36</f>
        <v>11</v>
      </c>
    </row>
    <row r="37" spans="1:9" ht="17.25" customHeight="1" x14ac:dyDescent="0.3">
      <c r="A37" s="352"/>
      <c r="B37" s="163" t="s">
        <v>106</v>
      </c>
      <c r="C37" s="117">
        <v>9</v>
      </c>
      <c r="D37" s="29"/>
      <c r="E37" s="50">
        <v>1</v>
      </c>
      <c r="F37" s="51"/>
      <c r="G37" s="25"/>
      <c r="H37" s="51"/>
      <c r="I37" s="196">
        <f>C37-D37-D38*1/2-E37-E38*1/2+F37-H37-H38*1/2-I38*1/2</f>
        <v>8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/>
      <c r="D46" s="23"/>
      <c r="E46" s="47"/>
      <c r="F46" s="48"/>
      <c r="G46" s="116"/>
      <c r="H46" s="48"/>
      <c r="I46" s="49">
        <f t="shared" si="0"/>
        <v>0</v>
      </c>
    </row>
    <row r="47" spans="1:9" ht="17.25" customHeight="1" x14ac:dyDescent="0.3">
      <c r="A47" s="352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53"/>
      <c r="B51" s="64" t="s">
        <v>42</v>
      </c>
      <c r="C51" s="65">
        <f>SUM(C13:C50)</f>
        <v>575</v>
      </c>
      <c r="D51" s="66">
        <f>SUM(D13:D46)</f>
        <v>11</v>
      </c>
      <c r="E51" s="67">
        <f>SUM(E13:E46)</f>
        <v>20</v>
      </c>
      <c r="F51" s="67">
        <f>SUM(F13:F46)</f>
        <v>0</v>
      </c>
      <c r="G51" s="68" t="s">
        <v>22</v>
      </c>
      <c r="H51" s="69">
        <f>SUM(H13:H46)</f>
        <v>48</v>
      </c>
      <c r="I51" s="70">
        <f>SUM(I13:I46)</f>
        <v>501.5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3</v>
      </c>
      <c r="F53" s="341">
        <v>4</v>
      </c>
      <c r="G53" s="341">
        <v>6</v>
      </c>
      <c r="H53" s="341"/>
      <c r="I53" s="343">
        <v>2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65100</v>
      </c>
      <c r="F55" s="349">
        <v>97600</v>
      </c>
      <c r="G55" s="349">
        <v>90300</v>
      </c>
      <c r="H55" s="341"/>
      <c r="I55" s="335">
        <v>363200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808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809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810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811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796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806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/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800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 t="s">
        <v>797</v>
      </c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798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/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799</v>
      </c>
      <c r="D76" s="159"/>
      <c r="E76" s="159"/>
      <c r="F76" s="159" t="s">
        <v>805</v>
      </c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801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802</v>
      </c>
      <c r="E79" s="94">
        <v>0.8125</v>
      </c>
      <c r="F79" s="93" t="s">
        <v>803</v>
      </c>
      <c r="G79" s="315" t="s">
        <v>804</v>
      </c>
      <c r="H79" s="316"/>
      <c r="I79" s="95" t="s">
        <v>804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abSelected="1" zoomScale="90" zoomScaleNormal="90" workbookViewId="0">
      <selection activeCell="I34" sqref="I3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</row>
    <row r="2" spans="1:9" x14ac:dyDescent="0.3">
      <c r="A2" s="369" t="s">
        <v>1</v>
      </c>
      <c r="B2" s="370"/>
      <c r="C2" s="371" t="s">
        <v>812</v>
      </c>
      <c r="D2" s="372"/>
      <c r="E2" s="365" t="s">
        <v>77</v>
      </c>
      <c r="F2" s="374" t="s">
        <v>2</v>
      </c>
      <c r="G2" s="375"/>
      <c r="H2" s="376" t="s">
        <v>76</v>
      </c>
      <c r="I2" s="377"/>
    </row>
    <row r="3" spans="1:9" x14ac:dyDescent="0.3">
      <c r="A3" s="378" t="s">
        <v>3</v>
      </c>
      <c r="B3" s="379"/>
      <c r="C3" s="4" t="s">
        <v>813</v>
      </c>
      <c r="D3" s="5" t="s">
        <v>4</v>
      </c>
      <c r="E3" s="373"/>
      <c r="F3" s="380" t="s">
        <v>814</v>
      </c>
      <c r="G3" s="381"/>
      <c r="H3" s="382">
        <f>G11+'30일'!H3:I3</f>
        <v>82136280</v>
      </c>
      <c r="I3" s="383"/>
    </row>
    <row r="4" spans="1:9" ht="7.5" customHeight="1" x14ac:dyDescent="0.3">
      <c r="A4" s="359"/>
      <c r="B4" s="360"/>
      <c r="C4" s="360"/>
      <c r="D4" s="360"/>
      <c r="E4" s="360"/>
      <c r="F4" s="360"/>
      <c r="G4" s="360"/>
      <c r="H4" s="360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817</v>
      </c>
      <c r="F6" s="15" t="s">
        <v>816</v>
      </c>
      <c r="G6" s="16" t="s">
        <v>815</v>
      </c>
      <c r="H6" s="17">
        <v>0.5</v>
      </c>
      <c r="I6" s="18">
        <v>0.33</v>
      </c>
    </row>
    <row r="7" spans="1:9" ht="7.5" customHeight="1" x14ac:dyDescent="0.3">
      <c r="A7" s="359"/>
      <c r="B7" s="360"/>
      <c r="C7" s="360"/>
      <c r="D7" s="360"/>
      <c r="E7" s="360"/>
      <c r="F7" s="360"/>
      <c r="G7" s="360"/>
      <c r="H7" s="360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07" t="s">
        <v>10</v>
      </c>
      <c r="B9" s="361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</row>
    <row r="10" spans="1:9" ht="18" customHeight="1" x14ac:dyDescent="0.3">
      <c r="A10" s="308"/>
      <c r="B10" s="362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</row>
    <row r="11" spans="1:9" ht="17.25" thickBot="1" x14ac:dyDescent="0.35">
      <c r="A11" s="309"/>
      <c r="B11" s="363"/>
      <c r="C11" s="101">
        <v>2668000</v>
      </c>
      <c r="D11" s="102">
        <v>200</v>
      </c>
      <c r="E11" s="109">
        <f>SUM(E55:I56)</f>
        <v>356490</v>
      </c>
      <c r="F11" s="109">
        <f>SUM(E53:I54)</f>
        <v>13</v>
      </c>
      <c r="G11" s="110">
        <f>C11+E11</f>
        <v>3024490</v>
      </c>
      <c r="H11" s="110">
        <f>D11+F11</f>
        <v>213</v>
      </c>
      <c r="I11" s="111">
        <f>G11/H11</f>
        <v>14199.483568075117</v>
      </c>
    </row>
    <row r="12" spans="1:9" ht="30" customHeight="1" x14ac:dyDescent="0.3">
      <c r="A12" s="351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54" t="s">
        <v>19</v>
      </c>
      <c r="G12" s="355"/>
      <c r="H12" s="158" t="s">
        <v>20</v>
      </c>
      <c r="I12" s="100" t="s">
        <v>21</v>
      </c>
    </row>
    <row r="13" spans="1:9" ht="17.25" customHeight="1" x14ac:dyDescent="0.3">
      <c r="A13" s="352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52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52"/>
      <c r="B15" s="27" t="s">
        <v>25</v>
      </c>
      <c r="C15" s="33">
        <v>20</v>
      </c>
      <c r="D15" s="29"/>
      <c r="E15" s="30"/>
      <c r="F15" s="34"/>
      <c r="G15" s="25"/>
      <c r="H15" s="29"/>
      <c r="I15" s="35">
        <f>C15-D15-D16*1/2-E15-E16*1/2+F15-H15-H16*1/2-I16*1/2</f>
        <v>19.5</v>
      </c>
    </row>
    <row r="16" spans="1:9" ht="17.25" customHeight="1" x14ac:dyDescent="0.3">
      <c r="A16" s="352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52"/>
      <c r="B17" s="27" t="s">
        <v>27</v>
      </c>
      <c r="C17" s="33">
        <v>19</v>
      </c>
      <c r="D17" s="29"/>
      <c r="E17" s="30">
        <v>1</v>
      </c>
      <c r="F17" s="34"/>
      <c r="G17" s="118"/>
      <c r="H17" s="29"/>
      <c r="I17" s="37">
        <f>C17-D17-D18*1/2-E17-E18*1/2+F17-H17-H18*1/2-I18*1/2</f>
        <v>18</v>
      </c>
    </row>
    <row r="18" spans="1:9" ht="17.25" customHeight="1" x14ac:dyDescent="0.3">
      <c r="A18" s="352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52"/>
      <c r="B19" s="27" t="s">
        <v>29</v>
      </c>
      <c r="C19" s="33">
        <v>12</v>
      </c>
      <c r="D19" s="29"/>
      <c r="E19" s="30"/>
      <c r="F19" s="34"/>
      <c r="G19" s="25"/>
      <c r="H19" s="29">
        <v>2</v>
      </c>
      <c r="I19" s="35">
        <f>C19-D19-D20*1/2-E19-E20*1/2+F19-H19-H20*1/2-I20*1/2</f>
        <v>9.5</v>
      </c>
    </row>
    <row r="20" spans="1:9" ht="17.25" customHeight="1" x14ac:dyDescent="0.3">
      <c r="A20" s="352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52"/>
      <c r="B21" s="39" t="s">
        <v>31</v>
      </c>
      <c r="C21" s="40">
        <v>99</v>
      </c>
      <c r="D21" s="41"/>
      <c r="E21" s="42">
        <v>3</v>
      </c>
      <c r="F21" s="43"/>
      <c r="G21" s="44"/>
      <c r="H21" s="43"/>
      <c r="I21" s="45">
        <f t="shared" ref="I21:I48" si="0">C21-D21-E21+F21-H21</f>
        <v>96</v>
      </c>
    </row>
    <row r="22" spans="1:9" ht="17.25" customHeight="1" x14ac:dyDescent="0.3">
      <c r="A22" s="352"/>
      <c r="B22" s="21" t="s">
        <v>32</v>
      </c>
      <c r="C22" s="46">
        <v>26</v>
      </c>
      <c r="D22" s="23"/>
      <c r="E22" s="47">
        <v>2</v>
      </c>
      <c r="F22" s="48"/>
      <c r="G22" s="25"/>
      <c r="H22" s="48"/>
      <c r="I22" s="49">
        <f t="shared" si="0"/>
        <v>24</v>
      </c>
    </row>
    <row r="23" spans="1:9" ht="17.25" customHeight="1" x14ac:dyDescent="0.3">
      <c r="A23" s="352"/>
      <c r="B23" s="27" t="s">
        <v>33</v>
      </c>
      <c r="C23" s="33">
        <v>150</v>
      </c>
      <c r="D23" s="29"/>
      <c r="E23" s="50">
        <v>2</v>
      </c>
      <c r="F23" s="51"/>
      <c r="G23" s="25"/>
      <c r="H23" s="51">
        <v>21</v>
      </c>
      <c r="I23" s="52">
        <f>C23-D23-D24-E23-E24+F23+F24-H23-H24-I24</f>
        <v>125</v>
      </c>
    </row>
    <row r="24" spans="1:9" ht="17.25" customHeight="1" x14ac:dyDescent="0.3">
      <c r="A24" s="352"/>
      <c r="B24" s="160" t="s">
        <v>34</v>
      </c>
      <c r="C24" s="53"/>
      <c r="D24" s="41">
        <v>1</v>
      </c>
      <c r="E24" s="42">
        <v>1</v>
      </c>
      <c r="F24" s="43"/>
      <c r="G24" s="113"/>
      <c r="H24" s="43"/>
      <c r="I24" s="54"/>
    </row>
    <row r="25" spans="1:9" ht="17.25" customHeight="1" x14ac:dyDescent="0.3">
      <c r="A25" s="352"/>
      <c r="B25" s="21" t="s">
        <v>35</v>
      </c>
      <c r="C25" s="46">
        <v>39</v>
      </c>
      <c r="D25" s="23"/>
      <c r="E25" s="47">
        <v>2</v>
      </c>
      <c r="F25" s="48"/>
      <c r="G25" s="112"/>
      <c r="H25" s="48">
        <v>7</v>
      </c>
      <c r="I25" s="49">
        <f t="shared" si="0"/>
        <v>30</v>
      </c>
    </row>
    <row r="26" spans="1:9" ht="17.25" customHeight="1" x14ac:dyDescent="0.3">
      <c r="A26" s="352"/>
      <c r="B26" s="160" t="s">
        <v>36</v>
      </c>
      <c r="C26" s="55">
        <v>33</v>
      </c>
      <c r="D26" s="41"/>
      <c r="E26" s="42"/>
      <c r="F26" s="43"/>
      <c r="G26" s="113"/>
      <c r="H26" s="43"/>
      <c r="I26" s="45">
        <f t="shared" si="0"/>
        <v>33</v>
      </c>
    </row>
    <row r="27" spans="1:9" ht="17.25" customHeight="1" x14ac:dyDescent="0.3">
      <c r="A27" s="352"/>
      <c r="B27" s="21" t="s">
        <v>37</v>
      </c>
      <c r="C27" s="46">
        <v>28</v>
      </c>
      <c r="D27" s="23"/>
      <c r="E27" s="47"/>
      <c r="F27" s="48"/>
      <c r="G27" s="112"/>
      <c r="H27" s="48"/>
      <c r="I27" s="49">
        <f t="shared" si="0"/>
        <v>28</v>
      </c>
    </row>
    <row r="28" spans="1:9" ht="17.25" customHeight="1" x14ac:dyDescent="0.3">
      <c r="A28" s="352"/>
      <c r="B28" s="160" t="s">
        <v>38</v>
      </c>
      <c r="C28" s="55">
        <v>42</v>
      </c>
      <c r="D28" s="41"/>
      <c r="E28" s="42"/>
      <c r="F28" s="43"/>
      <c r="G28" s="113"/>
      <c r="H28" s="43"/>
      <c r="I28" s="45">
        <f t="shared" si="0"/>
        <v>42</v>
      </c>
    </row>
    <row r="29" spans="1:9" ht="17.25" customHeight="1" x14ac:dyDescent="0.3">
      <c r="A29" s="352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52"/>
      <c r="B30" s="56" t="s">
        <v>40</v>
      </c>
      <c r="C30" s="57">
        <v>110</v>
      </c>
      <c r="D30" s="29"/>
      <c r="E30" s="50">
        <v>4</v>
      </c>
      <c r="F30" s="51"/>
      <c r="G30" s="25"/>
      <c r="H30" s="51">
        <v>16</v>
      </c>
      <c r="I30" s="52">
        <f>C30-D30-D31-E30-E31+F30+F31-H30-H31-I31</f>
        <v>90</v>
      </c>
    </row>
    <row r="31" spans="1:9" ht="17.25" customHeight="1" x14ac:dyDescent="0.3">
      <c r="A31" s="352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52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52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52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52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52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52"/>
      <c r="B37" s="163" t="s">
        <v>106</v>
      </c>
      <c r="C37" s="117">
        <v>10</v>
      </c>
      <c r="D37" s="29"/>
      <c r="E37" s="50">
        <v>1</v>
      </c>
      <c r="F37" s="51"/>
      <c r="G37" s="25"/>
      <c r="H37" s="51">
        <v>1</v>
      </c>
      <c r="I37" s="196">
        <f>C37-D37-D38*1/2-E37-E38*1/2+F37-H37-H38*1/2-I38*1/2</f>
        <v>7.5</v>
      </c>
    </row>
    <row r="38" spans="1:9" ht="17.25" customHeight="1" x14ac:dyDescent="0.3">
      <c r="A38" s="352"/>
      <c r="B38" s="178" t="s">
        <v>130</v>
      </c>
      <c r="C38" s="185"/>
      <c r="D38" s="29"/>
      <c r="E38" s="50"/>
      <c r="F38" s="51"/>
      <c r="G38" s="25"/>
      <c r="H38" s="51">
        <v>1</v>
      </c>
      <c r="I38" s="195"/>
    </row>
    <row r="39" spans="1:9" ht="17.25" customHeight="1" x14ac:dyDescent="0.3">
      <c r="A39" s="352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52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52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52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52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52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52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52"/>
      <c r="B46" s="120" t="s">
        <v>89</v>
      </c>
      <c r="C46" s="154">
        <v>29</v>
      </c>
      <c r="D46" s="23"/>
      <c r="E46" s="47"/>
      <c r="F46" s="48"/>
      <c r="G46" s="116"/>
      <c r="H46" s="48"/>
      <c r="I46" s="49">
        <f t="shared" si="0"/>
        <v>29</v>
      </c>
    </row>
    <row r="47" spans="1:9" ht="17.25" customHeight="1" x14ac:dyDescent="0.3">
      <c r="A47" s="352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52"/>
      <c r="B48" s="56" t="s">
        <v>122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52"/>
      <c r="B49" s="179" t="s">
        <v>126</v>
      </c>
      <c r="C49" s="192"/>
      <c r="D49" s="180"/>
      <c r="E49" s="181"/>
      <c r="F49" s="182"/>
      <c r="G49" s="183"/>
      <c r="H49" s="182"/>
      <c r="I49" s="195">
        <v>1</v>
      </c>
    </row>
    <row r="50" spans="1:10" ht="17.25" customHeight="1" x14ac:dyDescent="0.3">
      <c r="A50" s="352"/>
      <c r="B50" s="58" t="s">
        <v>128</v>
      </c>
      <c r="C50" s="59"/>
      <c r="D50" s="60"/>
      <c r="E50" s="61"/>
      <c r="F50" s="62"/>
      <c r="G50" s="113"/>
      <c r="H50" s="62"/>
      <c r="I50" s="63">
        <v>1</v>
      </c>
    </row>
    <row r="51" spans="1:10" ht="17.25" customHeight="1" thickBot="1" x14ac:dyDescent="0.35">
      <c r="A51" s="353"/>
      <c r="B51" s="64" t="s">
        <v>42</v>
      </c>
      <c r="C51" s="65">
        <f>SUM(C13:C50)</f>
        <v>670</v>
      </c>
      <c r="D51" s="66">
        <f>SUM(D13:D46)</f>
        <v>1</v>
      </c>
      <c r="E51" s="67">
        <f>SUM(E13:E46)</f>
        <v>20</v>
      </c>
      <c r="F51" s="67">
        <f>SUM(F13:F46)</f>
        <v>0</v>
      </c>
      <c r="G51" s="68" t="s">
        <v>22</v>
      </c>
      <c r="H51" s="69">
        <f>SUM(H13:H46)</f>
        <v>48</v>
      </c>
      <c r="I51" s="70">
        <f>SUM(I13:I46)</f>
        <v>597</v>
      </c>
    </row>
    <row r="52" spans="1:10" ht="17.25" customHeight="1" x14ac:dyDescent="0.3">
      <c r="A52" s="301" t="s">
        <v>72</v>
      </c>
      <c r="B52" s="302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03"/>
      <c r="B53" s="304"/>
      <c r="C53" s="345" t="s">
        <v>74</v>
      </c>
      <c r="D53" s="347"/>
      <c r="E53" s="341">
        <v>4</v>
      </c>
      <c r="F53" s="341"/>
      <c r="G53" s="341">
        <v>8</v>
      </c>
      <c r="H53" s="341"/>
      <c r="I53" s="343">
        <v>1</v>
      </c>
      <c r="J53" s="174"/>
    </row>
    <row r="54" spans="1:10" s="76" customFormat="1" ht="17.25" customHeight="1" x14ac:dyDescent="0.3">
      <c r="A54" s="303"/>
      <c r="B54" s="304"/>
      <c r="C54" s="356"/>
      <c r="D54" s="357"/>
      <c r="E54" s="358"/>
      <c r="F54" s="358"/>
      <c r="G54" s="358"/>
      <c r="H54" s="342"/>
      <c r="I54" s="344"/>
    </row>
    <row r="55" spans="1:10" s="76" customFormat="1" ht="17.25" customHeight="1" x14ac:dyDescent="0.3">
      <c r="A55" s="303"/>
      <c r="B55" s="304"/>
      <c r="C55" s="345" t="s">
        <v>75</v>
      </c>
      <c r="D55" s="347"/>
      <c r="E55" s="349">
        <v>87000</v>
      </c>
      <c r="F55" s="349"/>
      <c r="G55" s="349">
        <v>118290</v>
      </c>
      <c r="H55" s="341"/>
      <c r="I55" s="335">
        <v>151200</v>
      </c>
    </row>
    <row r="56" spans="1:10" s="76" customFormat="1" ht="17.25" customHeight="1" thickBot="1" x14ac:dyDescent="0.35">
      <c r="A56" s="305"/>
      <c r="B56" s="306"/>
      <c r="C56" s="346"/>
      <c r="D56" s="348"/>
      <c r="E56" s="350"/>
      <c r="F56" s="350"/>
      <c r="G56" s="350"/>
      <c r="H56" s="350"/>
      <c r="I56" s="336"/>
    </row>
    <row r="57" spans="1:10" s="76" customFormat="1" ht="17.25" customHeight="1" x14ac:dyDescent="0.3">
      <c r="A57" s="301" t="s">
        <v>45</v>
      </c>
      <c r="B57" s="302"/>
      <c r="C57" s="337" t="s">
        <v>833</v>
      </c>
      <c r="D57" s="326"/>
      <c r="E57" s="326"/>
      <c r="F57" s="326"/>
      <c r="G57" s="326"/>
      <c r="H57" s="326"/>
      <c r="I57" s="327"/>
    </row>
    <row r="58" spans="1:10" s="76" customFormat="1" ht="17.25" customHeight="1" x14ac:dyDescent="0.3">
      <c r="A58" s="303"/>
      <c r="B58" s="304"/>
      <c r="C58" s="321" t="s">
        <v>829</v>
      </c>
      <c r="D58" s="321"/>
      <c r="E58" s="321"/>
      <c r="F58" s="321"/>
      <c r="G58" s="321"/>
      <c r="H58" s="321"/>
      <c r="I58" s="322"/>
    </row>
    <row r="59" spans="1:10" s="76" customFormat="1" ht="17.25" customHeight="1" x14ac:dyDescent="0.3">
      <c r="A59" s="303"/>
      <c r="B59" s="304"/>
      <c r="C59" s="320" t="s">
        <v>830</v>
      </c>
      <c r="D59" s="321"/>
      <c r="E59" s="321"/>
      <c r="F59" s="321"/>
      <c r="G59" s="321"/>
      <c r="H59" s="321"/>
      <c r="I59" s="322"/>
    </row>
    <row r="60" spans="1:10" s="76" customFormat="1" ht="17.25" customHeight="1" thickBot="1" x14ac:dyDescent="0.35">
      <c r="A60" s="305"/>
      <c r="B60" s="306"/>
      <c r="C60" s="324" t="s">
        <v>831</v>
      </c>
      <c r="D60" s="324"/>
      <c r="E60" s="324"/>
      <c r="F60" s="324"/>
      <c r="G60" s="324"/>
      <c r="H60" s="324"/>
      <c r="I60" s="325"/>
    </row>
    <row r="61" spans="1:10" s="76" customFormat="1" ht="17.25" customHeight="1" x14ac:dyDescent="0.3">
      <c r="A61" s="301" t="s">
        <v>73</v>
      </c>
      <c r="B61" s="302"/>
      <c r="C61" s="317" t="s">
        <v>818</v>
      </c>
      <c r="D61" s="318"/>
      <c r="E61" s="318"/>
      <c r="F61" s="318"/>
      <c r="G61" s="318"/>
      <c r="H61" s="318"/>
      <c r="I61" s="319"/>
    </row>
    <row r="62" spans="1:10" s="76" customFormat="1" ht="17.25" customHeight="1" x14ac:dyDescent="0.3">
      <c r="A62" s="303"/>
      <c r="B62" s="304"/>
      <c r="C62" s="338" t="s">
        <v>827</v>
      </c>
      <c r="D62" s="339"/>
      <c r="E62" s="339"/>
      <c r="F62" s="339"/>
      <c r="G62" s="339"/>
      <c r="H62" s="339"/>
      <c r="I62" s="340"/>
    </row>
    <row r="63" spans="1:10" s="76" customFormat="1" ht="17.25" customHeight="1" x14ac:dyDescent="0.3">
      <c r="A63" s="303"/>
      <c r="B63" s="304"/>
      <c r="C63" s="338" t="s">
        <v>832</v>
      </c>
      <c r="D63" s="339"/>
      <c r="E63" s="339"/>
      <c r="F63" s="339"/>
      <c r="G63" s="339"/>
      <c r="H63" s="339"/>
      <c r="I63" s="340"/>
    </row>
    <row r="64" spans="1:10" s="76" customFormat="1" ht="17.25" customHeight="1" thickBot="1" x14ac:dyDescent="0.35">
      <c r="A64" s="305"/>
      <c r="B64" s="306"/>
      <c r="C64" s="324"/>
      <c r="D64" s="324"/>
      <c r="E64" s="324"/>
      <c r="F64" s="324"/>
      <c r="G64" s="324"/>
      <c r="H64" s="324"/>
      <c r="I64" s="325"/>
    </row>
    <row r="65" spans="1:9" s="76" customFormat="1" ht="17.25" customHeight="1" x14ac:dyDescent="0.3">
      <c r="A65" s="328" t="s">
        <v>46</v>
      </c>
      <c r="B65" s="331" t="s">
        <v>47</v>
      </c>
      <c r="C65" s="318"/>
      <c r="D65" s="318"/>
      <c r="E65" s="318"/>
      <c r="F65" s="318"/>
      <c r="G65" s="318"/>
      <c r="H65" s="318"/>
      <c r="I65" s="319"/>
    </row>
    <row r="66" spans="1:9" s="76" customFormat="1" ht="17.25" customHeight="1" x14ac:dyDescent="0.3">
      <c r="A66" s="329"/>
      <c r="B66" s="332"/>
      <c r="C66" s="326"/>
      <c r="D66" s="326"/>
      <c r="E66" s="326"/>
      <c r="F66" s="326"/>
      <c r="G66" s="326"/>
      <c r="H66" s="326"/>
      <c r="I66" s="327"/>
    </row>
    <row r="67" spans="1:9" s="76" customFormat="1" ht="17.25" customHeight="1" x14ac:dyDescent="0.3">
      <c r="A67" s="329"/>
      <c r="B67" s="333" t="s">
        <v>48</v>
      </c>
      <c r="C67" s="321"/>
      <c r="D67" s="321"/>
      <c r="E67" s="321"/>
      <c r="F67" s="321"/>
      <c r="G67" s="321"/>
      <c r="H67" s="321"/>
      <c r="I67" s="322"/>
    </row>
    <row r="68" spans="1:9" s="76" customFormat="1" ht="17.25" customHeight="1" x14ac:dyDescent="0.3">
      <c r="A68" s="329"/>
      <c r="B68" s="332"/>
      <c r="C68" s="326"/>
      <c r="D68" s="326"/>
      <c r="E68" s="326"/>
      <c r="F68" s="326"/>
      <c r="G68" s="326"/>
      <c r="H68" s="326"/>
      <c r="I68" s="327"/>
    </row>
    <row r="69" spans="1:9" s="76" customFormat="1" ht="17.25" customHeight="1" thickBot="1" x14ac:dyDescent="0.35">
      <c r="A69" s="330"/>
      <c r="B69" s="334"/>
      <c r="C69" s="323"/>
      <c r="D69" s="324"/>
      <c r="E69" s="324"/>
      <c r="F69" s="324"/>
      <c r="G69" s="324"/>
      <c r="H69" s="324"/>
      <c r="I69" s="325"/>
    </row>
    <row r="70" spans="1:9" s="76" customFormat="1" ht="17.25" customHeight="1" x14ac:dyDescent="0.3">
      <c r="A70" s="301" t="s">
        <v>49</v>
      </c>
      <c r="B70" s="302"/>
      <c r="C70" s="326" t="s">
        <v>828</v>
      </c>
      <c r="D70" s="326"/>
      <c r="E70" s="326"/>
      <c r="F70" s="326"/>
      <c r="G70" s="326"/>
      <c r="H70" s="326"/>
      <c r="I70" s="327"/>
    </row>
    <row r="71" spans="1:9" s="76" customFormat="1" ht="17.25" customHeight="1" x14ac:dyDescent="0.3">
      <c r="A71" s="303"/>
      <c r="B71" s="304"/>
      <c r="C71" s="326"/>
      <c r="D71" s="326"/>
      <c r="E71" s="326"/>
      <c r="F71" s="326"/>
      <c r="G71" s="326"/>
      <c r="H71" s="326"/>
      <c r="I71" s="327"/>
    </row>
    <row r="72" spans="1:9" s="76" customFormat="1" ht="17.25" customHeight="1" thickBot="1" x14ac:dyDescent="0.35">
      <c r="A72" s="305"/>
      <c r="B72" s="306"/>
      <c r="C72" s="323"/>
      <c r="D72" s="324"/>
      <c r="E72" s="324"/>
      <c r="F72" s="324"/>
      <c r="G72" s="324"/>
      <c r="H72" s="324"/>
      <c r="I72" s="325"/>
    </row>
    <row r="73" spans="1:9" s="76" customFormat="1" ht="17.25" customHeight="1" x14ac:dyDescent="0.3">
      <c r="A73" s="301" t="s">
        <v>50</v>
      </c>
      <c r="B73" s="302"/>
      <c r="C73" s="317" t="s">
        <v>819</v>
      </c>
      <c r="D73" s="318"/>
      <c r="E73" s="318"/>
      <c r="F73" s="318"/>
      <c r="G73" s="318"/>
      <c r="H73" s="318"/>
      <c r="I73" s="319"/>
    </row>
    <row r="74" spans="1:9" s="76" customFormat="1" ht="17.25" customHeight="1" thickBot="1" x14ac:dyDescent="0.35">
      <c r="A74" s="305"/>
      <c r="B74" s="306"/>
      <c r="C74" s="320" t="s">
        <v>826</v>
      </c>
      <c r="D74" s="321"/>
      <c r="E74" s="321"/>
      <c r="F74" s="321"/>
      <c r="G74" s="321"/>
      <c r="H74" s="321"/>
      <c r="I74" s="322"/>
    </row>
    <row r="75" spans="1:9" s="76" customFormat="1" ht="17.25" customHeight="1" x14ac:dyDescent="0.3">
      <c r="A75" s="301" t="s">
        <v>51</v>
      </c>
      <c r="B75" s="302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820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821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297" t="s">
        <v>61</v>
      </c>
      <c r="B78" s="298"/>
      <c r="C78" s="310" t="s">
        <v>62</v>
      </c>
      <c r="D78" s="311"/>
      <c r="E78" s="312" t="s">
        <v>63</v>
      </c>
      <c r="F78" s="311"/>
      <c r="G78" s="313" t="s">
        <v>64</v>
      </c>
      <c r="H78" s="314"/>
      <c r="I78" s="90" t="s">
        <v>65</v>
      </c>
    </row>
    <row r="79" spans="1:9" s="76" customFormat="1" ht="17.25" customHeight="1" thickBot="1" x14ac:dyDescent="0.35">
      <c r="A79" s="299"/>
      <c r="B79" s="300"/>
      <c r="C79" s="92">
        <v>0.25</v>
      </c>
      <c r="D79" s="93" t="s">
        <v>822</v>
      </c>
      <c r="E79" s="94">
        <v>0.8125</v>
      </c>
      <c r="F79" s="93" t="s">
        <v>823</v>
      </c>
      <c r="G79" s="315" t="s">
        <v>824</v>
      </c>
      <c r="H79" s="316"/>
      <c r="I79" s="95" t="s">
        <v>825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294" t="s">
        <v>66</v>
      </c>
      <c r="I80" s="294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A12:A51"/>
    <mergeCell ref="A52:B56"/>
    <mergeCell ref="C53:C54"/>
    <mergeCell ref="D53:D54"/>
    <mergeCell ref="E53:E54"/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topLeftCell="A23" zoomScale="90" zoomScaleNormal="90" workbookViewId="0">
      <selection activeCell="I12" sqref="I12"/>
    </sheetView>
  </sheetViews>
  <sheetFormatPr defaultColWidth="9" defaultRowHeight="16.5" x14ac:dyDescent="0.3"/>
  <cols>
    <col min="1" max="1" width="7.875" style="2" customWidth="1"/>
    <col min="2" max="2" width="15.625" style="2" customWidth="1"/>
    <col min="3" max="9" width="13.375" style="2" customWidth="1"/>
    <col min="10" max="10" width="1.375" style="134" customWidth="1"/>
    <col min="11" max="11" width="18.125" style="134" customWidth="1"/>
    <col min="12" max="12" width="9.5" style="2" bestFit="1" customWidth="1"/>
    <col min="13" max="16384" width="9" style="2"/>
  </cols>
  <sheetData>
    <row r="1" spans="1:14" ht="39" thickBot="1" x14ac:dyDescent="0.35">
      <c r="A1" s="366" t="s">
        <v>0</v>
      </c>
      <c r="B1" s="367"/>
      <c r="C1" s="367"/>
      <c r="D1" s="367"/>
      <c r="E1" s="367"/>
      <c r="F1" s="367"/>
      <c r="G1" s="367"/>
      <c r="H1" s="367"/>
      <c r="I1" s="368"/>
      <c r="J1" s="132"/>
      <c r="K1" s="132"/>
    </row>
    <row r="2" spans="1:14" x14ac:dyDescent="0.3">
      <c r="A2" s="369" t="s">
        <v>1</v>
      </c>
      <c r="B2" s="370"/>
      <c r="C2" s="371" t="s">
        <v>81</v>
      </c>
      <c r="D2" s="372"/>
      <c r="E2" s="365" t="s">
        <v>77</v>
      </c>
      <c r="F2" s="374" t="s">
        <v>2</v>
      </c>
      <c r="G2" s="375"/>
      <c r="H2" s="376" t="s">
        <v>76</v>
      </c>
      <c r="I2" s="377"/>
      <c r="J2" s="133"/>
      <c r="K2" s="133"/>
    </row>
    <row r="3" spans="1:14" x14ac:dyDescent="0.3">
      <c r="A3" s="378" t="s">
        <v>3</v>
      </c>
      <c r="B3" s="379"/>
      <c r="C3" s="4"/>
      <c r="D3" s="5" t="s">
        <v>4</v>
      </c>
      <c r="E3" s="373"/>
      <c r="F3" s="380"/>
      <c r="G3" s="381"/>
      <c r="H3" s="382">
        <f>G11</f>
        <v>82136280</v>
      </c>
      <c r="I3" s="383"/>
      <c r="J3" s="133"/>
      <c r="K3" s="133"/>
    </row>
    <row r="4" spans="1:14" hidden="1" x14ac:dyDescent="0.3">
      <c r="A4" s="166"/>
      <c r="B4" s="167"/>
      <c r="C4" s="168"/>
      <c r="D4" s="119"/>
      <c r="E4" s="169"/>
      <c r="F4" s="161"/>
      <c r="G4" s="84"/>
      <c r="H4" s="170"/>
      <c r="I4" s="171"/>
      <c r="J4" s="133"/>
      <c r="K4" s="133"/>
    </row>
    <row r="5" spans="1:14" hidden="1" x14ac:dyDescent="0.3">
      <c r="A5" s="166"/>
      <c r="B5" s="167"/>
      <c r="C5" s="168"/>
      <c r="D5" s="119"/>
      <c r="E5" s="169"/>
      <c r="F5" s="161"/>
      <c r="G5" s="84"/>
      <c r="H5" s="170"/>
      <c r="I5" s="171"/>
      <c r="J5" s="133"/>
      <c r="K5" s="133"/>
    </row>
    <row r="6" spans="1:14" hidden="1" x14ac:dyDescent="0.3">
      <c r="A6" s="166"/>
      <c r="B6" s="167"/>
      <c r="C6" s="168"/>
      <c r="D6" s="119"/>
      <c r="E6" s="169"/>
      <c r="F6" s="161"/>
      <c r="G6" s="84"/>
      <c r="H6" s="170"/>
      <c r="I6" s="171"/>
      <c r="J6" s="133"/>
      <c r="K6" s="133"/>
    </row>
    <row r="7" spans="1:14" hidden="1" x14ac:dyDescent="0.3">
      <c r="A7" s="166"/>
      <c r="B7" s="167"/>
      <c r="C7" s="168"/>
      <c r="D7" s="119"/>
      <c r="E7" s="169"/>
      <c r="F7" s="161"/>
      <c r="G7" s="84"/>
      <c r="H7" s="170"/>
      <c r="I7" s="171"/>
      <c r="J7" s="133"/>
      <c r="K7" s="133"/>
    </row>
    <row r="8" spans="1:14" ht="18" customHeight="1" thickBot="1" x14ac:dyDescent="0.35">
      <c r="A8" s="114"/>
      <c r="B8" s="115"/>
      <c r="C8" s="115"/>
      <c r="D8" s="115"/>
      <c r="E8" s="115"/>
      <c r="F8" s="115"/>
      <c r="G8" s="115"/>
      <c r="H8" s="115"/>
      <c r="I8" s="6"/>
      <c r="J8" s="133"/>
      <c r="K8" s="133"/>
    </row>
    <row r="9" spans="1:14" ht="18" customHeight="1" x14ac:dyDescent="0.3">
      <c r="A9" s="307" t="s">
        <v>10</v>
      </c>
      <c r="B9" s="404" t="s">
        <v>11</v>
      </c>
      <c r="C9" s="364" t="s">
        <v>68</v>
      </c>
      <c r="D9" s="365"/>
      <c r="E9" s="365" t="s">
        <v>67</v>
      </c>
      <c r="F9" s="365"/>
      <c r="G9" s="365" t="s">
        <v>69</v>
      </c>
      <c r="H9" s="365"/>
      <c r="I9" s="295" t="s">
        <v>78</v>
      </c>
      <c r="J9" s="133"/>
      <c r="K9" s="133"/>
    </row>
    <row r="10" spans="1:14" ht="18" customHeight="1" x14ac:dyDescent="0.3">
      <c r="A10" s="308"/>
      <c r="B10" s="405"/>
      <c r="C10" s="138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296"/>
      <c r="J10" s="133"/>
      <c r="K10" s="133"/>
    </row>
    <row r="11" spans="1:14" ht="17.25" thickBot="1" x14ac:dyDescent="0.35">
      <c r="A11" s="309"/>
      <c r="B11" s="406"/>
      <c r="C11" s="125">
        <f>SUM('1일:31일'!C11)</f>
        <v>71931800</v>
      </c>
      <c r="D11" s="125">
        <f>SUM('1일:31일'!D11)</f>
        <v>5085</v>
      </c>
      <c r="E11" s="125">
        <f>SUM('1일:31일'!E11)</f>
        <v>10204480</v>
      </c>
      <c r="F11" s="125">
        <f>SUM('1일:31일'!F11)</f>
        <v>391</v>
      </c>
      <c r="G11" s="125">
        <f>SUM('1일:31일'!G11)</f>
        <v>82136280</v>
      </c>
      <c r="H11" s="125">
        <f>SUM('1일:31일'!H11)</f>
        <v>5476</v>
      </c>
      <c r="I11" s="125">
        <f>G11/H11</f>
        <v>14999.320672023374</v>
      </c>
      <c r="J11" s="133"/>
      <c r="K11" s="133"/>
    </row>
    <row r="12" spans="1:14" ht="30" customHeight="1" thickBot="1" x14ac:dyDescent="0.35">
      <c r="A12" s="409" t="s">
        <v>14</v>
      </c>
      <c r="B12" s="107" t="s">
        <v>15</v>
      </c>
      <c r="C12" s="142" t="s">
        <v>82</v>
      </c>
      <c r="D12" s="143" t="s">
        <v>83</v>
      </c>
      <c r="E12" s="144" t="s">
        <v>84</v>
      </c>
      <c r="F12" s="407" t="s">
        <v>85</v>
      </c>
      <c r="G12" s="408"/>
      <c r="H12" s="143" t="s">
        <v>86</v>
      </c>
      <c r="I12" s="145" t="s">
        <v>87</v>
      </c>
      <c r="J12" s="131"/>
      <c r="K12" s="140" t="s">
        <v>15</v>
      </c>
      <c r="L12" s="229" t="s">
        <v>92</v>
      </c>
      <c r="M12" s="230" t="s">
        <v>93</v>
      </c>
      <c r="N12" s="177" t="s">
        <v>102</v>
      </c>
    </row>
    <row r="13" spans="1:14" ht="16.5" customHeight="1" x14ac:dyDescent="0.3">
      <c r="A13" s="410"/>
      <c r="B13" s="126" t="s">
        <v>23</v>
      </c>
      <c r="C13" s="146">
        <f>SUM('1일:31일'!C13)</f>
        <v>898</v>
      </c>
      <c r="D13" s="146">
        <f>SUM('1일:31일'!D13)</f>
        <v>5</v>
      </c>
      <c r="E13" s="146">
        <f>SUM('1일:31일'!E13)</f>
        <v>10</v>
      </c>
      <c r="F13" s="146">
        <f>SUM('1일:31일'!F13)</f>
        <v>0</v>
      </c>
      <c r="G13" s="146"/>
      <c r="H13" s="146">
        <f>SUM('1일:31일'!H13)</f>
        <v>43</v>
      </c>
      <c r="I13" s="146">
        <f>SUM('1일:31일'!I13)</f>
        <v>833.5</v>
      </c>
      <c r="J13" s="135"/>
      <c r="K13" s="228" t="s">
        <v>23</v>
      </c>
      <c r="L13" s="232">
        <f>(I13+I14*0.5)/(C13+F13)</f>
        <v>0.92817371937639204</v>
      </c>
      <c r="M13" s="225">
        <f>1-L13</f>
        <v>7.1826280623607963E-2</v>
      </c>
      <c r="N13" s="233">
        <f>(H13+H14*0.5)/(C13+F13)</f>
        <v>4.7884187082405348E-2</v>
      </c>
    </row>
    <row r="14" spans="1:14" ht="16.5" customHeight="1" x14ac:dyDescent="0.3">
      <c r="A14" s="410"/>
      <c r="B14" s="27" t="s">
        <v>24</v>
      </c>
      <c r="C14" s="146">
        <f>SUM('1일:31일'!C14)</f>
        <v>0</v>
      </c>
      <c r="D14" s="146">
        <f>SUM('1일:31일'!D14)</f>
        <v>0</v>
      </c>
      <c r="E14" s="146">
        <f>SUM('1일:31일'!E14)</f>
        <v>13</v>
      </c>
      <c r="F14" s="146">
        <f>SUM('1일:31일'!F14)</f>
        <v>0</v>
      </c>
      <c r="G14" s="146"/>
      <c r="H14" s="146">
        <f>SUM('1일:31일'!H14)</f>
        <v>0</v>
      </c>
      <c r="I14" s="146">
        <f>SUM('1일:31일'!I14)</f>
        <v>0</v>
      </c>
      <c r="J14" s="135"/>
      <c r="K14" s="228" t="s">
        <v>24</v>
      </c>
      <c r="L14" s="234"/>
      <c r="M14" s="151"/>
      <c r="N14" s="149"/>
    </row>
    <row r="15" spans="1:14" ht="16.5" customHeight="1" x14ac:dyDescent="0.3">
      <c r="A15" s="410"/>
      <c r="B15" s="27" t="s">
        <v>25</v>
      </c>
      <c r="C15" s="146">
        <f>SUM('1일:31일'!C15)</f>
        <v>635</v>
      </c>
      <c r="D15" s="146">
        <f>SUM('1일:31일'!D15)</f>
        <v>1</v>
      </c>
      <c r="E15" s="146">
        <f>SUM('1일:31일'!E15)</f>
        <v>9</v>
      </c>
      <c r="F15" s="146">
        <f>SUM('1일:31일'!F15)</f>
        <v>0</v>
      </c>
      <c r="G15" s="146"/>
      <c r="H15" s="146">
        <f>SUM('1일:31일'!H15)</f>
        <v>47</v>
      </c>
      <c r="I15" s="146">
        <f>SUM('1일:31일'!I15)</f>
        <v>569</v>
      </c>
      <c r="J15" s="135"/>
      <c r="K15" s="228" t="s">
        <v>25</v>
      </c>
      <c r="L15" s="235">
        <f>(I15+I16*0.5)/(C15+F15)</f>
        <v>0.89606299212598428</v>
      </c>
      <c r="M15" s="150">
        <f t="shared" ref="M15:M39" si="0">1-L15</f>
        <v>0.10393700787401572</v>
      </c>
      <c r="N15" s="139">
        <f>(H15+H16*0.5)/(C15+F15)</f>
        <v>7.6377952755905518E-2</v>
      </c>
    </row>
    <row r="16" spans="1:14" ht="16.5" customHeight="1" x14ac:dyDescent="0.3">
      <c r="A16" s="410"/>
      <c r="B16" s="27" t="s">
        <v>26</v>
      </c>
      <c r="C16" s="146">
        <f>SUM('1일:31일'!C16)</f>
        <v>0</v>
      </c>
      <c r="D16" s="146">
        <f>SUM('1일:31일'!D16)</f>
        <v>0</v>
      </c>
      <c r="E16" s="146">
        <f>SUM('1일:31일'!E16)</f>
        <v>15</v>
      </c>
      <c r="F16" s="146">
        <f>SUM('1일:31일'!F16)</f>
        <v>0</v>
      </c>
      <c r="G16" s="146"/>
      <c r="H16" s="146">
        <f>SUM('1일:31일'!H16)</f>
        <v>3</v>
      </c>
      <c r="I16" s="146">
        <f>SUM('1일:31일'!I16)</f>
        <v>0</v>
      </c>
      <c r="J16" s="135"/>
      <c r="K16" s="228" t="s">
        <v>26</v>
      </c>
      <c r="L16" s="234"/>
      <c r="M16" s="151"/>
      <c r="N16" s="149"/>
    </row>
    <row r="17" spans="1:14" ht="16.5" customHeight="1" x14ac:dyDescent="0.3">
      <c r="A17" s="410"/>
      <c r="B17" s="27" t="s">
        <v>27</v>
      </c>
      <c r="C17" s="146">
        <f>SUM('1일:31일'!C17)</f>
        <v>692</v>
      </c>
      <c r="D17" s="146">
        <f>SUM('1일:31일'!D17)</f>
        <v>0</v>
      </c>
      <c r="E17" s="146">
        <f>SUM('1일:31일'!E17)</f>
        <v>20</v>
      </c>
      <c r="F17" s="146">
        <f>SUM('1일:31일'!F17)</f>
        <v>0</v>
      </c>
      <c r="G17" s="146"/>
      <c r="H17" s="146">
        <f>SUM('1일:31일'!H17)</f>
        <v>26</v>
      </c>
      <c r="I17" s="146">
        <f>SUM('1일:31일'!I17)</f>
        <v>635</v>
      </c>
      <c r="J17" s="135"/>
      <c r="K17" s="228" t="s">
        <v>27</v>
      </c>
      <c r="L17" s="235">
        <f t="shared" ref="L17:L19" si="1">(I17+I18*0.5)/(C17+F17)</f>
        <v>0.91763005780346818</v>
      </c>
      <c r="M17" s="150">
        <f t="shared" si="0"/>
        <v>8.236994219653182E-2</v>
      </c>
      <c r="N17" s="139">
        <f>(H17+H18*0.5)/(C17+F17)</f>
        <v>4.1184971098265896E-2</v>
      </c>
    </row>
    <row r="18" spans="1:14" ht="16.5" customHeight="1" x14ac:dyDescent="0.3">
      <c r="A18" s="410"/>
      <c r="B18" s="27" t="s">
        <v>28</v>
      </c>
      <c r="C18" s="146">
        <f>SUM('1일:31일'!C18)</f>
        <v>0</v>
      </c>
      <c r="D18" s="146">
        <f>SUM('1일:31일'!D18)</f>
        <v>0</v>
      </c>
      <c r="E18" s="146">
        <f>SUM('1일:31일'!E18)</f>
        <v>17</v>
      </c>
      <c r="F18" s="146">
        <f>SUM('1일:31일'!F18)</f>
        <v>0</v>
      </c>
      <c r="G18" s="146"/>
      <c r="H18" s="146">
        <f>SUM('1일:31일'!H18)</f>
        <v>5</v>
      </c>
      <c r="I18" s="146">
        <f>SUM('1일:31일'!I18)</f>
        <v>0</v>
      </c>
      <c r="J18" s="135"/>
      <c r="K18" s="228" t="s">
        <v>28</v>
      </c>
      <c r="L18" s="234"/>
      <c r="M18" s="151"/>
      <c r="N18" s="149"/>
    </row>
    <row r="19" spans="1:14" ht="16.5" customHeight="1" x14ac:dyDescent="0.3">
      <c r="A19" s="410"/>
      <c r="B19" s="27" t="s">
        <v>29</v>
      </c>
      <c r="C19" s="146">
        <f>SUM('1일:31일'!C19)</f>
        <v>399</v>
      </c>
      <c r="D19" s="146">
        <f>SUM('1일:31일'!D19)</f>
        <v>0</v>
      </c>
      <c r="E19" s="146">
        <f>SUM('1일:31일'!E19)</f>
        <v>2</v>
      </c>
      <c r="F19" s="146">
        <f>SUM('1일:31일'!F19)</f>
        <v>0</v>
      </c>
      <c r="G19" s="146"/>
      <c r="H19" s="146">
        <f>SUM('1일:31일'!H19)</f>
        <v>14</v>
      </c>
      <c r="I19" s="146">
        <f>SUM('1일:31일'!I19)</f>
        <v>379.5</v>
      </c>
      <c r="J19" s="135"/>
      <c r="K19" s="228" t="s">
        <v>29</v>
      </c>
      <c r="L19" s="235">
        <f t="shared" si="1"/>
        <v>0.95112781954887216</v>
      </c>
      <c r="M19" s="150">
        <f t="shared" si="0"/>
        <v>4.8872180451127845E-2</v>
      </c>
      <c r="N19" s="139">
        <f>(H19+H20*0.5)/(C19+F19)</f>
        <v>3.8847117794486213E-2</v>
      </c>
    </row>
    <row r="20" spans="1:14" ht="16.5" customHeight="1" thickBot="1" x14ac:dyDescent="0.35">
      <c r="A20" s="410"/>
      <c r="B20" s="27" t="s">
        <v>30</v>
      </c>
      <c r="C20" s="146">
        <f>SUM('1일:31일'!C20)</f>
        <v>0</v>
      </c>
      <c r="D20" s="146">
        <f>SUM('1일:31일'!D20)</f>
        <v>0</v>
      </c>
      <c r="E20" s="146">
        <f>SUM('1일:31일'!E20)</f>
        <v>4</v>
      </c>
      <c r="F20" s="146">
        <f>SUM('1일:31일'!F20)</f>
        <v>0</v>
      </c>
      <c r="G20" s="146"/>
      <c r="H20" s="146">
        <f>SUM('1일:31일'!H20)</f>
        <v>3</v>
      </c>
      <c r="I20" s="146">
        <f>SUM('1일:31일'!I20)</f>
        <v>0</v>
      </c>
      <c r="J20" s="135"/>
      <c r="K20" s="228" t="s">
        <v>30</v>
      </c>
      <c r="L20" s="236"/>
      <c r="M20" s="193"/>
      <c r="N20" s="237"/>
    </row>
    <row r="21" spans="1:14" ht="16.5" customHeight="1" x14ac:dyDescent="0.3">
      <c r="A21" s="410"/>
      <c r="B21" s="58" t="s">
        <v>31</v>
      </c>
      <c r="C21" s="146">
        <f>SUM('1일:31일'!C21)</f>
        <v>2673</v>
      </c>
      <c r="D21" s="146">
        <f>SUM('1일:31일'!D21)</f>
        <v>12</v>
      </c>
      <c r="E21" s="146">
        <f>SUM('1일:31일'!E21)</f>
        <v>58</v>
      </c>
      <c r="F21" s="146">
        <f>SUM('1일:31일'!F21)</f>
        <v>0</v>
      </c>
      <c r="G21" s="146"/>
      <c r="H21" s="146">
        <f>SUM('1일:31일'!H21)</f>
        <v>124</v>
      </c>
      <c r="I21" s="146">
        <f>SUM('1일:31일'!I21)</f>
        <v>2479</v>
      </c>
      <c r="J21" s="135"/>
      <c r="K21" s="238" t="s">
        <v>31</v>
      </c>
      <c r="L21" s="241">
        <f>I21/(C21+F21)</f>
        <v>0.92742237186681631</v>
      </c>
      <c r="M21" s="225">
        <f>1-L21</f>
        <v>7.2577628133183691E-2</v>
      </c>
      <c r="N21" s="233">
        <f>H21/(C21+F21)</f>
        <v>4.6389824167601942E-2</v>
      </c>
    </row>
    <row r="22" spans="1:14" ht="16.5" customHeight="1" x14ac:dyDescent="0.3">
      <c r="A22" s="410"/>
      <c r="B22" s="126" t="s">
        <v>32</v>
      </c>
      <c r="C22" s="146">
        <f>SUM('1일:31일'!C22)</f>
        <v>1108</v>
      </c>
      <c r="D22" s="146">
        <f>SUM('1일:31일'!D22)</f>
        <v>5</v>
      </c>
      <c r="E22" s="146">
        <f>SUM('1일:31일'!E22)</f>
        <v>43</v>
      </c>
      <c r="F22" s="146">
        <f>SUM('1일:31일'!F22)</f>
        <v>0</v>
      </c>
      <c r="G22" s="146"/>
      <c r="H22" s="146">
        <f>SUM('1일:31일'!H22)</f>
        <v>76</v>
      </c>
      <c r="I22" s="146">
        <f>SUM('1일:31일'!I22)</f>
        <v>984</v>
      </c>
      <c r="J22" s="135"/>
      <c r="K22" s="228" t="s">
        <v>32</v>
      </c>
      <c r="L22" s="235">
        <f>I22/(C22+F22)</f>
        <v>0.88808664259927794</v>
      </c>
      <c r="M22" s="150">
        <f>1-L22</f>
        <v>0.11191335740072206</v>
      </c>
      <c r="N22" s="139">
        <f>H22/(C22+F22)</f>
        <v>6.8592057761732855E-2</v>
      </c>
    </row>
    <row r="23" spans="1:14" ht="16.5" customHeight="1" x14ac:dyDescent="0.3">
      <c r="A23" s="410"/>
      <c r="B23" s="27" t="s">
        <v>33</v>
      </c>
      <c r="C23" s="146">
        <f>SUM('1일:31일'!C23)</f>
        <v>4781</v>
      </c>
      <c r="D23" s="146">
        <f>SUM('1일:31일'!D23)</f>
        <v>17</v>
      </c>
      <c r="E23" s="146">
        <f>SUM('1일:31일'!E23)</f>
        <v>89</v>
      </c>
      <c r="F23" s="146">
        <f>SUM('1일:31일'!F23)</f>
        <v>0</v>
      </c>
      <c r="G23" s="146"/>
      <c r="H23" s="146">
        <f>SUM('1일:31일'!H23)</f>
        <v>215</v>
      </c>
      <c r="I23" s="146">
        <f>SUM('1일:31일'!I23)</f>
        <v>4290</v>
      </c>
      <c r="J23" s="135"/>
      <c r="K23" s="228" t="s">
        <v>33</v>
      </c>
      <c r="L23" s="413">
        <f>(I23+I24)/(C23+F23+F24)</f>
        <v>0.89730181970299105</v>
      </c>
      <c r="M23" s="414">
        <f t="shared" ref="M23" si="2">1-L23</f>
        <v>0.10269818029700895</v>
      </c>
      <c r="N23" s="411">
        <f>(H23+H24)/(C23+F23+F24)</f>
        <v>6.7977410583559925E-2</v>
      </c>
    </row>
    <row r="24" spans="1:14" ht="16.5" customHeight="1" x14ac:dyDescent="0.3">
      <c r="A24" s="410"/>
      <c r="B24" s="127" t="s">
        <v>34</v>
      </c>
      <c r="C24" s="146">
        <f>SUM('1일:31일'!C24)</f>
        <v>0</v>
      </c>
      <c r="D24" s="146">
        <f>SUM('1일:31일'!D24)</f>
        <v>13</v>
      </c>
      <c r="E24" s="146">
        <f>SUM('1일:31일'!E24)</f>
        <v>47</v>
      </c>
      <c r="F24" s="146">
        <f>SUM('1일:31일'!F24)</f>
        <v>0</v>
      </c>
      <c r="G24" s="146"/>
      <c r="H24" s="146">
        <f>SUM('1일:31일'!H24)</f>
        <v>110</v>
      </c>
      <c r="I24" s="146">
        <f>SUM('1일:31일'!I24)</f>
        <v>0</v>
      </c>
      <c r="J24" s="135"/>
      <c r="K24" s="228" t="s">
        <v>34</v>
      </c>
      <c r="L24" s="413"/>
      <c r="M24" s="414"/>
      <c r="N24" s="411"/>
    </row>
    <row r="25" spans="1:14" ht="16.5" customHeight="1" x14ac:dyDescent="0.3">
      <c r="A25" s="410"/>
      <c r="B25" s="21" t="s">
        <v>35</v>
      </c>
      <c r="C25" s="146">
        <f>SUM('1일:31일'!C25)</f>
        <v>910</v>
      </c>
      <c r="D25" s="146">
        <f>SUM('1일:31일'!D25)</f>
        <v>11</v>
      </c>
      <c r="E25" s="146">
        <f>SUM('1일:31일'!E25)</f>
        <v>13</v>
      </c>
      <c r="F25" s="146">
        <f>SUM('1일:31일'!F25)</f>
        <v>0</v>
      </c>
      <c r="G25" s="146"/>
      <c r="H25" s="146">
        <f>SUM('1일:31일'!H25)</f>
        <v>72</v>
      </c>
      <c r="I25" s="146">
        <f>SUM('1일:31일'!I25)</f>
        <v>814</v>
      </c>
      <c r="J25" s="135"/>
      <c r="K25" s="228" t="s">
        <v>35</v>
      </c>
      <c r="L25" s="235">
        <f>I25/(C25+F25)</f>
        <v>0.89450549450549455</v>
      </c>
      <c r="M25" s="150">
        <f t="shared" si="0"/>
        <v>0.10549450549450545</v>
      </c>
      <c r="N25" s="139">
        <f>H25/(C25+F25)</f>
        <v>7.9120879120879117E-2</v>
      </c>
    </row>
    <row r="26" spans="1:14" ht="16.5" customHeight="1" x14ac:dyDescent="0.3">
      <c r="A26" s="410"/>
      <c r="B26" s="127" t="s">
        <v>36</v>
      </c>
      <c r="C26" s="146">
        <f>SUM('1일:31일'!C26)</f>
        <v>1137</v>
      </c>
      <c r="D26" s="146">
        <f>SUM('1일:31일'!D26)</f>
        <v>1</v>
      </c>
      <c r="E26" s="146">
        <f>SUM('1일:31일'!E26)</f>
        <v>4</v>
      </c>
      <c r="F26" s="146">
        <f>SUM('1일:31일'!F26)</f>
        <v>0</v>
      </c>
      <c r="G26" s="146"/>
      <c r="H26" s="146">
        <f>SUM('1일:31일'!H26)</f>
        <v>46</v>
      </c>
      <c r="I26" s="146">
        <f>SUM('1일:31일'!I26)</f>
        <v>1086</v>
      </c>
      <c r="J26" s="135"/>
      <c r="K26" s="228" t="s">
        <v>36</v>
      </c>
      <c r="L26" s="235">
        <f>I26/(C26+F26)</f>
        <v>0.95514511873350927</v>
      </c>
      <c r="M26" s="150">
        <f t="shared" si="0"/>
        <v>4.4854881266490731E-2</v>
      </c>
      <c r="N26" s="139">
        <f t="shared" ref="N26:N27" si="3">H26/(C26+F26)</f>
        <v>4.0457343887423045E-2</v>
      </c>
    </row>
    <row r="27" spans="1:14" ht="16.5" customHeight="1" x14ac:dyDescent="0.3">
      <c r="A27" s="410"/>
      <c r="B27" s="21" t="s">
        <v>37</v>
      </c>
      <c r="C27" s="146">
        <f>SUM('1일:31일'!C27)</f>
        <v>939</v>
      </c>
      <c r="D27" s="146">
        <f>SUM('1일:31일'!D27)</f>
        <v>5</v>
      </c>
      <c r="E27" s="146">
        <f>SUM('1일:31일'!E27)</f>
        <v>6</v>
      </c>
      <c r="F27" s="146">
        <f>SUM('1일:31일'!F27)</f>
        <v>0</v>
      </c>
      <c r="G27" s="146"/>
      <c r="H27" s="146">
        <f>SUM('1일:31일'!H27)</f>
        <v>88</v>
      </c>
      <c r="I27" s="146">
        <f>SUM('1일:31일'!I27)</f>
        <v>840</v>
      </c>
      <c r="J27" s="135"/>
      <c r="K27" s="228" t="s">
        <v>37</v>
      </c>
      <c r="L27" s="235">
        <f>I27/(C27+F27)</f>
        <v>0.89456869009584661</v>
      </c>
      <c r="M27" s="150">
        <f t="shared" si="0"/>
        <v>0.10543130990415339</v>
      </c>
      <c r="N27" s="139">
        <f t="shared" si="3"/>
        <v>9.3716719914802987E-2</v>
      </c>
    </row>
    <row r="28" spans="1:14" ht="16.5" customHeight="1" x14ac:dyDescent="0.3">
      <c r="A28" s="410"/>
      <c r="B28" s="127" t="s">
        <v>38</v>
      </c>
      <c r="C28" s="146">
        <f>SUM('1일:31일'!C28)</f>
        <v>1249</v>
      </c>
      <c r="D28" s="146">
        <f>SUM('1일:31일'!D28)</f>
        <v>23</v>
      </c>
      <c r="E28" s="146">
        <f>SUM('1일:31일'!E28)</f>
        <v>36</v>
      </c>
      <c r="F28" s="146">
        <f>SUM('1일:31일'!F28)</f>
        <v>0</v>
      </c>
      <c r="G28" s="146"/>
      <c r="H28" s="146">
        <f>SUM('1일:31일'!H28)</f>
        <v>139</v>
      </c>
      <c r="I28" s="146">
        <f>SUM('1일:31일'!I28)</f>
        <v>1051</v>
      </c>
      <c r="J28" s="135"/>
      <c r="K28" s="228" t="s">
        <v>38</v>
      </c>
      <c r="L28" s="235">
        <f>I28/(C28+F28)</f>
        <v>0.84147317854283432</v>
      </c>
      <c r="M28" s="150">
        <f t="shared" si="0"/>
        <v>0.15852682145716568</v>
      </c>
      <c r="N28" s="139">
        <f>H28/(C28+F28)</f>
        <v>0.11128903122497999</v>
      </c>
    </row>
    <row r="29" spans="1:14" ht="16.5" customHeight="1" x14ac:dyDescent="0.3">
      <c r="A29" s="410"/>
      <c r="B29" s="21" t="s">
        <v>39</v>
      </c>
      <c r="C29" s="146">
        <f>SUM('1일:31일'!C29)</f>
        <v>190</v>
      </c>
      <c r="D29" s="146">
        <f>SUM('1일:31일'!D29)</f>
        <v>1</v>
      </c>
      <c r="E29" s="146">
        <f>SUM('1일:31일'!E29)</f>
        <v>0</v>
      </c>
      <c r="F29" s="146">
        <f>SUM('1일:31일'!F29)</f>
        <v>0</v>
      </c>
      <c r="G29" s="146"/>
      <c r="H29" s="146">
        <f>SUM('1일:31일'!H29)</f>
        <v>2</v>
      </c>
      <c r="I29" s="146">
        <f>SUM('1일:31일'!I29)</f>
        <v>187</v>
      </c>
      <c r="J29" s="135"/>
      <c r="K29" s="228" t="s">
        <v>39</v>
      </c>
      <c r="L29" s="235">
        <f>I29/(C29+F29)</f>
        <v>0.98421052631578942</v>
      </c>
      <c r="M29" s="150">
        <f t="shared" si="0"/>
        <v>1.5789473684210575E-2</v>
      </c>
      <c r="N29" s="139">
        <f>H29/(C29+F29)</f>
        <v>1.0526315789473684E-2</v>
      </c>
    </row>
    <row r="30" spans="1:14" ht="16.5" customHeight="1" x14ac:dyDescent="0.3">
      <c r="A30" s="410"/>
      <c r="B30" s="56" t="s">
        <v>40</v>
      </c>
      <c r="C30" s="146">
        <f>SUM('1일:31일'!C30)</f>
        <v>3239</v>
      </c>
      <c r="D30" s="146">
        <f>SUM('1일:31일'!D30)</f>
        <v>37</v>
      </c>
      <c r="E30" s="146">
        <f>SUM('1일:31일'!E30)</f>
        <v>52</v>
      </c>
      <c r="F30" s="146">
        <f>SUM('1일:31일'!F30)</f>
        <v>0</v>
      </c>
      <c r="G30" s="146"/>
      <c r="H30" s="146">
        <f>SUM('1일:31일'!H30)</f>
        <v>202</v>
      </c>
      <c r="I30" s="146">
        <f>SUM('1일:31일'!I30)</f>
        <v>2942</v>
      </c>
      <c r="J30" s="135"/>
      <c r="K30" s="238" t="s">
        <v>40</v>
      </c>
      <c r="L30" s="413">
        <f>(I30+I31)/(C30+F30+F31)</f>
        <v>0.90830503241741278</v>
      </c>
      <c r="M30" s="414">
        <f t="shared" si="0"/>
        <v>9.1694967582587217E-2</v>
      </c>
      <c r="N30" s="411">
        <f>(H30+H31)/(C30+F30+F31)</f>
        <v>6.2364927446742824E-2</v>
      </c>
    </row>
    <row r="31" spans="1:14" ht="16.5" customHeight="1" thickBot="1" x14ac:dyDescent="0.35">
      <c r="A31" s="410"/>
      <c r="B31" s="58" t="s">
        <v>41</v>
      </c>
      <c r="C31" s="146">
        <f>SUM('1일:31일'!C31)</f>
        <v>0</v>
      </c>
      <c r="D31" s="146">
        <f>SUM('1일:31일'!D31)</f>
        <v>0</v>
      </c>
      <c r="E31" s="146">
        <f>SUM('1일:31일'!E31)</f>
        <v>6</v>
      </c>
      <c r="F31" s="146">
        <f>SUM('1일:31일'!F31)</f>
        <v>0</v>
      </c>
      <c r="G31" s="146"/>
      <c r="H31" s="146">
        <f>SUM('1일:31일'!H31)</f>
        <v>0</v>
      </c>
      <c r="I31" s="146">
        <f>SUM('1일:31일'!I31)</f>
        <v>0</v>
      </c>
      <c r="J31" s="135"/>
      <c r="K31" s="242" t="s">
        <v>41</v>
      </c>
      <c r="L31" s="415"/>
      <c r="M31" s="416"/>
      <c r="N31" s="412"/>
    </row>
    <row r="32" spans="1:14" ht="16.5" customHeight="1" x14ac:dyDescent="0.3">
      <c r="A32" s="410"/>
      <c r="B32" s="179" t="s">
        <v>116</v>
      </c>
      <c r="C32" s="146">
        <f>SUM('1일:31일'!C32)</f>
        <v>0</v>
      </c>
      <c r="D32" s="146">
        <f>SUM('1일:31일'!D32)</f>
        <v>0</v>
      </c>
      <c r="E32" s="146">
        <f>SUM('1일:31일'!E32)</f>
        <v>2</v>
      </c>
      <c r="F32" s="146">
        <f>SUM('1일:31일'!F32)</f>
        <v>0</v>
      </c>
      <c r="G32" s="146"/>
      <c r="H32" s="146">
        <f>SUM('1일:31일'!H32)</f>
        <v>4</v>
      </c>
      <c r="I32" s="146">
        <f>SUM('1일:31일'!I32)</f>
        <v>14</v>
      </c>
      <c r="J32" s="135"/>
      <c r="K32" s="243" t="s">
        <v>116</v>
      </c>
      <c r="L32" s="239"/>
      <c r="M32" s="231">
        <f t="shared" ref="M32:M33" si="4">D32/I32</f>
        <v>0</v>
      </c>
      <c r="N32" s="240"/>
    </row>
    <row r="33" spans="1:14" ht="16.5" customHeight="1" x14ac:dyDescent="0.3">
      <c r="A33" s="410"/>
      <c r="B33" s="179" t="s">
        <v>118</v>
      </c>
      <c r="C33" s="146">
        <f>SUM('1일:31일'!C33)</f>
        <v>0</v>
      </c>
      <c r="D33" s="146">
        <f>SUM('1일:31일'!D33)</f>
        <v>0</v>
      </c>
      <c r="E33" s="146">
        <f>SUM('1일:31일'!E33)</f>
        <v>0</v>
      </c>
      <c r="F33" s="146">
        <f>SUM('1일:31일'!F33)</f>
        <v>0</v>
      </c>
      <c r="G33" s="146"/>
      <c r="H33" s="146">
        <f>SUM('1일:31일'!H33)</f>
        <v>1</v>
      </c>
      <c r="I33" s="146">
        <f>SUM('1일:31일'!I33)</f>
        <v>9</v>
      </c>
      <c r="J33" s="135"/>
      <c r="K33" s="244" t="s">
        <v>118</v>
      </c>
      <c r="L33" s="165"/>
      <c r="M33" s="150">
        <f t="shared" si="4"/>
        <v>0</v>
      </c>
      <c r="N33" s="194"/>
    </row>
    <row r="34" spans="1:14" ht="16.5" customHeight="1" thickBot="1" x14ac:dyDescent="0.35">
      <c r="A34" s="410"/>
      <c r="B34" s="179" t="s">
        <v>120</v>
      </c>
      <c r="C34" s="146">
        <f>SUM('1일:31일'!C34)</f>
        <v>4</v>
      </c>
      <c r="D34" s="146">
        <f>SUM('1일:31일'!D34)</f>
        <v>0</v>
      </c>
      <c r="E34" s="146">
        <f>SUM('1일:31일'!E34)</f>
        <v>1</v>
      </c>
      <c r="F34" s="146">
        <f>SUM('1일:31일'!F34)</f>
        <v>0</v>
      </c>
      <c r="G34" s="146"/>
      <c r="H34" s="146">
        <f>SUM('1일:31일'!H34)</f>
        <v>2</v>
      </c>
      <c r="I34" s="146">
        <f>SUM('1일:31일'!I34)</f>
        <v>56</v>
      </c>
      <c r="J34" s="135"/>
      <c r="K34" s="245" t="s">
        <v>120</v>
      </c>
      <c r="L34" s="218"/>
      <c r="M34" s="219">
        <f>D34/I34</f>
        <v>0</v>
      </c>
      <c r="N34" s="220"/>
    </row>
    <row r="35" spans="1:14" ht="16.5" customHeight="1" x14ac:dyDescent="0.3">
      <c r="A35" s="410"/>
      <c r="B35" s="191" t="s">
        <v>79</v>
      </c>
      <c r="C35" s="146">
        <f>SUM('1일:31일'!C35)</f>
        <v>0</v>
      </c>
      <c r="D35" s="146">
        <f>SUM('1일:31일'!D35)</f>
        <v>0</v>
      </c>
      <c r="E35" s="146">
        <f>SUM('1일:31일'!E35)</f>
        <v>37</v>
      </c>
      <c r="F35" s="146">
        <f>SUM('1일:31일'!F35)</f>
        <v>0</v>
      </c>
      <c r="G35" s="146"/>
      <c r="H35" s="146">
        <f>SUM('1일:31일'!H35)</f>
        <v>0</v>
      </c>
      <c r="I35" s="146">
        <f>SUM('1일:31일'!I35)</f>
        <v>335</v>
      </c>
      <c r="J35" s="135"/>
      <c r="K35" s="246" t="s">
        <v>79</v>
      </c>
      <c r="L35" s="224"/>
      <c r="M35" s="209">
        <f>D35/I35</f>
        <v>0</v>
      </c>
      <c r="N35" s="226"/>
    </row>
    <row r="36" spans="1:14" ht="17.25" customHeight="1" x14ac:dyDescent="0.3">
      <c r="A36" s="410"/>
      <c r="B36" s="153" t="s">
        <v>80</v>
      </c>
      <c r="C36" s="146">
        <f>SUM('1일:31일'!C36)</f>
        <v>538</v>
      </c>
      <c r="D36" s="146">
        <f>SUM('1일:31일'!D36)</f>
        <v>4</v>
      </c>
      <c r="E36" s="146">
        <f>SUM('1일:31일'!E36)</f>
        <v>8</v>
      </c>
      <c r="F36" s="146">
        <f>SUM('1일:31일'!F36)</f>
        <v>0</v>
      </c>
      <c r="G36" s="146"/>
      <c r="H36" s="146">
        <f>SUM('1일:31일'!H36)</f>
        <v>6</v>
      </c>
      <c r="I36" s="146">
        <f>SUM('1일:31일'!I36)</f>
        <v>520</v>
      </c>
      <c r="J36" s="2"/>
      <c r="K36" s="247" t="s">
        <v>80</v>
      </c>
      <c r="L36" s="283">
        <f>I36/(C36+F36)</f>
        <v>0.96654275092936803</v>
      </c>
      <c r="M36" s="150">
        <f t="shared" si="0"/>
        <v>3.3457249070631967E-2</v>
      </c>
      <c r="N36" s="197">
        <f t="shared" ref="N36:N37" si="5">H36/(C36+F36)</f>
        <v>1.1152416356877323E-2</v>
      </c>
    </row>
    <row r="37" spans="1:14" ht="17.25" customHeight="1" thickBot="1" x14ac:dyDescent="0.35">
      <c r="A37" s="410"/>
      <c r="B37" s="163" t="s">
        <v>106</v>
      </c>
      <c r="C37" s="146">
        <f>SUM('1일:31일'!C37)</f>
        <v>139</v>
      </c>
      <c r="D37" s="146">
        <f>SUM('1일:31일'!D37)</f>
        <v>0</v>
      </c>
      <c r="E37" s="146">
        <f>SUM('1일:31일'!E37)</f>
        <v>4</v>
      </c>
      <c r="F37" s="146">
        <f>SUM('1일:31일'!F37)</f>
        <v>0</v>
      </c>
      <c r="G37" s="146"/>
      <c r="H37" s="146">
        <f>SUM('1일:31일'!H37)</f>
        <v>9</v>
      </c>
      <c r="I37" s="146">
        <f>SUM('1일:31일'!I37)</f>
        <v>122.5</v>
      </c>
      <c r="J37" s="2"/>
      <c r="K37" s="248" t="s">
        <v>106</v>
      </c>
      <c r="L37" s="227">
        <f>(I37+I38*0.5)/(C37+F37)</f>
        <v>0.96402877697841727</v>
      </c>
      <c r="M37" s="152">
        <f t="shared" si="0"/>
        <v>3.5971223021582732E-2</v>
      </c>
      <c r="N37" s="201">
        <f t="shared" si="5"/>
        <v>6.4748201438848921E-2</v>
      </c>
    </row>
    <row r="38" spans="1:14" ht="17.25" customHeight="1" x14ac:dyDescent="0.3">
      <c r="A38" s="410"/>
      <c r="B38" s="178" t="s">
        <v>130</v>
      </c>
      <c r="C38" s="146">
        <f>SUM('1일:31일'!C38)</f>
        <v>0</v>
      </c>
      <c r="D38" s="146">
        <f>SUM('1일:31일'!D38)</f>
        <v>0</v>
      </c>
      <c r="E38" s="146">
        <f>SUM('1일:31일'!E38)</f>
        <v>0</v>
      </c>
      <c r="F38" s="146">
        <f>SUM('1일:31일'!F38)</f>
        <v>0</v>
      </c>
      <c r="G38" s="146"/>
      <c r="H38" s="146">
        <f>SUM('1일:31일'!H38)</f>
        <v>2</v>
      </c>
      <c r="I38" s="146">
        <f>SUM('1일:31일'!I38)</f>
        <v>23</v>
      </c>
      <c r="J38" s="2"/>
      <c r="K38" s="249" t="s">
        <v>130</v>
      </c>
      <c r="L38" s="221"/>
      <c r="M38" s="222"/>
      <c r="N38" s="223"/>
    </row>
    <row r="39" spans="1:14" ht="17.25" customHeight="1" thickBot="1" x14ac:dyDescent="0.35">
      <c r="A39" s="410"/>
      <c r="B39" s="178" t="s">
        <v>108</v>
      </c>
      <c r="C39" s="146">
        <f>SUM('1일:31일'!C39)</f>
        <v>0</v>
      </c>
      <c r="D39" s="146">
        <f>SUM('1일:31일'!D39)</f>
        <v>0</v>
      </c>
      <c r="E39" s="146">
        <f>SUM('1일:31일'!E39)</f>
        <v>0</v>
      </c>
      <c r="F39" s="146">
        <f>SUM('1일:31일'!F39)</f>
        <v>0</v>
      </c>
      <c r="G39" s="146"/>
      <c r="H39" s="146">
        <f>SUM('1일:31일'!H39)</f>
        <v>0</v>
      </c>
      <c r="I39" s="146">
        <f>SUM('1일:31일'!I39)</f>
        <v>0</v>
      </c>
      <c r="J39" s="2"/>
      <c r="K39" s="249" t="s">
        <v>108</v>
      </c>
      <c r="L39" s="198" t="e">
        <f>(I39+I40*0.5)/(C39+F39)</f>
        <v>#DIV/0!</v>
      </c>
      <c r="M39" s="200" t="e">
        <f t="shared" si="0"/>
        <v>#DIV/0!</v>
      </c>
      <c r="N39" s="201" t="e">
        <f>H39/(C39+F39)</f>
        <v>#DIV/0!</v>
      </c>
    </row>
    <row r="40" spans="1:14" ht="16.5" customHeight="1" thickBot="1" x14ac:dyDescent="0.35">
      <c r="A40" s="410"/>
      <c r="B40" s="178" t="s">
        <v>132</v>
      </c>
      <c r="C40" s="146">
        <f>SUM('1일:31일'!C40)</f>
        <v>0</v>
      </c>
      <c r="D40" s="146">
        <f>SUM('1일:31일'!D40)</f>
        <v>0</v>
      </c>
      <c r="E40" s="146">
        <f>SUM('1일:31일'!E40)</f>
        <v>0</v>
      </c>
      <c r="F40" s="146">
        <f>SUM('1일:31일'!F40)</f>
        <v>0</v>
      </c>
      <c r="G40" s="146"/>
      <c r="H40" s="146">
        <f>SUM('1일:31일'!H40)</f>
        <v>0</v>
      </c>
      <c r="I40" s="146">
        <f>SUM('1일:31일'!I40)</f>
        <v>0</v>
      </c>
      <c r="J40" s="133"/>
      <c r="K40" s="249" t="s">
        <v>132</v>
      </c>
      <c r="L40" s="199"/>
      <c r="M40" s="202"/>
      <c r="N40" s="203"/>
    </row>
    <row r="41" spans="1:14" s="76" customFormat="1" ht="17.25" thickBot="1" x14ac:dyDescent="0.35">
      <c r="A41" s="410"/>
      <c r="B41" s="178" t="s">
        <v>110</v>
      </c>
      <c r="C41" s="146">
        <f>SUM('1일:31일'!C41)</f>
        <v>0</v>
      </c>
      <c r="D41" s="146">
        <f>SUM('1일:31일'!D41)</f>
        <v>0</v>
      </c>
      <c r="E41" s="146">
        <f>SUM('1일:31일'!E41)</f>
        <v>0</v>
      </c>
      <c r="F41" s="146">
        <f>SUM('1일:31일'!F41)</f>
        <v>0</v>
      </c>
      <c r="G41" s="146"/>
      <c r="H41" s="146">
        <f>SUM('1일:31일'!H41)</f>
        <v>0</v>
      </c>
      <c r="I41" s="146">
        <f>SUM('1일:31일'!I41)</f>
        <v>0</v>
      </c>
      <c r="J41" s="134"/>
      <c r="K41" s="249" t="s">
        <v>110</v>
      </c>
      <c r="L41" s="198" t="e">
        <f>(I41+I42*0.5)/(C41+F41)</f>
        <v>#DIV/0!</v>
      </c>
      <c r="M41" s="200" t="e">
        <f t="shared" ref="M41" si="6">1-L41</f>
        <v>#DIV/0!</v>
      </c>
      <c r="N41" s="201" t="e">
        <f>H41/(C41+F41)</f>
        <v>#DIV/0!</v>
      </c>
    </row>
    <row r="42" spans="1:14" ht="17.25" thickBot="1" x14ac:dyDescent="0.35">
      <c r="A42" s="410"/>
      <c r="B42" s="178" t="s">
        <v>134</v>
      </c>
      <c r="C42" s="146">
        <f>SUM('1일:31일'!C42)</f>
        <v>0</v>
      </c>
      <c r="D42" s="146">
        <f>SUM('1일:31일'!D42)</f>
        <v>0</v>
      </c>
      <c r="E42" s="146">
        <f>SUM('1일:31일'!E42)</f>
        <v>0</v>
      </c>
      <c r="F42" s="146">
        <f>SUM('1일:31일'!F42)</f>
        <v>0</v>
      </c>
      <c r="G42" s="146"/>
      <c r="H42" s="146">
        <f>SUM('1일:31일'!H42)</f>
        <v>0</v>
      </c>
      <c r="I42" s="146">
        <f>SUM('1일:31일'!I42)</f>
        <v>0</v>
      </c>
      <c r="K42" s="249" t="s">
        <v>134</v>
      </c>
      <c r="L42" s="199"/>
      <c r="M42" s="202"/>
      <c r="N42" s="203"/>
    </row>
    <row r="43" spans="1:14" x14ac:dyDescent="0.3">
      <c r="A43" s="410"/>
      <c r="B43" s="178" t="s">
        <v>112</v>
      </c>
      <c r="C43" s="146">
        <f>SUM('1일:31일'!C43)</f>
        <v>0</v>
      </c>
      <c r="D43" s="146">
        <f>SUM('1일:31일'!D35)</f>
        <v>0</v>
      </c>
      <c r="E43" s="146">
        <f>SUM('1일:31일'!E35)</f>
        <v>37</v>
      </c>
      <c r="F43" s="146">
        <f>SUM('1일:31일'!F35)</f>
        <v>0</v>
      </c>
      <c r="G43" s="146"/>
      <c r="H43" s="146">
        <f>SUM('1일:31일'!H35)</f>
        <v>0</v>
      </c>
      <c r="I43" s="146">
        <f>SUM('1일:31일'!I43)</f>
        <v>0</v>
      </c>
      <c r="K43" s="249" t="s">
        <v>112</v>
      </c>
      <c r="L43" s="212"/>
      <c r="M43" s="209" t="e">
        <f>D43/I43</f>
        <v>#DIV/0!</v>
      </c>
      <c r="N43" s="215"/>
    </row>
    <row r="44" spans="1:14" x14ac:dyDescent="0.3">
      <c r="A44" s="410"/>
      <c r="B44" s="178" t="s">
        <v>124</v>
      </c>
      <c r="C44" s="146">
        <f>SUM('1일:31일'!C44)</f>
        <v>0</v>
      </c>
      <c r="D44" s="146">
        <f>SUM('1일:31일'!D36)</f>
        <v>4</v>
      </c>
      <c r="E44" s="146">
        <f>SUM('1일:31일'!E36)</f>
        <v>8</v>
      </c>
      <c r="F44" s="146">
        <f>SUM('1일:31일'!F36)</f>
        <v>0</v>
      </c>
      <c r="G44" s="146"/>
      <c r="H44" s="146">
        <f>SUM('1일:31일'!H36)</f>
        <v>6</v>
      </c>
      <c r="I44" s="146">
        <f>SUM('1일:31일'!I44)</f>
        <v>0</v>
      </c>
      <c r="K44" s="249" t="s">
        <v>124</v>
      </c>
      <c r="L44" s="213"/>
      <c r="M44" s="210" t="e">
        <f t="shared" ref="M44:M50" si="7">D44/I44</f>
        <v>#DIV/0!</v>
      </c>
      <c r="N44" s="216"/>
    </row>
    <row r="45" spans="1:14" ht="17.25" thickBot="1" x14ac:dyDescent="0.35">
      <c r="A45" s="410"/>
      <c r="B45" s="164" t="s">
        <v>114</v>
      </c>
      <c r="C45" s="146">
        <f>SUM('1일:31일'!C45)</f>
        <v>0</v>
      </c>
      <c r="D45" s="146">
        <f>SUM('1일:31일'!D37)</f>
        <v>0</v>
      </c>
      <c r="E45" s="146">
        <f>SUM('1일:31일'!E37)</f>
        <v>4</v>
      </c>
      <c r="F45" s="146">
        <f>SUM('1일:31일'!F37)</f>
        <v>0</v>
      </c>
      <c r="G45" s="146"/>
      <c r="H45" s="146">
        <f>SUM('1일:31일'!H37)</f>
        <v>9</v>
      </c>
      <c r="I45" s="146">
        <f>SUM('1일:31일'!I45)</f>
        <v>0</v>
      </c>
      <c r="K45" s="250" t="s">
        <v>114</v>
      </c>
      <c r="L45" s="214"/>
      <c r="M45" s="211" t="e">
        <f t="shared" si="7"/>
        <v>#DIV/0!</v>
      </c>
      <c r="N45" s="217"/>
    </row>
    <row r="46" spans="1:14" ht="17.25" thickBot="1" x14ac:dyDescent="0.35">
      <c r="A46" s="410"/>
      <c r="B46" s="120" t="s">
        <v>89</v>
      </c>
      <c r="C46" s="146">
        <f>SUM('1일:31일'!C46)</f>
        <v>384</v>
      </c>
      <c r="D46" s="146">
        <f>SUM('1일:31일'!D45)</f>
        <v>0</v>
      </c>
      <c r="E46" s="146">
        <f>SUM('1일:31일'!E45)</f>
        <v>0</v>
      </c>
      <c r="F46" s="146">
        <f>SUM('1일:31일'!F45)</f>
        <v>0</v>
      </c>
      <c r="G46" s="146"/>
      <c r="H46" s="146">
        <f>SUM('1일:31일'!H45)</f>
        <v>0</v>
      </c>
      <c r="I46" s="146">
        <f>SUM('1일:31일'!I46)</f>
        <v>383</v>
      </c>
      <c r="K46" s="246" t="s">
        <v>89</v>
      </c>
      <c r="L46" s="224">
        <f>I46/(C46+F46)</f>
        <v>0.99739583333333337</v>
      </c>
      <c r="M46" s="209">
        <f t="shared" si="7"/>
        <v>0</v>
      </c>
      <c r="N46" s="215">
        <f t="shared" ref="N46:N48" si="8">H46/(C46+F46)</f>
        <v>0</v>
      </c>
    </row>
    <row r="47" spans="1:14" ht="17.25" thickBot="1" x14ac:dyDescent="0.35">
      <c r="A47" s="410"/>
      <c r="B47" s="120" t="s">
        <v>88</v>
      </c>
      <c r="C47" s="146">
        <f>SUM('1일:31일'!C47)</f>
        <v>219</v>
      </c>
      <c r="D47" s="146">
        <f>SUM('1일:31일'!D46)</f>
        <v>0</v>
      </c>
      <c r="E47" s="146">
        <f>SUM('1일:31일'!E46)</f>
        <v>0</v>
      </c>
      <c r="F47" s="146">
        <f>SUM('1일:31일'!F46)</f>
        <v>0</v>
      </c>
      <c r="G47" s="146"/>
      <c r="H47" s="146">
        <f>SUM('1일:31일'!H46)</f>
        <v>1</v>
      </c>
      <c r="I47" s="146">
        <f>SUM('1일:31일'!I47)</f>
        <v>207</v>
      </c>
      <c r="K47" s="251" t="s">
        <v>88</v>
      </c>
      <c r="L47" s="224">
        <f t="shared" ref="L47:L48" si="9">I47/(C47+F47)</f>
        <v>0.9452054794520548</v>
      </c>
      <c r="M47" s="210">
        <f t="shared" si="7"/>
        <v>0</v>
      </c>
      <c r="N47" s="216">
        <f t="shared" si="8"/>
        <v>4.5662100456621002E-3</v>
      </c>
    </row>
    <row r="48" spans="1:14" x14ac:dyDescent="0.3">
      <c r="A48" s="410"/>
      <c r="B48" s="56" t="s">
        <v>122</v>
      </c>
      <c r="C48" s="146">
        <f>SUM('1일:31일'!C48)</f>
        <v>0</v>
      </c>
      <c r="D48" s="146">
        <f>SUM('1일:31일'!D47)</f>
        <v>1</v>
      </c>
      <c r="E48" s="146">
        <f>SUM('1일:31일'!E47)</f>
        <v>0</v>
      </c>
      <c r="F48" s="146">
        <f>SUM('1일:31일'!F47)</f>
        <v>0</v>
      </c>
      <c r="G48" s="146"/>
      <c r="H48" s="146">
        <f>SUM('1일:31일'!H47)</f>
        <v>11</v>
      </c>
      <c r="I48" s="146">
        <f>SUM('1일:31일'!I48)</f>
        <v>0</v>
      </c>
      <c r="K48" s="252" t="s">
        <v>122</v>
      </c>
      <c r="L48" s="224" t="e">
        <f t="shared" si="9"/>
        <v>#DIV/0!</v>
      </c>
      <c r="M48" s="210" t="e">
        <f t="shared" si="7"/>
        <v>#DIV/0!</v>
      </c>
      <c r="N48" s="216" t="e">
        <f t="shared" si="8"/>
        <v>#DIV/0!</v>
      </c>
    </row>
    <row r="49" spans="1:14" x14ac:dyDescent="0.3">
      <c r="A49" s="410"/>
      <c r="B49" s="179" t="s">
        <v>126</v>
      </c>
      <c r="C49" s="146">
        <f>SUM('1일:31일'!C49)</f>
        <v>1</v>
      </c>
      <c r="D49" s="146">
        <f>SUM('1일:31일'!D48)</f>
        <v>0</v>
      </c>
      <c r="E49" s="146">
        <f>SUM('1일:31일'!E48)</f>
        <v>0</v>
      </c>
      <c r="F49" s="146">
        <f>SUM('1일:31일'!F48)</f>
        <v>0</v>
      </c>
      <c r="G49" s="146"/>
      <c r="H49" s="146">
        <f>SUM('1일:31일'!H48)</f>
        <v>0</v>
      </c>
      <c r="I49" s="146">
        <f>SUM('1일:31일'!I49)</f>
        <v>16</v>
      </c>
      <c r="K49" s="244" t="s">
        <v>126</v>
      </c>
      <c r="L49" s="213"/>
      <c r="M49" s="210">
        <f t="shared" si="7"/>
        <v>0</v>
      </c>
      <c r="N49" s="216"/>
    </row>
    <row r="50" spans="1:14" ht="17.25" thickBot="1" x14ac:dyDescent="0.35">
      <c r="A50" s="410"/>
      <c r="B50" s="58" t="s">
        <v>128</v>
      </c>
      <c r="C50" s="146">
        <f>SUM('1일:31일'!C50)</f>
        <v>4</v>
      </c>
      <c r="D50" s="146">
        <f>SUM('1일:31일'!D50)</f>
        <v>0</v>
      </c>
      <c r="E50" s="146">
        <f>SUM('1일:31일'!E50)</f>
        <v>0</v>
      </c>
      <c r="F50" s="146">
        <f>SUM('1일:31일'!F50)</f>
        <v>0</v>
      </c>
      <c r="G50" s="146"/>
      <c r="H50" s="146">
        <f>SUM('1일:31일'!H50)</f>
        <v>0</v>
      </c>
      <c r="I50" s="146">
        <f>SUM('1일:31일'!I50)</f>
        <v>34</v>
      </c>
      <c r="K50" s="245" t="s">
        <v>128</v>
      </c>
      <c r="L50" s="214"/>
      <c r="M50" s="211">
        <f t="shared" si="7"/>
        <v>0</v>
      </c>
      <c r="N50" s="217"/>
    </row>
    <row r="51" spans="1:14" ht="17.25" thickBot="1" x14ac:dyDescent="0.35">
      <c r="A51" s="410"/>
      <c r="B51" s="128" t="s">
        <v>42</v>
      </c>
      <c r="C51" s="147">
        <f>SUM(C13:C50)</f>
        <v>20139</v>
      </c>
      <c r="D51" s="66">
        <f>SUM(D13:D50)</f>
        <v>140</v>
      </c>
      <c r="E51" s="69">
        <f>SUM(E13:E50)</f>
        <v>545</v>
      </c>
      <c r="F51" s="67">
        <f>SUM(F13:F50)</f>
        <v>0</v>
      </c>
      <c r="G51" s="148" t="s">
        <v>22</v>
      </c>
      <c r="H51" s="67">
        <f>SUM(H13:H50)</f>
        <v>1266</v>
      </c>
      <c r="I51" s="67">
        <f>SUM(I13:I50)</f>
        <v>18809.5</v>
      </c>
      <c r="K51" s="131" t="s">
        <v>105</v>
      </c>
      <c r="L51" s="172" t="e">
        <f>SUM(L13:L50)/31</f>
        <v>#DIV/0!</v>
      </c>
      <c r="M51" s="172" t="e">
        <f>SUM(M13:M50)/31</f>
        <v>#DIV/0!</v>
      </c>
      <c r="N51" s="172" t="e">
        <f>SUM(N13:N50)/31</f>
        <v>#DIV/0!</v>
      </c>
    </row>
    <row r="52" spans="1:14" ht="17.25" x14ac:dyDescent="0.3">
      <c r="G52" s="97"/>
      <c r="H52" s="176" t="s">
        <v>66</v>
      </c>
    </row>
  </sheetData>
  <mergeCells count="23">
    <mergeCell ref="N23:N24"/>
    <mergeCell ref="N30:N31"/>
    <mergeCell ref="C9:D9"/>
    <mergeCell ref="E9:F9"/>
    <mergeCell ref="G9:H9"/>
    <mergeCell ref="I9:I10"/>
    <mergeCell ref="L23:L24"/>
    <mergeCell ref="M23:M24"/>
    <mergeCell ref="L30:L31"/>
    <mergeCell ref="M30:M31"/>
    <mergeCell ref="A9:A11"/>
    <mergeCell ref="B9:B11"/>
    <mergeCell ref="F12:G12"/>
    <mergeCell ref="A12:A51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8" orientation="portrait" r:id="rId1"/>
  <colBreaks count="1" manualBreakCount="1">
    <brk id="8" max="58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2</vt:i4>
      </vt:variant>
    </vt:vector>
  </HeadingPairs>
  <TitlesOfParts>
    <vt:vector size="35" baseType="lpstr">
      <vt:lpstr>사용법</vt:lpstr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결산</vt:lpstr>
      <vt:lpstr>'1일'!Print_Area</vt:lpstr>
      <vt:lpstr>결산!Print_Area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yoonis</cp:lastModifiedBy>
  <cp:lastPrinted>2022-01-08T02:12:48Z</cp:lastPrinted>
  <dcterms:created xsi:type="dcterms:W3CDTF">2021-11-17T07:36:39Z</dcterms:created>
  <dcterms:modified xsi:type="dcterms:W3CDTF">2026-03-31T10:26:39Z</dcterms:modified>
</cp:coreProperties>
</file>