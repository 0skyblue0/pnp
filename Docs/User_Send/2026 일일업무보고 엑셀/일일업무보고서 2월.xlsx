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oonis\Desktop\"/>
    </mc:Choice>
  </mc:AlternateContent>
  <bookViews>
    <workbookView xWindow="0" yWindow="0" windowWidth="15600" windowHeight="9150" tabRatio="922" firstSheet="10" activeTab="28"/>
  </bookViews>
  <sheets>
    <sheet name="사용법" sheetId="96" r:id="rId1"/>
    <sheet name="1일" sheetId="1" r:id="rId2"/>
    <sheet name="2일" sheetId="62" r:id="rId3"/>
    <sheet name="3일" sheetId="68" r:id="rId4"/>
    <sheet name="4일" sheetId="69" r:id="rId5"/>
    <sheet name="5일" sheetId="70" r:id="rId6"/>
    <sheet name="6일" sheetId="71" r:id="rId7"/>
    <sheet name="7일" sheetId="72" r:id="rId8"/>
    <sheet name="8일" sheetId="73" r:id="rId9"/>
    <sheet name="9일" sheetId="74" r:id="rId10"/>
    <sheet name="10일" sheetId="75" r:id="rId11"/>
    <sheet name="11일" sheetId="76" r:id="rId12"/>
    <sheet name="12일" sheetId="77" r:id="rId13"/>
    <sheet name="13일" sheetId="78" r:id="rId14"/>
    <sheet name="14일" sheetId="79" r:id="rId15"/>
    <sheet name="15일" sheetId="80" r:id="rId16"/>
    <sheet name="16일" sheetId="81" r:id="rId17"/>
    <sheet name="17일" sheetId="82" r:id="rId18"/>
    <sheet name="18일" sheetId="83" r:id="rId19"/>
    <sheet name="19일" sheetId="84" r:id="rId20"/>
    <sheet name="20일" sheetId="85" r:id="rId21"/>
    <sheet name="21일" sheetId="86" r:id="rId22"/>
    <sheet name="22일" sheetId="87" r:id="rId23"/>
    <sheet name="23일" sheetId="88" r:id="rId24"/>
    <sheet name="24일" sheetId="89" r:id="rId25"/>
    <sheet name="25일" sheetId="90" r:id="rId26"/>
    <sheet name="26일" sheetId="91" r:id="rId27"/>
    <sheet name="27일" sheetId="92" r:id="rId28"/>
    <sheet name="28일" sheetId="93" r:id="rId29"/>
    <sheet name="29일" sheetId="94" r:id="rId30"/>
    <sheet name="30일" sheetId="95" r:id="rId31"/>
    <sheet name="31일" sheetId="67" r:id="rId32"/>
    <sheet name="결산" sheetId="36" r:id="rId33"/>
  </sheets>
  <definedNames>
    <definedName name="_xlnm.Print_Area" localSheetId="10">'10일'!#REF!</definedName>
    <definedName name="_xlnm.Print_Area" localSheetId="11">'11일'!#REF!</definedName>
    <definedName name="_xlnm.Print_Area" localSheetId="12">'12일'!#REF!</definedName>
    <definedName name="_xlnm.Print_Area" localSheetId="13">'13일'!#REF!</definedName>
    <definedName name="_xlnm.Print_Area" localSheetId="14">'14일'!#REF!</definedName>
    <definedName name="_xlnm.Print_Area" localSheetId="15">'15일'!#REF!</definedName>
    <definedName name="_xlnm.Print_Area" localSheetId="16">'16일'!#REF!</definedName>
    <definedName name="_xlnm.Print_Area" localSheetId="17">'17일'!#REF!</definedName>
    <definedName name="_xlnm.Print_Area" localSheetId="18">'18일'!#REF!</definedName>
    <definedName name="_xlnm.Print_Area" localSheetId="19">'19일'!#REF!</definedName>
    <definedName name="_xlnm.Print_Area" localSheetId="1">'1일'!$A$1:$I$80</definedName>
    <definedName name="_xlnm.Print_Area" localSheetId="20">'20일'!#REF!</definedName>
    <definedName name="_xlnm.Print_Area" localSheetId="21">'21일'!#REF!</definedName>
    <definedName name="_xlnm.Print_Area" localSheetId="22">'22일'!#REF!</definedName>
    <definedName name="_xlnm.Print_Area" localSheetId="23">'23일'!#REF!</definedName>
    <definedName name="_xlnm.Print_Area" localSheetId="24">'24일'!#REF!</definedName>
    <definedName name="_xlnm.Print_Area" localSheetId="25">'25일'!#REF!</definedName>
    <definedName name="_xlnm.Print_Area" localSheetId="26">'26일'!#REF!</definedName>
    <definedName name="_xlnm.Print_Area" localSheetId="27">'27일'!#REF!</definedName>
    <definedName name="_xlnm.Print_Area" localSheetId="28">'28일'!#REF!</definedName>
    <definedName name="_xlnm.Print_Area" localSheetId="29">'29일'!#REF!</definedName>
    <definedName name="_xlnm.Print_Area" localSheetId="2">'2일'!#REF!</definedName>
    <definedName name="_xlnm.Print_Area" localSheetId="30">'30일'!#REF!</definedName>
    <definedName name="_xlnm.Print_Area" localSheetId="31">'31일'!#REF!</definedName>
    <definedName name="_xlnm.Print_Area" localSheetId="3">'3일'!#REF!</definedName>
    <definedName name="_xlnm.Print_Area" localSheetId="4">'4일'!#REF!</definedName>
    <definedName name="_xlnm.Print_Area" localSheetId="5">'5일'!#REF!</definedName>
    <definedName name="_xlnm.Print_Area" localSheetId="6">'6일'!#REF!</definedName>
    <definedName name="_xlnm.Print_Area" localSheetId="7">'7일'!#REF!</definedName>
    <definedName name="_xlnm.Print_Area" localSheetId="8">'8일'!#REF!</definedName>
    <definedName name="_xlnm.Print_Area" localSheetId="9">'9일'!#REF!</definedName>
    <definedName name="_xlnm.Print_Area" localSheetId="32">결산!$A$1:$I$41</definedName>
  </definedNames>
  <calcPr calcId="152511" calcMode="manual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" i="36" l="1"/>
  <c r="E51" i="1"/>
  <c r="C35" i="36"/>
  <c r="C36" i="36"/>
  <c r="C37" i="36"/>
  <c r="C38" i="36"/>
  <c r="C39" i="36"/>
  <c r="C40" i="36"/>
  <c r="C41" i="36"/>
  <c r="C42" i="36"/>
  <c r="C43" i="36"/>
  <c r="C44" i="36"/>
  <c r="C45" i="36"/>
  <c r="C46" i="36"/>
  <c r="C47" i="36"/>
  <c r="C48" i="36"/>
  <c r="C49" i="36"/>
  <c r="C50" i="36"/>
  <c r="I32" i="36"/>
  <c r="I33" i="36"/>
  <c r="I34" i="36"/>
  <c r="I38" i="36"/>
  <c r="I40" i="36"/>
  <c r="I42" i="36"/>
  <c r="I43" i="36"/>
  <c r="M43" i="36" s="1"/>
  <c r="I44" i="36"/>
  <c r="I45" i="36"/>
  <c r="I49" i="36"/>
  <c r="I50" i="36"/>
  <c r="I39" i="1"/>
  <c r="H32" i="36"/>
  <c r="H33" i="36"/>
  <c r="H34" i="36"/>
  <c r="H35" i="36"/>
  <c r="H36" i="36"/>
  <c r="H37" i="36"/>
  <c r="H38" i="36"/>
  <c r="H39" i="36"/>
  <c r="H40" i="36"/>
  <c r="H41" i="36"/>
  <c r="H42" i="36"/>
  <c r="F32" i="36"/>
  <c r="F33" i="36"/>
  <c r="F34" i="36"/>
  <c r="F35" i="36"/>
  <c r="F36" i="36"/>
  <c r="F37" i="36"/>
  <c r="F38" i="36"/>
  <c r="F39" i="36"/>
  <c r="F40" i="36"/>
  <c r="F41" i="36"/>
  <c r="F42" i="36"/>
  <c r="E32" i="36"/>
  <c r="E33" i="36"/>
  <c r="E34" i="36"/>
  <c r="E35" i="36"/>
  <c r="E36" i="36"/>
  <c r="E37" i="36"/>
  <c r="E38" i="36"/>
  <c r="E39" i="36"/>
  <c r="E40" i="36"/>
  <c r="E41" i="36"/>
  <c r="E42" i="36"/>
  <c r="D32" i="36"/>
  <c r="D33" i="36"/>
  <c r="D34" i="36"/>
  <c r="D35" i="36"/>
  <c r="D36" i="36"/>
  <c r="D37" i="36"/>
  <c r="D38" i="36"/>
  <c r="D39" i="36"/>
  <c r="D40" i="36"/>
  <c r="D41" i="36"/>
  <c r="D42" i="36"/>
  <c r="C32" i="36"/>
  <c r="C33" i="36"/>
  <c r="C34" i="36"/>
  <c r="I39" i="62"/>
  <c r="I41" i="62"/>
  <c r="I41" i="68"/>
  <c r="I39" i="68" s="1"/>
  <c r="I41" i="69"/>
  <c r="I39" i="69" s="1"/>
  <c r="I41" i="70"/>
  <c r="I41" i="71"/>
  <c r="I39" i="71" s="1"/>
  <c r="I41" i="72"/>
  <c r="I39" i="72" s="1"/>
  <c r="I41" i="73"/>
  <c r="I39" i="73" s="1"/>
  <c r="I41" i="74"/>
  <c r="I39" i="74" s="1"/>
  <c r="I39" i="75"/>
  <c r="I41" i="75"/>
  <c r="I41" i="76"/>
  <c r="I39" i="76" s="1"/>
  <c r="I41" i="77"/>
  <c r="I39" i="77" s="1"/>
  <c r="I41" i="78"/>
  <c r="I41" i="79"/>
  <c r="I39" i="79" s="1"/>
  <c r="I41" i="80"/>
  <c r="I39" i="80" s="1"/>
  <c r="I41" i="81"/>
  <c r="I39" i="81" s="1"/>
  <c r="I41" i="82"/>
  <c r="I39" i="82" s="1"/>
  <c r="I39" i="83"/>
  <c r="I41" i="83"/>
  <c r="I41" i="84"/>
  <c r="I39" i="84" s="1"/>
  <c r="I41" i="85"/>
  <c r="I39" i="85" s="1"/>
  <c r="I41" i="86"/>
  <c r="I39" i="86" s="1"/>
  <c r="I41" i="87"/>
  <c r="I39" i="87" s="1"/>
  <c r="I41" i="88"/>
  <c r="I39" i="88" s="1"/>
  <c r="I41" i="89"/>
  <c r="I39" i="89" s="1"/>
  <c r="I41" i="90"/>
  <c r="I39" i="90" s="1"/>
  <c r="I39" i="91"/>
  <c r="I41" i="91"/>
  <c r="I41" i="92"/>
  <c r="I39" i="92" s="1"/>
  <c r="I41" i="93"/>
  <c r="I39" i="93" s="1"/>
  <c r="I41" i="94"/>
  <c r="I39" i="94" s="1"/>
  <c r="I41" i="95"/>
  <c r="I39" i="95" s="1"/>
  <c r="I41" i="67"/>
  <c r="I39" i="67" s="1"/>
  <c r="I41" i="1"/>
  <c r="I39" i="70"/>
  <c r="I39" i="78"/>
  <c r="I37" i="62"/>
  <c r="I37" i="68"/>
  <c r="I37" i="71"/>
  <c r="I37" i="72"/>
  <c r="I37" i="75"/>
  <c r="I37" i="76"/>
  <c r="I37" i="79"/>
  <c r="I37" i="80"/>
  <c r="I37" i="83"/>
  <c r="I37" i="84"/>
  <c r="I37" i="86"/>
  <c r="I37" i="87"/>
  <c r="I37" i="88"/>
  <c r="I37" i="91"/>
  <c r="I37" i="92"/>
  <c r="I37" i="94"/>
  <c r="I37" i="95"/>
  <c r="I37" i="67"/>
  <c r="I37" i="69"/>
  <c r="I37" i="70"/>
  <c r="I37" i="73"/>
  <c r="I37" i="74"/>
  <c r="I37" i="77"/>
  <c r="I37" i="78"/>
  <c r="I37" i="81"/>
  <c r="I37" i="82"/>
  <c r="I37" i="85"/>
  <c r="I37" i="89"/>
  <c r="I37" i="90"/>
  <c r="I37" i="93"/>
  <c r="I37" i="1"/>
  <c r="I37" i="36" s="1"/>
  <c r="I13" i="62"/>
  <c r="I13" i="68"/>
  <c r="I13" i="69"/>
  <c r="I13" i="70"/>
  <c r="I13" i="71"/>
  <c r="I13" i="72"/>
  <c r="I13" i="73"/>
  <c r="I13" i="74"/>
  <c r="I13" i="75"/>
  <c r="I13" i="76"/>
  <c r="I13" i="77"/>
  <c r="I13" i="78"/>
  <c r="I13" i="79"/>
  <c r="I13" i="80"/>
  <c r="I13" i="81"/>
  <c r="I13" i="82"/>
  <c r="I13" i="83"/>
  <c r="I13" i="84"/>
  <c r="I13" i="85"/>
  <c r="I13" i="86"/>
  <c r="I13" i="87"/>
  <c r="I13" i="88"/>
  <c r="I13" i="89"/>
  <c r="I13" i="90"/>
  <c r="I13" i="91"/>
  <c r="I13" i="92"/>
  <c r="I13" i="93"/>
  <c r="I13" i="94"/>
  <c r="I13" i="95"/>
  <c r="I13" i="67"/>
  <c r="I13" i="1"/>
  <c r="I36" i="62"/>
  <c r="I36" i="68"/>
  <c r="I36" i="69"/>
  <c r="I36" i="70"/>
  <c r="I36" i="71"/>
  <c r="I36" i="72"/>
  <c r="I36" i="73"/>
  <c r="I36" i="74"/>
  <c r="I36" i="75"/>
  <c r="I36" i="76"/>
  <c r="I36" i="77"/>
  <c r="I36" i="78"/>
  <c r="I36" i="79"/>
  <c r="I36" i="80"/>
  <c r="I36" i="81"/>
  <c r="I36" i="82"/>
  <c r="I36" i="83"/>
  <c r="I36" i="84"/>
  <c r="I36" i="85"/>
  <c r="I36" i="86"/>
  <c r="I36" i="87"/>
  <c r="I36" i="88"/>
  <c r="I36" i="89"/>
  <c r="I36" i="90"/>
  <c r="I36" i="91"/>
  <c r="I36" i="92"/>
  <c r="I36" i="93"/>
  <c r="I36" i="94"/>
  <c r="I36" i="95"/>
  <c r="I36" i="67"/>
  <c r="I36" i="1"/>
  <c r="I14" i="36"/>
  <c r="D13" i="36"/>
  <c r="E13" i="36"/>
  <c r="F13" i="36"/>
  <c r="H13" i="36"/>
  <c r="D14" i="36"/>
  <c r="E14" i="36"/>
  <c r="F14" i="36"/>
  <c r="H14" i="36"/>
  <c r="D15" i="36"/>
  <c r="E15" i="36"/>
  <c r="F15" i="36"/>
  <c r="H15" i="36"/>
  <c r="D16" i="36"/>
  <c r="E16" i="36"/>
  <c r="F16" i="36"/>
  <c r="H16" i="36"/>
  <c r="I16" i="36"/>
  <c r="D17" i="36"/>
  <c r="E17" i="36"/>
  <c r="F17" i="36"/>
  <c r="H17" i="36"/>
  <c r="D18" i="36"/>
  <c r="E18" i="36"/>
  <c r="F18" i="36"/>
  <c r="H18" i="36"/>
  <c r="I18" i="36"/>
  <c r="D19" i="36"/>
  <c r="E19" i="36"/>
  <c r="F19" i="36"/>
  <c r="H19" i="36"/>
  <c r="D20" i="36"/>
  <c r="E20" i="36"/>
  <c r="F20" i="36"/>
  <c r="H20" i="36"/>
  <c r="I20" i="36"/>
  <c r="D21" i="36"/>
  <c r="E21" i="36"/>
  <c r="F21" i="36"/>
  <c r="H21" i="36"/>
  <c r="D22" i="36"/>
  <c r="E22" i="36"/>
  <c r="F22" i="36"/>
  <c r="H22" i="36"/>
  <c r="D23" i="36"/>
  <c r="E23" i="36"/>
  <c r="F23" i="36"/>
  <c r="H23" i="36"/>
  <c r="D24" i="36"/>
  <c r="E24" i="36"/>
  <c r="F24" i="36"/>
  <c r="H24" i="36"/>
  <c r="I24" i="36"/>
  <c r="D25" i="36"/>
  <c r="E25" i="36"/>
  <c r="F25" i="36"/>
  <c r="H25" i="36"/>
  <c r="D26" i="36"/>
  <c r="E26" i="36"/>
  <c r="F26" i="36"/>
  <c r="H26" i="36"/>
  <c r="D27" i="36"/>
  <c r="E27" i="36"/>
  <c r="F27" i="36"/>
  <c r="H27" i="36"/>
  <c r="D28" i="36"/>
  <c r="E28" i="36"/>
  <c r="F28" i="36"/>
  <c r="H28" i="36"/>
  <c r="D29" i="36"/>
  <c r="E29" i="36"/>
  <c r="F29" i="36"/>
  <c r="H29" i="36"/>
  <c r="D30" i="36"/>
  <c r="E30" i="36"/>
  <c r="F30" i="36"/>
  <c r="H30" i="36"/>
  <c r="D31" i="36"/>
  <c r="E31" i="36"/>
  <c r="F31" i="36"/>
  <c r="H31" i="36"/>
  <c r="I31" i="36"/>
  <c r="D43" i="36"/>
  <c r="E43" i="36"/>
  <c r="F43" i="36"/>
  <c r="H43" i="36"/>
  <c r="D44" i="36"/>
  <c r="E44" i="36"/>
  <c r="F44" i="36"/>
  <c r="H44" i="36"/>
  <c r="D45" i="36"/>
  <c r="E45" i="36"/>
  <c r="F45" i="36"/>
  <c r="H45" i="36"/>
  <c r="D46" i="36"/>
  <c r="E46" i="36"/>
  <c r="F46" i="36"/>
  <c r="H46" i="36"/>
  <c r="D47" i="36"/>
  <c r="E47" i="36"/>
  <c r="F47" i="36"/>
  <c r="H47" i="36"/>
  <c r="D48" i="36"/>
  <c r="E48" i="36"/>
  <c r="F48" i="36"/>
  <c r="H48" i="36"/>
  <c r="D49" i="36"/>
  <c r="M49" i="36" s="1"/>
  <c r="E49" i="36"/>
  <c r="F49" i="36"/>
  <c r="H49" i="36"/>
  <c r="D50" i="36"/>
  <c r="E50" i="36"/>
  <c r="F50" i="36"/>
  <c r="H50" i="36"/>
  <c r="C14" i="36"/>
  <c r="C15" i="36"/>
  <c r="C16" i="36"/>
  <c r="C17" i="36"/>
  <c r="C18" i="36"/>
  <c r="C19" i="36"/>
  <c r="C20" i="36"/>
  <c r="C21" i="36"/>
  <c r="C22" i="36"/>
  <c r="C23" i="36"/>
  <c r="C24" i="36"/>
  <c r="C25" i="36"/>
  <c r="C26" i="36"/>
  <c r="C27" i="36"/>
  <c r="C28" i="36"/>
  <c r="C29" i="36"/>
  <c r="C30" i="36"/>
  <c r="C31" i="36"/>
  <c r="C13" i="36"/>
  <c r="C11" i="36"/>
  <c r="H51" i="67"/>
  <c r="F51" i="67"/>
  <c r="E51" i="67"/>
  <c r="D51" i="67"/>
  <c r="C51" i="67"/>
  <c r="I48" i="67"/>
  <c r="I47" i="67"/>
  <c r="I46" i="67"/>
  <c r="I30" i="67"/>
  <c r="I29" i="67"/>
  <c r="I28" i="67"/>
  <c r="I27" i="67"/>
  <c r="I26" i="67"/>
  <c r="I25" i="67"/>
  <c r="I23" i="67"/>
  <c r="I22" i="67"/>
  <c r="I21" i="67"/>
  <c r="I19" i="67"/>
  <c r="I17" i="67"/>
  <c r="I15" i="67"/>
  <c r="F11" i="67"/>
  <c r="H11" i="67" s="1"/>
  <c r="E11" i="67"/>
  <c r="G11" i="67" s="1"/>
  <c r="I11" i="67" s="1"/>
  <c r="H51" i="95"/>
  <c r="F51" i="95"/>
  <c r="E51" i="95"/>
  <c r="D51" i="95"/>
  <c r="C51" i="95"/>
  <c r="I48" i="95"/>
  <c r="I47" i="95"/>
  <c r="I46" i="95"/>
  <c r="I30" i="95"/>
  <c r="I29" i="95"/>
  <c r="I28" i="95"/>
  <c r="I27" i="95"/>
  <c r="I26" i="95"/>
  <c r="I25" i="95"/>
  <c r="I23" i="95"/>
  <c r="I22" i="95"/>
  <c r="I21" i="95"/>
  <c r="I19" i="95"/>
  <c r="I17" i="95"/>
  <c r="I15" i="95"/>
  <c r="F11" i="95"/>
  <c r="H11" i="95" s="1"/>
  <c r="I11" i="95" s="1"/>
  <c r="E11" i="95"/>
  <c r="G11" i="95" s="1"/>
  <c r="H51" i="94"/>
  <c r="F51" i="94"/>
  <c r="E51" i="94"/>
  <c r="D51" i="94"/>
  <c r="C51" i="94"/>
  <c r="I48" i="94"/>
  <c r="I47" i="94"/>
  <c r="I46" i="94"/>
  <c r="I30" i="94"/>
  <c r="I29" i="94"/>
  <c r="I28" i="94"/>
  <c r="I27" i="94"/>
  <c r="I26" i="94"/>
  <c r="I25" i="94"/>
  <c r="I23" i="94"/>
  <c r="I22" i="94"/>
  <c r="I21" i="94"/>
  <c r="I19" i="94"/>
  <c r="I17" i="94"/>
  <c r="I15" i="94"/>
  <c r="G11" i="94"/>
  <c r="I11" i="94" s="1"/>
  <c r="F11" i="94"/>
  <c r="H11" i="94" s="1"/>
  <c r="E11" i="94"/>
  <c r="H51" i="93"/>
  <c r="F51" i="93"/>
  <c r="E51" i="93"/>
  <c r="D51" i="93"/>
  <c r="C51" i="93"/>
  <c r="I48" i="93"/>
  <c r="I47" i="93"/>
  <c r="I46" i="93"/>
  <c r="I30" i="93"/>
  <c r="I29" i="93"/>
  <c r="I28" i="93"/>
  <c r="I27" i="93"/>
  <c r="I26" i="93"/>
  <c r="I25" i="93"/>
  <c r="I23" i="93"/>
  <c r="I22" i="93"/>
  <c r="I21" i="93"/>
  <c r="I19" i="93"/>
  <c r="I17" i="93"/>
  <c r="I15" i="93"/>
  <c r="F11" i="93"/>
  <c r="H11" i="93" s="1"/>
  <c r="E11" i="93"/>
  <c r="G11" i="93" s="1"/>
  <c r="H51" i="92"/>
  <c r="F51" i="92"/>
  <c r="E51" i="92"/>
  <c r="D51" i="92"/>
  <c r="C51" i="92"/>
  <c r="I48" i="92"/>
  <c r="I47" i="92"/>
  <c r="I46" i="92"/>
  <c r="I30" i="92"/>
  <c r="I29" i="92"/>
  <c r="I28" i="92"/>
  <c r="I27" i="92"/>
  <c r="I26" i="92"/>
  <c r="I25" i="92"/>
  <c r="I23" i="92"/>
  <c r="I22" i="92"/>
  <c r="I21" i="92"/>
  <c r="I19" i="92"/>
  <c r="I17" i="92"/>
  <c r="I15" i="92"/>
  <c r="F11" i="92"/>
  <c r="H11" i="92" s="1"/>
  <c r="E11" i="92"/>
  <c r="G11" i="92" s="1"/>
  <c r="I11" i="92" s="1"/>
  <c r="H51" i="91"/>
  <c r="F51" i="91"/>
  <c r="E51" i="91"/>
  <c r="D51" i="91"/>
  <c r="C51" i="91"/>
  <c r="I48" i="91"/>
  <c r="I47" i="91"/>
  <c r="I46" i="91"/>
  <c r="I30" i="91"/>
  <c r="I29" i="91"/>
  <c r="I28" i="91"/>
  <c r="I27" i="91"/>
  <c r="I26" i="91"/>
  <c r="I25" i="91"/>
  <c r="I23" i="91"/>
  <c r="I22" i="91"/>
  <c r="I21" i="91"/>
  <c r="I19" i="91"/>
  <c r="I17" i="91"/>
  <c r="I15" i="91"/>
  <c r="F11" i="91"/>
  <c r="H11" i="91" s="1"/>
  <c r="E11" i="91"/>
  <c r="G11" i="91" s="1"/>
  <c r="I11" i="91" s="1"/>
  <c r="H51" i="90"/>
  <c r="F51" i="90"/>
  <c r="E51" i="90"/>
  <c r="D51" i="90"/>
  <c r="C51" i="90"/>
  <c r="I48" i="90"/>
  <c r="I47" i="90"/>
  <c r="I46" i="90"/>
  <c r="I30" i="90"/>
  <c r="I29" i="90"/>
  <c r="I28" i="90"/>
  <c r="I27" i="90"/>
  <c r="I26" i="90"/>
  <c r="I25" i="90"/>
  <c r="I23" i="90"/>
  <c r="I22" i="90"/>
  <c r="I21" i="90"/>
  <c r="I19" i="90"/>
  <c r="I17" i="90"/>
  <c r="I15" i="90"/>
  <c r="F11" i="90"/>
  <c r="H11" i="90" s="1"/>
  <c r="E11" i="90"/>
  <c r="G11" i="90" s="1"/>
  <c r="H51" i="89"/>
  <c r="F51" i="89"/>
  <c r="E51" i="89"/>
  <c r="D51" i="89"/>
  <c r="C51" i="89"/>
  <c r="I48" i="89"/>
  <c r="I47" i="89"/>
  <c r="I46" i="89"/>
  <c r="I30" i="89"/>
  <c r="I29" i="89"/>
  <c r="I28" i="89"/>
  <c r="I27" i="89"/>
  <c r="I26" i="89"/>
  <c r="I25" i="89"/>
  <c r="I23" i="89"/>
  <c r="I22" i="89"/>
  <c r="I21" i="89"/>
  <c r="I19" i="89"/>
  <c r="I17" i="89"/>
  <c r="I15" i="89"/>
  <c r="F11" i="89"/>
  <c r="H11" i="89" s="1"/>
  <c r="E11" i="89"/>
  <c r="G11" i="89" s="1"/>
  <c r="H51" i="88"/>
  <c r="F51" i="88"/>
  <c r="E51" i="88"/>
  <c r="D51" i="88"/>
  <c r="C51" i="88"/>
  <c r="I48" i="88"/>
  <c r="I47" i="88"/>
  <c r="I46" i="88"/>
  <c r="I30" i="88"/>
  <c r="I29" i="88"/>
  <c r="I28" i="88"/>
  <c r="I27" i="88"/>
  <c r="I26" i="88"/>
  <c r="I25" i="88"/>
  <c r="I23" i="88"/>
  <c r="I22" i="88"/>
  <c r="I21" i="88"/>
  <c r="I19" i="88"/>
  <c r="I17" i="88"/>
  <c r="I15" i="88"/>
  <c r="F11" i="88"/>
  <c r="H11" i="88" s="1"/>
  <c r="E11" i="88"/>
  <c r="G11" i="88" s="1"/>
  <c r="I11" i="88" s="1"/>
  <c r="H51" i="87"/>
  <c r="F51" i="87"/>
  <c r="E51" i="87"/>
  <c r="D51" i="87"/>
  <c r="C51" i="87"/>
  <c r="I48" i="87"/>
  <c r="I47" i="87"/>
  <c r="I46" i="87"/>
  <c r="I30" i="87"/>
  <c r="I29" i="87"/>
  <c r="I28" i="87"/>
  <c r="I27" i="87"/>
  <c r="I26" i="87"/>
  <c r="I25" i="87"/>
  <c r="I23" i="87"/>
  <c r="I22" i="87"/>
  <c r="I21" i="87"/>
  <c r="I19" i="87"/>
  <c r="I17" i="87"/>
  <c r="I15" i="87"/>
  <c r="F11" i="87"/>
  <c r="H11" i="87" s="1"/>
  <c r="E11" i="87"/>
  <c r="G11" i="87" s="1"/>
  <c r="H51" i="86"/>
  <c r="F51" i="86"/>
  <c r="E51" i="86"/>
  <c r="D51" i="86"/>
  <c r="C51" i="86"/>
  <c r="I48" i="86"/>
  <c r="I47" i="86"/>
  <c r="I46" i="86"/>
  <c r="I30" i="86"/>
  <c r="I29" i="86"/>
  <c r="I28" i="86"/>
  <c r="I27" i="86"/>
  <c r="I26" i="86"/>
  <c r="I25" i="86"/>
  <c r="I23" i="86"/>
  <c r="I22" i="86"/>
  <c r="I21" i="86"/>
  <c r="I19" i="86"/>
  <c r="I17" i="86"/>
  <c r="I15" i="86"/>
  <c r="F11" i="86"/>
  <c r="H11" i="86" s="1"/>
  <c r="E11" i="86"/>
  <c r="G11" i="86" s="1"/>
  <c r="H51" i="85"/>
  <c r="F51" i="85"/>
  <c r="E51" i="85"/>
  <c r="D51" i="85"/>
  <c r="C51" i="85"/>
  <c r="I48" i="85"/>
  <c r="I47" i="85"/>
  <c r="I46" i="85"/>
  <c r="I30" i="85"/>
  <c r="I29" i="85"/>
  <c r="I28" i="85"/>
  <c r="I27" i="85"/>
  <c r="I26" i="85"/>
  <c r="I25" i="85"/>
  <c r="I23" i="85"/>
  <c r="I22" i="85"/>
  <c r="I21" i="85"/>
  <c r="I19" i="85"/>
  <c r="I17" i="85"/>
  <c r="I15" i="85"/>
  <c r="F11" i="85"/>
  <c r="H11" i="85" s="1"/>
  <c r="E11" i="85"/>
  <c r="G11" i="85" s="1"/>
  <c r="H51" i="84"/>
  <c r="F51" i="84"/>
  <c r="E51" i="84"/>
  <c r="D51" i="84"/>
  <c r="C51" i="84"/>
  <c r="I48" i="84"/>
  <c r="I47" i="84"/>
  <c r="I46" i="84"/>
  <c r="I30" i="84"/>
  <c r="I29" i="84"/>
  <c r="I28" i="84"/>
  <c r="I27" i="84"/>
  <c r="I26" i="84"/>
  <c r="I25" i="84"/>
  <c r="I23" i="84"/>
  <c r="I22" i="84"/>
  <c r="I21" i="84"/>
  <c r="I19" i="84"/>
  <c r="I17" i="84"/>
  <c r="I15" i="84"/>
  <c r="H11" i="84"/>
  <c r="F11" i="84"/>
  <c r="E11" i="84"/>
  <c r="G11" i="84" s="1"/>
  <c r="I11" i="84" s="1"/>
  <c r="H51" i="83"/>
  <c r="F51" i="83"/>
  <c r="E51" i="83"/>
  <c r="D51" i="83"/>
  <c r="C51" i="83"/>
  <c r="I48" i="83"/>
  <c r="I47" i="83"/>
  <c r="I46" i="83"/>
  <c r="I30" i="83"/>
  <c r="I29" i="83"/>
  <c r="I28" i="83"/>
  <c r="I27" i="83"/>
  <c r="I26" i="83"/>
  <c r="I25" i="83"/>
  <c r="I23" i="83"/>
  <c r="I22" i="83"/>
  <c r="I21" i="83"/>
  <c r="I19" i="83"/>
  <c r="I17" i="83"/>
  <c r="I15" i="83"/>
  <c r="F11" i="83"/>
  <c r="H11" i="83" s="1"/>
  <c r="E11" i="83"/>
  <c r="G11" i="83" s="1"/>
  <c r="H51" i="82"/>
  <c r="F51" i="82"/>
  <c r="E51" i="82"/>
  <c r="D51" i="82"/>
  <c r="C51" i="82"/>
  <c r="I48" i="82"/>
  <c r="I47" i="82"/>
  <c r="I46" i="82"/>
  <c r="I30" i="82"/>
  <c r="I29" i="82"/>
  <c r="I28" i="82"/>
  <c r="I27" i="82"/>
  <c r="I26" i="82"/>
  <c r="I25" i="82"/>
  <c r="I23" i="82"/>
  <c r="I22" i="82"/>
  <c r="I21" i="82"/>
  <c r="I19" i="82"/>
  <c r="I17" i="82"/>
  <c r="I15" i="82"/>
  <c r="F11" i="82"/>
  <c r="H11" i="82" s="1"/>
  <c r="E11" i="82"/>
  <c r="G11" i="82" s="1"/>
  <c r="H51" i="81"/>
  <c r="F51" i="81"/>
  <c r="E51" i="81"/>
  <c r="D51" i="81"/>
  <c r="C51" i="81"/>
  <c r="I48" i="81"/>
  <c r="I47" i="81"/>
  <c r="I46" i="81"/>
  <c r="I30" i="81"/>
  <c r="I29" i="81"/>
  <c r="I28" i="81"/>
  <c r="I27" i="81"/>
  <c r="I26" i="81"/>
  <c r="I25" i="81"/>
  <c r="I23" i="81"/>
  <c r="I22" i="81"/>
  <c r="I21" i="81"/>
  <c r="I19" i="81"/>
  <c r="I17" i="81"/>
  <c r="I15" i="81"/>
  <c r="F11" i="81"/>
  <c r="H11" i="81" s="1"/>
  <c r="I11" i="81" s="1"/>
  <c r="E11" i="81"/>
  <c r="G11" i="81" s="1"/>
  <c r="H51" i="80"/>
  <c r="F51" i="80"/>
  <c r="E51" i="80"/>
  <c r="D51" i="80"/>
  <c r="C51" i="80"/>
  <c r="I48" i="80"/>
  <c r="I47" i="80"/>
  <c r="I46" i="80"/>
  <c r="I30" i="80"/>
  <c r="I29" i="80"/>
  <c r="I28" i="80"/>
  <c r="I27" i="80"/>
  <c r="I26" i="80"/>
  <c r="I25" i="80"/>
  <c r="I23" i="80"/>
  <c r="I22" i="80"/>
  <c r="I21" i="80"/>
  <c r="I19" i="80"/>
  <c r="I17" i="80"/>
  <c r="I15" i="80"/>
  <c r="F11" i="80"/>
  <c r="H11" i="80" s="1"/>
  <c r="E11" i="80"/>
  <c r="G11" i="80" s="1"/>
  <c r="H51" i="79"/>
  <c r="F51" i="79"/>
  <c r="E51" i="79"/>
  <c r="D51" i="79"/>
  <c r="C51" i="79"/>
  <c r="I48" i="79"/>
  <c r="I47" i="79"/>
  <c r="I46" i="79"/>
  <c r="I30" i="79"/>
  <c r="I29" i="79"/>
  <c r="I28" i="79"/>
  <c r="I27" i="79"/>
  <c r="I26" i="79"/>
  <c r="I25" i="79"/>
  <c r="I23" i="79"/>
  <c r="I22" i="79"/>
  <c r="I21" i="79"/>
  <c r="I19" i="79"/>
  <c r="I17" i="79"/>
  <c r="I15" i="79"/>
  <c r="F11" i="79"/>
  <c r="H11" i="79" s="1"/>
  <c r="E11" i="79"/>
  <c r="G11" i="79" s="1"/>
  <c r="H51" i="78"/>
  <c r="F51" i="78"/>
  <c r="E51" i="78"/>
  <c r="D51" i="78"/>
  <c r="C51" i="78"/>
  <c r="I48" i="78"/>
  <c r="I47" i="78"/>
  <c r="I46" i="78"/>
  <c r="I30" i="78"/>
  <c r="I29" i="78"/>
  <c r="I28" i="78"/>
  <c r="I27" i="78"/>
  <c r="I26" i="78"/>
  <c r="I25" i="78"/>
  <c r="I23" i="78"/>
  <c r="I22" i="78"/>
  <c r="I21" i="78"/>
  <c r="I19" i="78"/>
  <c r="I17" i="78"/>
  <c r="I15" i="78"/>
  <c r="F11" i="78"/>
  <c r="H11" i="78" s="1"/>
  <c r="E11" i="78"/>
  <c r="G11" i="78" s="1"/>
  <c r="H51" i="77"/>
  <c r="F51" i="77"/>
  <c r="E51" i="77"/>
  <c r="D51" i="77"/>
  <c r="C51" i="77"/>
  <c r="I48" i="77"/>
  <c r="I47" i="77"/>
  <c r="I46" i="77"/>
  <c r="I30" i="77"/>
  <c r="I29" i="77"/>
  <c r="I28" i="77"/>
  <c r="I27" i="77"/>
  <c r="I26" i="77"/>
  <c r="I25" i="77"/>
  <c r="I23" i="77"/>
  <c r="I22" i="77"/>
  <c r="I21" i="77"/>
  <c r="I19" i="77"/>
  <c r="I17" i="77"/>
  <c r="I15" i="77"/>
  <c r="F11" i="77"/>
  <c r="H11" i="77" s="1"/>
  <c r="E11" i="77"/>
  <c r="G11" i="77" s="1"/>
  <c r="H51" i="76"/>
  <c r="F51" i="76"/>
  <c r="E51" i="76"/>
  <c r="D51" i="76"/>
  <c r="C51" i="76"/>
  <c r="I48" i="76"/>
  <c r="I47" i="76"/>
  <c r="I46" i="76"/>
  <c r="I30" i="76"/>
  <c r="I29" i="76"/>
  <c r="I28" i="76"/>
  <c r="I27" i="76"/>
  <c r="I26" i="76"/>
  <c r="I25" i="76"/>
  <c r="I23" i="76"/>
  <c r="I22" i="76"/>
  <c r="I21" i="76"/>
  <c r="I19" i="76"/>
  <c r="I17" i="76"/>
  <c r="I15" i="76"/>
  <c r="F11" i="76"/>
  <c r="H11" i="76" s="1"/>
  <c r="E11" i="76"/>
  <c r="G11" i="76" s="1"/>
  <c r="H51" i="75"/>
  <c r="F51" i="75"/>
  <c r="E51" i="75"/>
  <c r="D51" i="75"/>
  <c r="C51" i="75"/>
  <c r="I48" i="75"/>
  <c r="I47" i="75"/>
  <c r="I46" i="75"/>
  <c r="I30" i="75"/>
  <c r="I29" i="75"/>
  <c r="I28" i="75"/>
  <c r="I27" i="75"/>
  <c r="I26" i="75"/>
  <c r="I25" i="75"/>
  <c r="I23" i="75"/>
  <c r="I22" i="75"/>
  <c r="I21" i="75"/>
  <c r="I19" i="75"/>
  <c r="I17" i="75"/>
  <c r="I15" i="75"/>
  <c r="F11" i="75"/>
  <c r="H11" i="75" s="1"/>
  <c r="E11" i="75"/>
  <c r="G11" i="75" s="1"/>
  <c r="H51" i="74"/>
  <c r="F51" i="74"/>
  <c r="E51" i="74"/>
  <c r="D51" i="74"/>
  <c r="C51" i="74"/>
  <c r="I48" i="74"/>
  <c r="I47" i="74"/>
  <c r="I46" i="74"/>
  <c r="I30" i="74"/>
  <c r="I29" i="74"/>
  <c r="I28" i="74"/>
  <c r="I27" i="74"/>
  <c r="I26" i="74"/>
  <c r="I25" i="74"/>
  <c r="I23" i="74"/>
  <c r="I22" i="74"/>
  <c r="I21" i="74"/>
  <c r="I19" i="74"/>
  <c r="I17" i="74"/>
  <c r="I15" i="74"/>
  <c r="F11" i="74"/>
  <c r="H11" i="74" s="1"/>
  <c r="E11" i="74"/>
  <c r="G11" i="74" s="1"/>
  <c r="H51" i="73"/>
  <c r="F51" i="73"/>
  <c r="E51" i="73"/>
  <c r="D51" i="73"/>
  <c r="C51" i="73"/>
  <c r="I48" i="73"/>
  <c r="I47" i="73"/>
  <c r="I46" i="73"/>
  <c r="I30" i="73"/>
  <c r="I29" i="73"/>
  <c r="I28" i="73"/>
  <c r="I27" i="73"/>
  <c r="I26" i="73"/>
  <c r="I25" i="73"/>
  <c r="I23" i="73"/>
  <c r="I22" i="73"/>
  <c r="I21" i="73"/>
  <c r="I19" i="73"/>
  <c r="I17" i="73"/>
  <c r="I15" i="73"/>
  <c r="F11" i="73"/>
  <c r="H11" i="73" s="1"/>
  <c r="E11" i="73"/>
  <c r="G11" i="73" s="1"/>
  <c r="H51" i="72"/>
  <c r="F51" i="72"/>
  <c r="E51" i="72"/>
  <c r="D51" i="72"/>
  <c r="C51" i="72"/>
  <c r="I48" i="72"/>
  <c r="I47" i="72"/>
  <c r="I46" i="72"/>
  <c r="I30" i="72"/>
  <c r="I29" i="72"/>
  <c r="I28" i="72"/>
  <c r="I27" i="72"/>
  <c r="I26" i="72"/>
  <c r="I25" i="72"/>
  <c r="I23" i="72"/>
  <c r="I22" i="72"/>
  <c r="I21" i="72"/>
  <c r="I19" i="72"/>
  <c r="I17" i="72"/>
  <c r="I15" i="72"/>
  <c r="F11" i="72"/>
  <c r="H11" i="72" s="1"/>
  <c r="E11" i="72"/>
  <c r="G11" i="72" s="1"/>
  <c r="H51" i="71"/>
  <c r="F51" i="71"/>
  <c r="E51" i="71"/>
  <c r="D51" i="71"/>
  <c r="C51" i="71"/>
  <c r="I48" i="71"/>
  <c r="I47" i="71"/>
  <c r="I46" i="71"/>
  <c r="I30" i="71"/>
  <c r="I29" i="71"/>
  <c r="I28" i="71"/>
  <c r="I27" i="71"/>
  <c r="I26" i="71"/>
  <c r="I25" i="71"/>
  <c r="I23" i="71"/>
  <c r="I22" i="71"/>
  <c r="I21" i="71"/>
  <c r="I19" i="71"/>
  <c r="I17" i="71"/>
  <c r="I15" i="71"/>
  <c r="F11" i="71"/>
  <c r="H11" i="71" s="1"/>
  <c r="E11" i="71"/>
  <c r="G11" i="71" s="1"/>
  <c r="H51" i="70"/>
  <c r="F51" i="70"/>
  <c r="E51" i="70"/>
  <c r="D51" i="70"/>
  <c r="C51" i="70"/>
  <c r="I48" i="70"/>
  <c r="I47" i="70"/>
  <c r="I46" i="70"/>
  <c r="I30" i="70"/>
  <c r="I29" i="70"/>
  <c r="I28" i="70"/>
  <c r="I27" i="70"/>
  <c r="I26" i="70"/>
  <c r="I25" i="70"/>
  <c r="I23" i="70"/>
  <c r="I22" i="70"/>
  <c r="I21" i="70"/>
  <c r="I19" i="70"/>
  <c r="I17" i="70"/>
  <c r="I15" i="70"/>
  <c r="F11" i="70"/>
  <c r="H11" i="70" s="1"/>
  <c r="E11" i="70"/>
  <c r="G11" i="70" s="1"/>
  <c r="H51" i="69"/>
  <c r="F51" i="69"/>
  <c r="E51" i="69"/>
  <c r="D51" i="69"/>
  <c r="C51" i="69"/>
  <c r="I48" i="69"/>
  <c r="I47" i="69"/>
  <c r="I46" i="69"/>
  <c r="I30" i="69"/>
  <c r="I29" i="69"/>
  <c r="I28" i="69"/>
  <c r="I27" i="69"/>
  <c r="I26" i="69"/>
  <c r="I25" i="69"/>
  <c r="I23" i="69"/>
  <c r="I22" i="69"/>
  <c r="I21" i="69"/>
  <c r="I19" i="69"/>
  <c r="I17" i="69"/>
  <c r="I15" i="69"/>
  <c r="F11" i="69"/>
  <c r="H11" i="69" s="1"/>
  <c r="E11" i="69"/>
  <c r="G11" i="69" s="1"/>
  <c r="H51" i="68"/>
  <c r="F51" i="68"/>
  <c r="E51" i="68"/>
  <c r="D51" i="68"/>
  <c r="C51" i="68"/>
  <c r="I48" i="68"/>
  <c r="I47" i="68"/>
  <c r="I46" i="68"/>
  <c r="I30" i="68"/>
  <c r="I29" i="68"/>
  <c r="I28" i="68"/>
  <c r="I27" i="68"/>
  <c r="I26" i="68"/>
  <c r="I25" i="68"/>
  <c r="I23" i="68"/>
  <c r="I22" i="68"/>
  <c r="I21" i="68"/>
  <c r="I19" i="68"/>
  <c r="I17" i="68"/>
  <c r="I15" i="68"/>
  <c r="F11" i="68"/>
  <c r="H11" i="68" s="1"/>
  <c r="E11" i="68"/>
  <c r="G11" i="68" s="1"/>
  <c r="H51" i="62"/>
  <c r="F51" i="62"/>
  <c r="E51" i="62"/>
  <c r="D51" i="62"/>
  <c r="C51" i="62"/>
  <c r="I48" i="62"/>
  <c r="I47" i="62"/>
  <c r="I46" i="62"/>
  <c r="I30" i="62"/>
  <c r="I29" i="62"/>
  <c r="I28" i="62"/>
  <c r="I27" i="62"/>
  <c r="I26" i="62"/>
  <c r="I25" i="62"/>
  <c r="I23" i="62"/>
  <c r="I22" i="62"/>
  <c r="I21" i="62"/>
  <c r="I19" i="62"/>
  <c r="I17" i="62"/>
  <c r="I15" i="62"/>
  <c r="F11" i="62"/>
  <c r="H11" i="62" s="1"/>
  <c r="E11" i="62"/>
  <c r="G11" i="62" s="1"/>
  <c r="I11" i="93" l="1"/>
  <c r="I11" i="90"/>
  <c r="I11" i="89"/>
  <c r="I11" i="87"/>
  <c r="I11" i="86"/>
  <c r="I11" i="85"/>
  <c r="I11" i="83"/>
  <c r="I11" i="80"/>
  <c r="I11" i="79"/>
  <c r="I11" i="78"/>
  <c r="I11" i="77"/>
  <c r="I11" i="76"/>
  <c r="I11" i="75"/>
  <c r="I11" i="74"/>
  <c r="I11" i="73"/>
  <c r="I11" i="72"/>
  <c r="I11" i="71"/>
  <c r="I11" i="70"/>
  <c r="I11" i="69"/>
  <c r="I11" i="68"/>
  <c r="I36" i="36"/>
  <c r="L36" i="36" s="1"/>
  <c r="I11" i="62"/>
  <c r="I11" i="82"/>
  <c r="N28" i="36"/>
  <c r="M50" i="36"/>
  <c r="M45" i="36"/>
  <c r="I41" i="36"/>
  <c r="I39" i="36"/>
  <c r="M34" i="36"/>
  <c r="N21" i="36"/>
  <c r="N48" i="36"/>
  <c r="N46" i="36"/>
  <c r="N39" i="36"/>
  <c r="M33" i="36"/>
  <c r="M32" i="36"/>
  <c r="N47" i="36"/>
  <c r="M44" i="36"/>
  <c r="N29" i="36"/>
  <c r="L41" i="36"/>
  <c r="M41" i="36" s="1"/>
  <c r="N36" i="36"/>
  <c r="N41" i="36"/>
  <c r="N37" i="36"/>
  <c r="I51" i="91"/>
  <c r="I51" i="92"/>
  <c r="I51" i="74"/>
  <c r="I51" i="94"/>
  <c r="I51" i="82"/>
  <c r="I51" i="72"/>
  <c r="I51" i="71"/>
  <c r="I51" i="89"/>
  <c r="I51" i="62"/>
  <c r="I51" i="69"/>
  <c r="I51" i="84"/>
  <c r="I51" i="80"/>
  <c r="I51" i="95"/>
  <c r="I51" i="70"/>
  <c r="I51" i="87"/>
  <c r="I51" i="93"/>
  <c r="I51" i="68"/>
  <c r="I51" i="75"/>
  <c r="I51" i="76"/>
  <c r="I51" i="78"/>
  <c r="I51" i="83"/>
  <c r="I51" i="88"/>
  <c r="I51" i="90"/>
  <c r="I51" i="81"/>
  <c r="I51" i="86"/>
  <c r="I51" i="79"/>
  <c r="I51" i="85"/>
  <c r="I51" i="73"/>
  <c r="I51" i="77"/>
  <c r="I51" i="67"/>
  <c r="C51" i="36"/>
  <c r="N30" i="36"/>
  <c r="N26" i="36"/>
  <c r="N22" i="36"/>
  <c r="N15" i="36"/>
  <c r="N17" i="36"/>
  <c r="N13" i="36"/>
  <c r="N27" i="36"/>
  <c r="N25" i="36"/>
  <c r="N23" i="36"/>
  <c r="N19" i="36"/>
  <c r="N51" i="36" l="1"/>
  <c r="I35" i="36"/>
  <c r="M35" i="36" s="1"/>
  <c r="C51" i="1" l="1"/>
  <c r="I48" i="1"/>
  <c r="I48" i="36" s="1"/>
  <c r="I47" i="1"/>
  <c r="I47" i="36" s="1"/>
  <c r="I46" i="1"/>
  <c r="L47" i="36" l="1"/>
  <c r="M47" i="36"/>
  <c r="L48" i="36"/>
  <c r="M48" i="36"/>
  <c r="M36" i="36"/>
  <c r="I46" i="36"/>
  <c r="L37" i="36"/>
  <c r="M37" i="36" s="1"/>
  <c r="L46" i="36" l="1"/>
  <c r="M46" i="36"/>
  <c r="E11" i="1"/>
  <c r="F11" i="1"/>
  <c r="H51" i="1"/>
  <c r="F51" i="1"/>
  <c r="D51" i="1"/>
  <c r="I30" i="1"/>
  <c r="I30" i="36" s="1"/>
  <c r="I29" i="1"/>
  <c r="I29" i="36" s="1"/>
  <c r="I28" i="1"/>
  <c r="I28" i="36" s="1"/>
  <c r="L28" i="36" s="1"/>
  <c r="I27" i="1"/>
  <c r="I27" i="36" s="1"/>
  <c r="I26" i="1"/>
  <c r="I26" i="36" s="1"/>
  <c r="I25" i="1"/>
  <c r="I25" i="36" s="1"/>
  <c r="I23" i="1"/>
  <c r="I23" i="36" s="1"/>
  <c r="I22" i="1"/>
  <c r="I22" i="36" s="1"/>
  <c r="I21" i="1"/>
  <c r="I21" i="36" s="1"/>
  <c r="L21" i="36" s="1"/>
  <c r="M21" i="36" s="1"/>
  <c r="I19" i="1"/>
  <c r="I19" i="36" s="1"/>
  <c r="I17" i="1"/>
  <c r="I17" i="36" s="1"/>
  <c r="I15" i="1"/>
  <c r="I15" i="36" s="1"/>
  <c r="I13" i="36"/>
  <c r="L13" i="36" s="1"/>
  <c r="M13" i="36" l="1"/>
  <c r="F11" i="36"/>
  <c r="H11" i="1"/>
  <c r="H11" i="36" s="1"/>
  <c r="G11" i="1"/>
  <c r="E11" i="36"/>
  <c r="L22" i="36"/>
  <c r="M22" i="36" s="1"/>
  <c r="L17" i="36"/>
  <c r="M17" i="36" s="1"/>
  <c r="L23" i="36"/>
  <c r="M23" i="36" s="1"/>
  <c r="M28" i="36"/>
  <c r="L19" i="36"/>
  <c r="M19" i="36" s="1"/>
  <c r="L25" i="36"/>
  <c r="M25" i="36" s="1"/>
  <c r="L29" i="36"/>
  <c r="M29" i="36" s="1"/>
  <c r="L27" i="36"/>
  <c r="M27" i="36" s="1"/>
  <c r="L26" i="36"/>
  <c r="M26" i="36" s="1"/>
  <c r="L30" i="36"/>
  <c r="M30" i="36" s="1"/>
  <c r="L15" i="36"/>
  <c r="M15" i="36" s="1"/>
  <c r="H51" i="36"/>
  <c r="I51" i="1"/>
  <c r="L39" i="36" s="1"/>
  <c r="M39" i="36" s="1"/>
  <c r="H3" i="1" l="1"/>
  <c r="H3" i="62" s="1"/>
  <c r="H3" i="68" s="1"/>
  <c r="H3" i="69" s="1"/>
  <c r="H3" i="70" s="1"/>
  <c r="H3" i="71" s="1"/>
  <c r="H3" i="72" s="1"/>
  <c r="H3" i="73" s="1"/>
  <c r="H3" i="74" s="1"/>
  <c r="H3" i="75" s="1"/>
  <c r="H3" i="76" s="1"/>
  <c r="H3" i="77" s="1"/>
  <c r="H3" i="78" s="1"/>
  <c r="H3" i="79" s="1"/>
  <c r="H3" i="80" s="1"/>
  <c r="H3" i="81" s="1"/>
  <c r="H3" i="82" s="1"/>
  <c r="H3" i="83" s="1"/>
  <c r="H3" i="84" s="1"/>
  <c r="H3" i="85" s="1"/>
  <c r="H3" i="86" s="1"/>
  <c r="H3" i="87" s="1"/>
  <c r="H3" i="88" s="1"/>
  <c r="H3" i="89" s="1"/>
  <c r="H3" i="90" s="1"/>
  <c r="H3" i="91" s="1"/>
  <c r="H3" i="92" s="1"/>
  <c r="H3" i="93" s="1"/>
  <c r="H3" i="94" s="1"/>
  <c r="H3" i="95" s="1"/>
  <c r="H3" i="67" s="1"/>
  <c r="I11" i="1"/>
  <c r="G11" i="36"/>
  <c r="L51" i="36"/>
  <c r="I51" i="36"/>
  <c r="M51" i="36"/>
  <c r="D51" i="36"/>
  <c r="F51" i="36"/>
  <c r="E51" i="36"/>
  <c r="H3" i="36" l="1"/>
  <c r="I11" i="36"/>
</calcChain>
</file>

<file path=xl/comments1.xml><?xml version="1.0" encoding="utf-8"?>
<comments xmlns="http://schemas.openxmlformats.org/spreadsheetml/2006/main">
  <authors>
    <author>만든 이</author>
    <author>Windows 사용자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2" authorId="1" shapeId="0">
      <text>
        <r>
          <rPr>
            <b/>
            <sz val="9"/>
            <color indexed="81"/>
            <rFont val="돋움"/>
            <family val="3"/>
            <charset val="129"/>
          </rPr>
          <t>호밀시리즈는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판매량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I38" authorId="1" shapeId="0">
      <text>
        <r>
          <rPr>
            <sz val="9"/>
            <color indexed="81"/>
            <rFont val="Tahoma"/>
            <family val="2"/>
          </rPr>
          <t>Half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판매량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기입</t>
        </r>
        <r>
          <rPr>
            <sz val="9"/>
            <color indexed="81"/>
            <rFont val="Tahoma"/>
            <family val="2"/>
          </rPr>
          <t xml:space="preserve"> Whole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자동입력됩니다</t>
        </r>
        <r>
          <rPr>
            <sz val="9"/>
            <color indexed="81"/>
            <rFont val="Tahoma"/>
            <family val="2"/>
          </rPr>
          <t>.</t>
        </r>
      </text>
    </comment>
    <comment ref="I40" authorId="1" shapeId="0">
      <text>
        <r>
          <rPr>
            <b/>
            <sz val="9"/>
            <color indexed="81"/>
            <rFont val="Tahoma"/>
            <family val="2"/>
          </rPr>
          <t>Half</t>
        </r>
        <r>
          <rPr>
            <b/>
            <sz val="9"/>
            <color indexed="81"/>
            <rFont val="돋움"/>
            <family val="3"/>
            <charset val="129"/>
          </rPr>
          <t>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판매량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 xml:space="preserve"> Whole</t>
        </r>
        <r>
          <rPr>
            <b/>
            <sz val="9"/>
            <color indexed="81"/>
            <rFont val="돋움"/>
            <family val="3"/>
            <charset val="129"/>
          </rPr>
          <t>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자동입력됩니다</t>
        </r>
        <r>
          <rPr>
            <b/>
            <sz val="9"/>
            <color indexed="81"/>
            <rFont val="Tahoma"/>
            <family val="2"/>
          </rPr>
          <t xml:space="preserve">.
</t>
        </r>
      </text>
    </comment>
    <comment ref="I42" authorId="1" shapeId="0">
      <text>
        <r>
          <rPr>
            <b/>
            <sz val="9"/>
            <color indexed="81"/>
            <rFont val="Tahoma"/>
            <family val="2"/>
          </rPr>
          <t>Half</t>
        </r>
        <r>
          <rPr>
            <b/>
            <sz val="9"/>
            <color indexed="81"/>
            <rFont val="돋움"/>
            <family val="3"/>
            <charset val="129"/>
          </rPr>
          <t>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판매량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 xml:space="preserve"> Whole</t>
        </r>
        <r>
          <rPr>
            <b/>
            <sz val="9"/>
            <color indexed="81"/>
            <rFont val="돋움"/>
            <family val="3"/>
            <charset val="129"/>
          </rPr>
          <t>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자동입력됩니다</t>
        </r>
        <r>
          <rPr>
            <b/>
            <sz val="9"/>
            <color indexed="81"/>
            <rFont val="Tahoma"/>
            <family val="2"/>
          </rPr>
          <t xml:space="preserve">.
</t>
        </r>
      </text>
    </comment>
    <comment ref="I43" authorId="1" shapeId="0">
      <text>
        <r>
          <rPr>
            <b/>
            <sz val="9"/>
            <color indexed="81"/>
            <rFont val="돋움"/>
            <family val="3"/>
            <charset val="129"/>
          </rPr>
          <t>슈톨렌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파네토네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미니파네토네는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판매량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49" authorId="1" shapeId="0">
      <text>
        <r>
          <rPr>
            <b/>
            <sz val="9"/>
            <color indexed="81"/>
            <rFont val="돋움"/>
            <family val="3"/>
            <charset val="129"/>
          </rPr>
          <t>수프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메뉴는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판매량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기입
</t>
        </r>
      </text>
    </comment>
  </commentList>
</comments>
</file>

<file path=xl/comments2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3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4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5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6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7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8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9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10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11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12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13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14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15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16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17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18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19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20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21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22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23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24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25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26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27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28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29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30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31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32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</commentList>
</comments>
</file>

<file path=xl/sharedStrings.xml><?xml version="1.0" encoding="utf-8"?>
<sst xmlns="http://schemas.openxmlformats.org/spreadsheetml/2006/main" count="3915" uniqueCount="704">
  <si>
    <t>일 일 업 무 보 고 서</t>
    <phoneticPr fontId="4" type="noConversion"/>
  </si>
  <si>
    <t>일     시</t>
    <phoneticPr fontId="6" type="noConversion"/>
  </si>
  <si>
    <t>작성자</t>
    <phoneticPr fontId="4" type="noConversion"/>
  </si>
  <si>
    <t>지 점 명</t>
    <phoneticPr fontId="6" type="noConversion"/>
  </si>
  <si>
    <t>점</t>
    <phoneticPr fontId="6" type="noConversion"/>
  </si>
  <si>
    <t>날씨</t>
    <phoneticPr fontId="4" type="noConversion"/>
  </si>
  <si>
    <t>외부온도</t>
  </si>
  <si>
    <t>내부온도</t>
  </si>
  <si>
    <t>외부습도</t>
    <phoneticPr fontId="4" type="noConversion"/>
  </si>
  <si>
    <t>내부습도</t>
  </si>
  <si>
    <t>1. 금일
매출
실적</t>
    <phoneticPr fontId="6" type="noConversion"/>
  </si>
  <si>
    <t>실적</t>
    <phoneticPr fontId="6" type="noConversion"/>
  </si>
  <si>
    <t>매출액(원)</t>
    <phoneticPr fontId="6" type="noConversion"/>
  </si>
  <si>
    <t>매출건수(건)</t>
    <phoneticPr fontId="6" type="noConversion"/>
  </si>
  <si>
    <t>2. 제품
판매량</t>
    <phoneticPr fontId="4" type="noConversion"/>
  </si>
  <si>
    <t>제품명</t>
  </si>
  <si>
    <t>생산량(ea)</t>
    <phoneticPr fontId="4" type="noConversion"/>
  </si>
  <si>
    <t>손실량(ea)</t>
    <phoneticPr fontId="4" type="noConversion"/>
  </si>
  <si>
    <t>시식량(ea)</t>
    <phoneticPr fontId="4" type="noConversion"/>
  </si>
  <si>
    <t>기타(ea) In (+) / Out (-)</t>
    <phoneticPr fontId="4" type="noConversion"/>
  </si>
  <si>
    <t>재고량(ea)</t>
    <phoneticPr fontId="4" type="noConversion"/>
  </si>
  <si>
    <t>판매량(ea)</t>
    <phoneticPr fontId="4" type="noConversion"/>
  </si>
  <si>
    <t xml:space="preserve"> </t>
    <phoneticPr fontId="6" type="noConversion"/>
  </si>
  <si>
    <t>바게트</t>
    <phoneticPr fontId="6" type="noConversion"/>
  </si>
  <si>
    <t>바게트(H)</t>
    <phoneticPr fontId="6" type="noConversion"/>
  </si>
  <si>
    <t>화바게트</t>
    <phoneticPr fontId="6" type="noConversion"/>
  </si>
  <si>
    <t>화바게트(H)</t>
    <phoneticPr fontId="6" type="noConversion"/>
  </si>
  <si>
    <t>깜파뉴</t>
    <phoneticPr fontId="6" type="noConversion"/>
  </si>
  <si>
    <t>깜파뉴(H)</t>
    <phoneticPr fontId="6" type="noConversion"/>
  </si>
  <si>
    <t>식 빵</t>
    <phoneticPr fontId="6" type="noConversion"/>
  </si>
  <si>
    <t>식 빵(H)</t>
    <phoneticPr fontId="6" type="noConversion"/>
  </si>
  <si>
    <t>블랙올리브</t>
    <phoneticPr fontId="4" type="noConversion"/>
  </si>
  <si>
    <t xml:space="preserve">허 브 </t>
    <phoneticPr fontId="6" type="noConversion"/>
  </si>
  <si>
    <t xml:space="preserve">치아바타 </t>
  </si>
  <si>
    <t>화치아바타</t>
  </si>
  <si>
    <t xml:space="preserve">크로아상 </t>
    <phoneticPr fontId="6" type="noConversion"/>
  </si>
  <si>
    <t>뺑오쇼콜라</t>
    <phoneticPr fontId="6" type="noConversion"/>
  </si>
  <si>
    <t xml:space="preserve">플레인 스콘 </t>
    <phoneticPr fontId="6" type="noConversion"/>
  </si>
  <si>
    <t>크랜베리 스콘</t>
    <phoneticPr fontId="6" type="noConversion"/>
  </si>
  <si>
    <t>브 레 첼</t>
  </si>
  <si>
    <t>스틱브레첼</t>
    <phoneticPr fontId="4" type="noConversion"/>
  </si>
  <si>
    <t>버터브레첼</t>
    <phoneticPr fontId="6" type="noConversion"/>
  </si>
  <si>
    <t>합 계</t>
    <phoneticPr fontId="4" type="noConversion"/>
  </si>
  <si>
    <t>배 민</t>
    <phoneticPr fontId="6" type="noConversion"/>
  </si>
  <si>
    <t>제로페이</t>
  </si>
  <si>
    <t>4. 서비스내역 및
   손님 특이사항</t>
    <phoneticPr fontId="4" type="noConversion"/>
  </si>
  <si>
    <t>6. 매장
   관리</t>
    <phoneticPr fontId="6" type="noConversion"/>
  </si>
  <si>
    <t>시설/장비
특이사항</t>
    <phoneticPr fontId="4" type="noConversion"/>
  </si>
  <si>
    <t>청결/위생 
관련업무</t>
    <phoneticPr fontId="4" type="noConversion"/>
  </si>
  <si>
    <t>7. 지시 및 전달사항</t>
    <phoneticPr fontId="4" type="noConversion"/>
  </si>
  <si>
    <t>8. 내일 준비사항</t>
    <phoneticPr fontId="4" type="noConversion"/>
  </si>
  <si>
    <t>9. 직원 특이사항</t>
    <phoneticPr fontId="4" type="noConversion"/>
  </si>
  <si>
    <t>휴무</t>
    <phoneticPr fontId="4" type="noConversion"/>
  </si>
  <si>
    <t>휴가</t>
    <phoneticPr fontId="4" type="noConversion"/>
  </si>
  <si>
    <t>지각/조퇴</t>
    <phoneticPr fontId="4" type="noConversion"/>
  </si>
  <si>
    <t>지원</t>
    <phoneticPr fontId="4" type="noConversion"/>
  </si>
  <si>
    <t>생일</t>
    <phoneticPr fontId="4" type="noConversion"/>
  </si>
  <si>
    <t>신입</t>
    <phoneticPr fontId="4" type="noConversion"/>
  </si>
  <si>
    <t>기타사항</t>
    <phoneticPr fontId="4" type="noConversion"/>
  </si>
  <si>
    <t>금일</t>
    <phoneticPr fontId="6" type="noConversion"/>
  </si>
  <si>
    <t>내일</t>
    <phoneticPr fontId="6" type="noConversion"/>
  </si>
  <si>
    <t>10. 시설 점검사항</t>
    <phoneticPr fontId="4" type="noConversion"/>
  </si>
  <si>
    <t>첫 출 근 자</t>
  </si>
  <si>
    <t>최 종 퇴 근 자</t>
  </si>
  <si>
    <t>위생/마감 점검</t>
    <phoneticPr fontId="4" type="noConversion"/>
  </si>
  <si>
    <t>최종 점검</t>
  </si>
  <si>
    <t>Paul &amp; Paulina</t>
  </si>
  <si>
    <t>POS 외 매출</t>
    <phoneticPr fontId="6" type="noConversion"/>
  </si>
  <si>
    <t>POS 매출</t>
    <phoneticPr fontId="6" type="noConversion"/>
  </si>
  <si>
    <t>총 매출</t>
    <phoneticPr fontId="6" type="noConversion"/>
  </si>
  <si>
    <t>총 매출액(원)</t>
    <phoneticPr fontId="6" type="noConversion"/>
  </si>
  <si>
    <t>총 매출건수(건)</t>
    <phoneticPr fontId="6" type="noConversion"/>
  </si>
  <si>
    <t>3. 예약 및 POS 외 매출</t>
    <phoneticPr fontId="4" type="noConversion"/>
  </si>
  <si>
    <t>5. 제품의견 / 손실</t>
    <phoneticPr fontId="4" type="noConversion"/>
  </si>
  <si>
    <t>매출건수(건)</t>
  </si>
  <si>
    <t>매출액(원)</t>
  </si>
  <si>
    <t>누계 매출액</t>
    <phoneticPr fontId="3" type="noConversion"/>
  </si>
  <si>
    <t>확인</t>
    <phoneticPr fontId="3" type="noConversion"/>
  </si>
  <si>
    <t>객단가</t>
    <phoneticPr fontId="3" type="noConversion"/>
  </si>
  <si>
    <t>구름빵</t>
    <phoneticPr fontId="3" type="noConversion"/>
  </si>
  <si>
    <t>무화과 호밀스틱</t>
    <phoneticPr fontId="3" type="noConversion"/>
  </si>
  <si>
    <t>2022 년 1 월</t>
    <phoneticPr fontId="3" type="noConversion"/>
  </si>
  <si>
    <t>누계생산량(ea)</t>
    <phoneticPr fontId="4" type="noConversion"/>
  </si>
  <si>
    <t>누계손실량(ea)</t>
    <phoneticPr fontId="4" type="noConversion"/>
  </si>
  <si>
    <t>누계시식량(ea)</t>
    <phoneticPr fontId="4" type="noConversion"/>
  </si>
  <si>
    <t>누계 기타(ea) In (+) / Out (-)</t>
    <phoneticPr fontId="4" type="noConversion"/>
  </si>
  <si>
    <t>누계재고량(ea)</t>
    <phoneticPr fontId="4" type="noConversion"/>
  </si>
  <si>
    <t>누계판매량(ea)</t>
    <phoneticPr fontId="4" type="noConversion"/>
  </si>
  <si>
    <t>치킨샌드위치</t>
    <phoneticPr fontId="3" type="noConversion"/>
  </si>
  <si>
    <t>햄치즈샌드위치</t>
    <phoneticPr fontId="3" type="noConversion"/>
  </si>
  <si>
    <t>쿠팡이츠</t>
    <phoneticPr fontId="6" type="noConversion"/>
  </si>
  <si>
    <t>배 민</t>
    <phoneticPr fontId="6" type="noConversion"/>
  </si>
  <si>
    <t>판매율</t>
    <phoneticPr fontId="6" type="noConversion"/>
  </si>
  <si>
    <t>로스율</t>
    <phoneticPr fontId="3" type="noConversion"/>
  </si>
  <si>
    <t>휴무</t>
    <phoneticPr fontId="4" type="noConversion"/>
  </si>
  <si>
    <t>휴가</t>
    <phoneticPr fontId="4" type="noConversion"/>
  </si>
  <si>
    <t>지각/조퇴</t>
    <phoneticPr fontId="4" type="noConversion"/>
  </si>
  <si>
    <t>지원</t>
    <phoneticPr fontId="4" type="noConversion"/>
  </si>
  <si>
    <t>생일</t>
    <phoneticPr fontId="4" type="noConversion"/>
  </si>
  <si>
    <t>신입</t>
    <phoneticPr fontId="4" type="noConversion"/>
  </si>
  <si>
    <t>기타사항</t>
    <phoneticPr fontId="4" type="noConversion"/>
  </si>
  <si>
    <t>위생/마감 점검</t>
    <phoneticPr fontId="4" type="noConversion"/>
  </si>
  <si>
    <t>재고율</t>
    <phoneticPr fontId="3" type="noConversion"/>
  </si>
  <si>
    <t>택배</t>
    <phoneticPr fontId="6" type="noConversion"/>
  </si>
  <si>
    <t>납품</t>
    <phoneticPr fontId="6" type="noConversion"/>
  </si>
  <si>
    <t>202 년  월  일 ( 요일)</t>
    <phoneticPr fontId="3" type="noConversion"/>
  </si>
  <si>
    <t>합계</t>
    <phoneticPr fontId="3" type="noConversion"/>
  </si>
  <si>
    <t>봄날깜빠뉴</t>
    <phoneticPr fontId="3" type="noConversion"/>
  </si>
  <si>
    <t>여름메밀빵</t>
    <phoneticPr fontId="3" type="noConversion"/>
  </si>
  <si>
    <t>여름메밀빵</t>
    <phoneticPr fontId="3" type="noConversion"/>
  </si>
  <si>
    <t>가을애깜빠뉴</t>
    <phoneticPr fontId="3" type="noConversion"/>
  </si>
  <si>
    <t>가을애깜빠뉴</t>
    <phoneticPr fontId="3" type="noConversion"/>
  </si>
  <si>
    <t>슈톨렌</t>
    <phoneticPr fontId="3" type="noConversion"/>
  </si>
  <si>
    <t>슈톨렌</t>
    <phoneticPr fontId="3" type="noConversion"/>
  </si>
  <si>
    <t>파네토네</t>
    <phoneticPr fontId="3" type="noConversion"/>
  </si>
  <si>
    <t>파네토네</t>
    <phoneticPr fontId="3" type="noConversion"/>
  </si>
  <si>
    <t>호라산 통밀</t>
    <phoneticPr fontId="3" type="noConversion"/>
  </si>
  <si>
    <t>호라산 통밀</t>
    <phoneticPr fontId="3" type="noConversion"/>
  </si>
  <si>
    <t>호밀비트</t>
    <phoneticPr fontId="3" type="noConversion"/>
  </si>
  <si>
    <t>호밀비트</t>
    <phoneticPr fontId="3" type="noConversion"/>
  </si>
  <si>
    <t>호밀후르츠</t>
    <phoneticPr fontId="3" type="noConversion"/>
  </si>
  <si>
    <t>호밀후르츠</t>
    <phoneticPr fontId="3" type="noConversion"/>
  </si>
  <si>
    <t>멜란자네</t>
    <phoneticPr fontId="3" type="noConversion"/>
  </si>
  <si>
    <t>멜란자네</t>
    <phoneticPr fontId="3" type="noConversion"/>
  </si>
  <si>
    <t>미니파네토네(여름)</t>
    <phoneticPr fontId="3" type="noConversion"/>
  </si>
  <si>
    <t>미니파네토네(여름)</t>
    <phoneticPr fontId="3" type="noConversion"/>
  </si>
  <si>
    <t>수프+샌드위치</t>
    <phoneticPr fontId="3" type="noConversion"/>
  </si>
  <si>
    <t>수프+샌드위치</t>
    <phoneticPr fontId="3" type="noConversion"/>
  </si>
  <si>
    <t>수프+빵</t>
    <phoneticPr fontId="3" type="noConversion"/>
  </si>
  <si>
    <t>수프+빵</t>
    <phoneticPr fontId="3" type="noConversion"/>
  </si>
  <si>
    <t>봄날깜빠뉴(H)</t>
    <phoneticPr fontId="3" type="noConversion"/>
  </si>
  <si>
    <t>봄날깜빠뉴(H)</t>
    <phoneticPr fontId="3" type="noConversion"/>
  </si>
  <si>
    <t>여름메밀빵(H)</t>
    <phoneticPr fontId="3" type="noConversion"/>
  </si>
  <si>
    <t>여름메밀빵(H)</t>
    <phoneticPr fontId="3" type="noConversion"/>
  </si>
  <si>
    <t>가을애깜빠뉴(H)</t>
    <phoneticPr fontId="3" type="noConversion"/>
  </si>
  <si>
    <t>가을애깜빠뉴(H)</t>
    <phoneticPr fontId="3" type="noConversion"/>
  </si>
  <si>
    <t xml:space="preserve">생산량 X, 재고량X, 판매량O, 시식량O, 손실량O </t>
  </si>
  <si>
    <t xml:space="preserve">손실량, 시식량 기준 : 수프 1잔 기준으로 절반 이하면 0.5 /절반 이상이면 1로 표기 </t>
    <phoneticPr fontId="3" type="noConversion"/>
  </si>
  <si>
    <t xml:space="preserve"> 기입X</t>
    <phoneticPr fontId="3" type="noConversion"/>
  </si>
  <si>
    <t>수동기입</t>
    <phoneticPr fontId="3" type="noConversion"/>
  </si>
  <si>
    <t>수식입력 되어 있으니 기입X</t>
    <phoneticPr fontId="3" type="noConversion"/>
  </si>
  <si>
    <t>(미니파네토네는 계절제품 상관없이 입력)</t>
    <phoneticPr fontId="3" type="noConversion"/>
  </si>
  <si>
    <t xml:space="preserve">선물 </t>
    <phoneticPr fontId="3" type="noConversion"/>
  </si>
  <si>
    <t xml:space="preserve">쿠팡 </t>
    <phoneticPr fontId="3" type="noConversion"/>
  </si>
  <si>
    <t>쿠팡잇츠 판매 내역</t>
    <phoneticPr fontId="3" type="noConversion"/>
  </si>
  <si>
    <t xml:space="preserve">배민 </t>
    <phoneticPr fontId="3" type="noConversion"/>
  </si>
  <si>
    <t xml:space="preserve">배달의민족 판매 내역 </t>
    <phoneticPr fontId="3" type="noConversion"/>
  </si>
  <si>
    <t>제로페이</t>
    <phoneticPr fontId="3" type="noConversion"/>
  </si>
  <si>
    <t xml:space="preserve">택배 </t>
    <phoneticPr fontId="3" type="noConversion"/>
  </si>
  <si>
    <t xml:space="preserve">택배 판매 내역 </t>
    <phoneticPr fontId="3" type="noConversion"/>
  </si>
  <si>
    <t xml:space="preserve">납품 </t>
    <phoneticPr fontId="3" type="noConversion"/>
  </si>
  <si>
    <t xml:space="preserve">월말결제를 주로 하는 모든 납품 업체 </t>
    <phoneticPr fontId="3" type="noConversion"/>
  </si>
  <si>
    <t xml:space="preserve">일일업무보고서 사용법 </t>
    <phoneticPr fontId="3" type="noConversion"/>
  </si>
  <si>
    <t xml:space="preserve">&lt;셀 색깔별 사용 법 &gt; </t>
    <phoneticPr fontId="3" type="noConversion"/>
  </si>
  <si>
    <t xml:space="preserve">&lt;메뉴 별 사용 법&gt; </t>
    <phoneticPr fontId="3" type="noConversion"/>
  </si>
  <si>
    <t xml:space="preserve">호밀시리즈 (호라산, 호밀후르츠, 호밀비트) </t>
    <phoneticPr fontId="3" type="noConversion"/>
  </si>
  <si>
    <t xml:space="preserve">생산량 X, 재고량X, 판매량O, 시식량O, 손실량O </t>
    <phoneticPr fontId="3" type="noConversion"/>
  </si>
  <si>
    <t xml:space="preserve">수프메뉴 </t>
    <phoneticPr fontId="3" type="noConversion"/>
  </si>
  <si>
    <t xml:space="preserve">* 일일업무 보고서에 숫자로 기입하는 것은 완제품 기준 입니다. </t>
    <phoneticPr fontId="3" type="noConversion"/>
  </si>
  <si>
    <t xml:space="preserve">* 생산 공정상 발생하는 손실은 손실보고서 작성 </t>
    <phoneticPr fontId="3" type="noConversion"/>
  </si>
  <si>
    <t xml:space="preserve">(손실보고서는 생산업무 전반에 발생하는 실수, 손해 모두 작성, 완제품으로 나오더라도 작성)  </t>
    <phoneticPr fontId="3" type="noConversion"/>
  </si>
  <si>
    <r>
      <t>* 일일업무보고서 내용 작성 누락 시 업무태도에 반영</t>
    </r>
    <r>
      <rPr>
        <sz val="11"/>
        <color theme="1"/>
        <rFont val="맑은 고딕"/>
        <family val="3"/>
        <charset val="129"/>
        <scheme val="minor"/>
      </rPr>
      <t>(제품의견, 서비스 내용은 출근직원은 반드시, 한줄이라도 작성할 것)</t>
    </r>
    <phoneticPr fontId="3" type="noConversion"/>
  </si>
  <si>
    <t>선물</t>
    <phoneticPr fontId="6" type="noConversion"/>
  </si>
  <si>
    <t>선물</t>
    <phoneticPr fontId="6" type="noConversion"/>
  </si>
  <si>
    <t>슈톨렌, 파네토네, 미니파네토네(여름),구름빵</t>
    <phoneticPr fontId="3" type="noConversion"/>
  </si>
  <si>
    <t>포스에 입력되지 않은 페이 결제 내역 (카카오, 서울페이 등), 계좌이체는 제외</t>
    <phoneticPr fontId="3" type="noConversion"/>
  </si>
  <si>
    <t>금액을 지불하지 않고 영업시간 내에 제공된 완제품(협찬 포함)</t>
    <phoneticPr fontId="3" type="noConversion"/>
  </si>
  <si>
    <t>2026년 2월 1일 (일요일)</t>
    <phoneticPr fontId="3" type="noConversion"/>
  </si>
  <si>
    <t>여의도</t>
    <phoneticPr fontId="3" type="noConversion"/>
  </si>
  <si>
    <t>김윤희</t>
    <phoneticPr fontId="3" type="noConversion"/>
  </si>
  <si>
    <t>맑음</t>
    <phoneticPr fontId="3" type="noConversion"/>
  </si>
  <si>
    <t>1</t>
    <phoneticPr fontId="3" type="noConversion"/>
  </si>
  <si>
    <t>21</t>
    <phoneticPr fontId="3" type="noConversion"/>
  </si>
  <si>
    <t>윤희(오픈) : 바게트 맛은 좋으나, 내상이 골고루 열려있지않고, 눅눅한 식감이었습니다. / 브레첼과 크로와상 물 양 늘려서 반죽 쳤습니다.</t>
    <phoneticPr fontId="3" type="noConversion"/>
  </si>
  <si>
    <t>심팩홀딩스 납품 있습니다.</t>
    <phoneticPr fontId="3" type="noConversion"/>
  </si>
  <si>
    <t>호밀비트 생산 있습니다.</t>
    <phoneticPr fontId="3" type="noConversion"/>
  </si>
  <si>
    <t>준모,현진,진옥,희주</t>
    <phoneticPr fontId="3" type="noConversion"/>
  </si>
  <si>
    <t>진옥,현진,윤희</t>
    <phoneticPr fontId="3" type="noConversion"/>
  </si>
  <si>
    <t>윤희</t>
    <phoneticPr fontId="3" type="noConversion"/>
  </si>
  <si>
    <t>윤경</t>
    <phoneticPr fontId="3" type="noConversion"/>
  </si>
  <si>
    <t>세은</t>
    <phoneticPr fontId="3" type="noConversion"/>
  </si>
  <si>
    <t>도현(미들) : 치아바타 믹싱 할때는 힘이 강하지 않다고 했으나 분할,2차발효 시에는 발효가 더뎌 힘이 강해보였습니다.(분할할때 반죽안에 공기가 차있지 않은 느낌이었습니다.)</t>
    <phoneticPr fontId="3" type="noConversion"/>
  </si>
  <si>
    <t>양사장님 내일 매장 방문 하셔서 외풍 들어오는곳 수리해주실 예정 입니다.</t>
    <phoneticPr fontId="3" type="noConversion"/>
  </si>
  <si>
    <t>식빵이 4시 이전으로 이르게 품절되었습니다.</t>
    <phoneticPr fontId="3" type="noConversion"/>
  </si>
  <si>
    <t>통곡물, 밤과 같은 재료를 사용한 제품이 있는지 물어보는 손님이 종종 계셨습니다.</t>
    <phoneticPr fontId="3" type="noConversion"/>
  </si>
  <si>
    <t>어떤 빵을 만드는 가게인지 물어보시는 손님이 계셔서, 장시간 발효하여 소화가 잘되는 빵, 담백한 식사빵을 만든다고 답변해드렸습니다.</t>
    <phoneticPr fontId="3" type="noConversion"/>
  </si>
  <si>
    <t>시그니처가 무엇인지 여쭤보시는 손님이 많았습니다. 시식을 진행했습니다.</t>
    <phoneticPr fontId="3" type="noConversion"/>
  </si>
  <si>
    <t xml:space="preserve">세은(마감) : 바게트 식감이 질기고 기공이 꺼진 듯한 모양새 였습니다. </t>
    <phoneticPr fontId="3" type="noConversion"/>
  </si>
  <si>
    <t>도우박스 닦았습니다.</t>
    <phoneticPr fontId="3" type="noConversion"/>
  </si>
  <si>
    <t xml:space="preserve">바닥 물걸레질 청소 하였습니다. 거미줄 제거 하였습니다. </t>
    <phoneticPr fontId="3" type="noConversion"/>
  </si>
  <si>
    <t xml:space="preserve">도우컨 날개 분리하여 전체 청소 하였습니다. </t>
    <phoneticPr fontId="3" type="noConversion"/>
  </si>
  <si>
    <t>`1</t>
    <phoneticPr fontId="3" type="noConversion"/>
  </si>
  <si>
    <t>2026년 2 월 2 일 ( 월요일)</t>
    <phoneticPr fontId="3" type="noConversion"/>
  </si>
  <si>
    <t>김도현</t>
    <phoneticPr fontId="3" type="noConversion"/>
  </si>
  <si>
    <t>맑음</t>
    <phoneticPr fontId="3" type="noConversion"/>
  </si>
  <si>
    <t>0</t>
    <phoneticPr fontId="3" type="noConversion"/>
  </si>
  <si>
    <t>20.6</t>
    <phoneticPr fontId="3" type="noConversion"/>
  </si>
  <si>
    <t>현진,윤희,진옥</t>
    <phoneticPr fontId="3" type="noConversion"/>
  </si>
  <si>
    <t>희주,도현</t>
    <phoneticPr fontId="3" type="noConversion"/>
  </si>
  <si>
    <t>허윤경</t>
    <phoneticPr fontId="3" type="noConversion"/>
  </si>
  <si>
    <t>김세은</t>
    <phoneticPr fontId="3" type="noConversion"/>
  </si>
  <si>
    <t>김세은</t>
    <phoneticPr fontId="3" type="noConversion"/>
  </si>
  <si>
    <t>내일 심팩 납품 준비 완료 하였습니다.</t>
    <phoneticPr fontId="3" type="noConversion"/>
  </si>
  <si>
    <t>양사장님 수리 목요일로 미뤄졌습니다.</t>
    <phoneticPr fontId="3" type="noConversion"/>
  </si>
  <si>
    <t>금일 세스코 방문 하셨습니다.( 매장 밖 환풍기 뒤쪽에 쥐덫 설치 해주셨습니다.)</t>
    <phoneticPr fontId="3" type="noConversion"/>
  </si>
  <si>
    <t>오픈(김도현) : 금일 냉장 바게트 성형,분할 시에 공기 잘 차있었고 기공은 안정적이지는 않았지만 풍미는 괜찮았습니다./치아바타 오일 풍미,식감 좋았습니다.</t>
    <phoneticPr fontId="3" type="noConversion"/>
  </si>
  <si>
    <t>오픈(정희주) : 스콘 버터향 잘 느껴지고 식감도 좋았습니다. 파이 반죽 평소보다 좀 더 촉촉했고 발효도 좀 덜 봤습니다.</t>
    <phoneticPr fontId="3" type="noConversion"/>
  </si>
  <si>
    <t>여의도점</t>
    <phoneticPr fontId="6" type="noConversion"/>
  </si>
  <si>
    <t>진옥,준모</t>
    <phoneticPr fontId="3" type="noConversion"/>
  </si>
  <si>
    <t>미들(유준모) : 식빵 볼륨감 좋았습니다. 윗 부분 살짝 찐하게 나왔습니다.</t>
    <phoneticPr fontId="3" type="noConversion"/>
  </si>
  <si>
    <t xml:space="preserve">마감(김세은) : 치아바타 오일 풍미, 식감 좋았습니다. / 스콘 구웠을때 버터 살짝 새어 나왔습니다. </t>
    <phoneticPr fontId="3" type="noConversion"/>
  </si>
  <si>
    <t>밀가루 종류를 여쭤보고 우리밀을 사용한 제품을 찾으신 손님이 계셨습니다. 캐나다산 밀가루는 방부제가 들어가지 않냐며 여쭤보셨습니다.</t>
    <phoneticPr fontId="3" type="noConversion"/>
  </si>
  <si>
    <t>브레첼이 가지고있는 특유의 맛은 무엇인지 여쭤보시는 손님이 계셨습니다.</t>
    <phoneticPr fontId="3" type="noConversion"/>
  </si>
  <si>
    <t>식빵을 반 사이즈로 가져가시는 손님이 많았습니다. 무화과호밀스틱은 딱딱한지 여쭤보시는 손님이 종종 계시는데 시식 진행했습니다.</t>
    <phoneticPr fontId="3" type="noConversion"/>
  </si>
  <si>
    <t>수프 단독으로만 구매 원하시는 손님이 두분 계셨습니다. 호밀후르츠, 우리통밀 빵의 가격을 보시고 비싸다고 말씀하시는 손님이 종종 계십니다.</t>
    <phoneticPr fontId="3" type="noConversion"/>
  </si>
  <si>
    <t>오픈(김도현)  : 크로와상 반죽 평소보다 물량 늘려 촉촉하게 쳤더니 크기,볼륨감 좋았습니다./
치아바타 껍질 얇고 구움색 좋았습니다.</t>
    <phoneticPr fontId="3" type="noConversion"/>
  </si>
  <si>
    <t>진옥,준모</t>
    <phoneticPr fontId="3" type="noConversion"/>
  </si>
  <si>
    <t>도현,세은,윤경</t>
    <phoneticPr fontId="3" type="noConversion"/>
  </si>
  <si>
    <t>도현,희주</t>
    <phoneticPr fontId="3" type="noConversion"/>
  </si>
  <si>
    <t>현진,윤경</t>
    <phoneticPr fontId="3" type="noConversion"/>
  </si>
  <si>
    <t>세은</t>
    <phoneticPr fontId="3" type="noConversion"/>
  </si>
  <si>
    <t>세은</t>
    <phoneticPr fontId="3" type="noConversion"/>
  </si>
  <si>
    <t>2026 년  2월  3일 ( 화요일)</t>
    <phoneticPr fontId="3" type="noConversion"/>
  </si>
  <si>
    <t>정희주</t>
    <phoneticPr fontId="3" type="noConversion"/>
  </si>
  <si>
    <t>맑음</t>
    <phoneticPr fontId="3" type="noConversion"/>
  </si>
  <si>
    <t>23</t>
    <phoneticPr fontId="3" type="noConversion"/>
  </si>
  <si>
    <t>4</t>
    <phoneticPr fontId="3" type="noConversion"/>
  </si>
  <si>
    <t xml:space="preserve">오픈(정희주) : 스콘 바스라지는 식감이 조금 덜 했지만 버터 풍미는 괜찮았습니다. </t>
    <phoneticPr fontId="3" type="noConversion"/>
  </si>
  <si>
    <t>미들(김윤희) : 냉장바게트 기공이 좋지 않았고, 눅눅하였지만 끝에 단맛이 조금 올라왔습니다.</t>
    <phoneticPr fontId="3" type="noConversion"/>
  </si>
  <si>
    <t>심팩홀딩스, 파브리키친 납품 있습니다.</t>
    <phoneticPr fontId="3" type="noConversion"/>
  </si>
  <si>
    <t>이태리제 납품 있습니다.</t>
    <phoneticPr fontId="3" type="noConversion"/>
  </si>
  <si>
    <t>호밀비트 33개 생산하였습니다.</t>
    <phoneticPr fontId="3" type="noConversion"/>
  </si>
  <si>
    <t>여의도</t>
    <phoneticPr fontId="3" type="noConversion"/>
  </si>
  <si>
    <t xml:space="preserve">마감(김세은) : 크로와상 볼륨은 좋았으나, 버터 풍미가 많이 느껴지지는 않았습니다. </t>
    <phoneticPr fontId="3" type="noConversion"/>
  </si>
  <si>
    <t>샌드위치를 하루동안 꾸준히 찾으셔서 품절 이후에 한번 더 생산하여 판매했습니다.</t>
    <phoneticPr fontId="3" type="noConversion"/>
  </si>
  <si>
    <t>수프의 단독판매와 수프의 단가를 여쭤보시는 손님이 계셨습니다.</t>
    <phoneticPr fontId="3" type="noConversion"/>
  </si>
  <si>
    <t>어떤 게 잘 나가는지 여쭤보시는 손님이 많았습니다. 취향에 따른 차이를 설명드렸습니다.</t>
    <phoneticPr fontId="3" type="noConversion"/>
  </si>
  <si>
    <t>달콤한 빵은 무엇인지 따로 여쭤보고 구매하시는 손님이 종종 계셨습니다.</t>
    <phoneticPr fontId="3" type="noConversion"/>
  </si>
  <si>
    <t xml:space="preserve">미베 오븐 청소 했습니다. </t>
    <phoneticPr fontId="3" type="noConversion"/>
  </si>
  <si>
    <t>2026년  2월  4일 ( 화요일)</t>
    <phoneticPr fontId="3" type="noConversion"/>
  </si>
  <si>
    <t>여의도</t>
    <phoneticPr fontId="3" type="noConversion"/>
  </si>
  <si>
    <t>유준모</t>
    <phoneticPr fontId="3" type="noConversion"/>
  </si>
  <si>
    <t>구름</t>
    <phoneticPr fontId="3" type="noConversion"/>
  </si>
  <si>
    <t>6</t>
    <phoneticPr fontId="3" type="noConversion"/>
  </si>
  <si>
    <t>24</t>
    <phoneticPr fontId="3" type="noConversion"/>
  </si>
  <si>
    <t>유준모(오픈) : 냉장 바게트 반죽 가다마리 많았습니다.</t>
    <phoneticPr fontId="3" type="noConversion"/>
  </si>
  <si>
    <t>금일 심팩홀딩스, 이태리제, 파브리 납품 있었습니다.</t>
    <phoneticPr fontId="3" type="noConversion"/>
  </si>
  <si>
    <t>도현, 세은, 윤경</t>
    <phoneticPr fontId="3" type="noConversion"/>
  </si>
  <si>
    <t>희주, 윤경</t>
    <phoneticPr fontId="3" type="noConversion"/>
  </si>
  <si>
    <t>준모</t>
    <phoneticPr fontId="3" type="noConversion"/>
  </si>
  <si>
    <t>현진</t>
    <phoneticPr fontId="3" type="noConversion"/>
  </si>
  <si>
    <t>희주</t>
    <phoneticPr fontId="3" type="noConversion"/>
  </si>
  <si>
    <t>희주</t>
    <phoneticPr fontId="3" type="noConversion"/>
  </si>
  <si>
    <t>내일 냉장 반죽부터 연희동 이관 제품 생산 합니다.</t>
    <phoneticPr fontId="3" type="noConversion"/>
  </si>
  <si>
    <t>선물용으로 구매하시는 손님 많았습니다.</t>
    <phoneticPr fontId="3" type="noConversion"/>
  </si>
  <si>
    <t>김윤희(미들) : 스콘 식감은 좋았으나, 버터의 풍미가 부족하였습니다.</t>
    <phoneticPr fontId="3" type="noConversion"/>
  </si>
  <si>
    <t>정희주(마감) : 크로와상 결 선명하게 잘 보였습니다. 치아바타 껍질이 조금 두껍고 올리브향이 약했습니다.</t>
    <phoneticPr fontId="3" type="noConversion"/>
  </si>
  <si>
    <t>2026년  2월  5일 ( 목요일)</t>
    <phoneticPr fontId="3" type="noConversion"/>
  </si>
  <si>
    <t>유준모</t>
    <phoneticPr fontId="3" type="noConversion"/>
  </si>
  <si>
    <t>구름</t>
    <phoneticPr fontId="3" type="noConversion"/>
  </si>
  <si>
    <t>8</t>
    <phoneticPr fontId="3" type="noConversion"/>
  </si>
  <si>
    <t>24</t>
    <phoneticPr fontId="3" type="noConversion"/>
  </si>
  <si>
    <t>유준모(오픈) : 냉장 치아바타 반죽 온도가 조금 낮았습니다. / 덧가루 가다마리 많습니다.</t>
    <phoneticPr fontId="3" type="noConversion"/>
  </si>
  <si>
    <t>양사장님 방문 예정입니다.</t>
    <phoneticPr fontId="3" type="noConversion"/>
  </si>
  <si>
    <t>금일 심팩홀딩스 납품 있었습니다.</t>
    <phoneticPr fontId="3" type="noConversion"/>
  </si>
  <si>
    <t>올리브 구웠습니다. / 연희동 납품으로 전체적인 생산량 변경 있습니다.</t>
    <phoneticPr fontId="3" type="noConversion"/>
  </si>
  <si>
    <t>희주, 윤경</t>
    <phoneticPr fontId="3" type="noConversion"/>
  </si>
  <si>
    <t>윤희</t>
    <phoneticPr fontId="3" type="noConversion"/>
  </si>
  <si>
    <t>준모</t>
    <phoneticPr fontId="3" type="noConversion"/>
  </si>
  <si>
    <t>현진</t>
    <phoneticPr fontId="3" type="noConversion"/>
  </si>
  <si>
    <t>윤희</t>
    <phoneticPr fontId="3" type="noConversion"/>
  </si>
  <si>
    <t xml:space="preserve">김세은(미들) : 치아바타 목넘김 좋았고 오일풍미 잘 느껴졌습니다. </t>
    <phoneticPr fontId="3" type="noConversion"/>
  </si>
  <si>
    <t>여의도</t>
    <phoneticPr fontId="3" type="noConversion"/>
  </si>
  <si>
    <t>김윤희(마감) : 스콘 식감 좋았고, 버터의 풍미가 잘 느껴졌습니다 / 크로와상,뺑오 수축이 되었는지 크기가 작게 나왔습니다.</t>
    <phoneticPr fontId="3" type="noConversion"/>
  </si>
  <si>
    <t>심팩홀딩스 납품 있습니다.</t>
    <phoneticPr fontId="3" type="noConversion"/>
  </si>
  <si>
    <t>버터브레첼 대량구매 많았습니다.(10개 이상)</t>
    <phoneticPr fontId="3" type="noConversion"/>
  </si>
  <si>
    <t>점심시간보다 오후에 방문손님 많았습니다.</t>
    <phoneticPr fontId="3" type="noConversion"/>
  </si>
  <si>
    <t>2026년  2월  6일 ( 금요일)</t>
    <phoneticPr fontId="3" type="noConversion"/>
  </si>
  <si>
    <t>여의도</t>
    <phoneticPr fontId="3" type="noConversion"/>
  </si>
  <si>
    <t>유준모</t>
    <phoneticPr fontId="3" type="noConversion"/>
  </si>
  <si>
    <t>-4</t>
    <phoneticPr fontId="3" type="noConversion"/>
  </si>
  <si>
    <t>24</t>
    <phoneticPr fontId="3" type="noConversion"/>
  </si>
  <si>
    <t>유준모(오픈) : 블랙올리브 1차 발효 부족으로 사이즈 작게 나왔습니다.</t>
    <phoneticPr fontId="3" type="noConversion"/>
  </si>
  <si>
    <t>금일 심팩홀딩스 납품 있었습니다.</t>
    <phoneticPr fontId="3" type="noConversion"/>
  </si>
  <si>
    <t xml:space="preserve">연희동 제품 이관 있었습니다. </t>
    <phoneticPr fontId="3" type="noConversion"/>
  </si>
  <si>
    <t>윤희</t>
    <phoneticPr fontId="3" type="noConversion"/>
  </si>
  <si>
    <t>윤희, 세은</t>
    <phoneticPr fontId="3" type="noConversion"/>
  </si>
  <si>
    <t>준모</t>
    <phoneticPr fontId="3" type="noConversion"/>
  </si>
  <si>
    <t>현진, 윤경</t>
    <phoneticPr fontId="3" type="noConversion"/>
  </si>
  <si>
    <t>희주</t>
    <phoneticPr fontId="3" type="noConversion"/>
  </si>
  <si>
    <t>희주</t>
    <phoneticPr fontId="3" type="noConversion"/>
  </si>
  <si>
    <t xml:space="preserve">김세은(미들) : 치아바타 목넘김 좋았습니다/스틱브레첼 한판은 냉이 잘 안들어서 폐기처리 하였습니다. </t>
    <phoneticPr fontId="3" type="noConversion"/>
  </si>
  <si>
    <t xml:space="preserve">이태리재 바게트 15개 납품 있습니다. </t>
    <phoneticPr fontId="3" type="noConversion"/>
  </si>
  <si>
    <t>건강한 빵이 있는지, 통밀 혹은 호밀을 사용하는지 여쭤보시면서. 일반 밀가루에 대해 반감을 가지는 손님이 계셨습니다.</t>
    <phoneticPr fontId="3" type="noConversion"/>
  </si>
  <si>
    <t>큰 빵 (바게트, 깜빠뉴, 식빵)을 구매하기 위한 목적으로 방문하시는 손님이 많았습니다.</t>
    <phoneticPr fontId="3" type="noConversion"/>
  </si>
  <si>
    <t>정희주(마감) : 스콘 버터향 잘 느껴지고 식감 좋았습니다. 파이 성형시 촉촉한 느낌이 강했습니다.</t>
    <phoneticPr fontId="3" type="noConversion"/>
  </si>
  <si>
    <t>바게트가 조기품절되어 이후에 찾으시는 손님이 많았습니다. 대부분 바게트를 구매하기위해 오신거라 크게 아쉬워하셨습니다.</t>
    <phoneticPr fontId="3" type="noConversion"/>
  </si>
  <si>
    <t>금일 수프 판매가 대부분 양송이수프로 판매되었습니다.</t>
    <phoneticPr fontId="3" type="noConversion"/>
  </si>
  <si>
    <t>2026년  2월 7 일 ( 토요일)</t>
    <phoneticPr fontId="3" type="noConversion"/>
  </si>
  <si>
    <t>김도현</t>
    <phoneticPr fontId="3" type="noConversion"/>
  </si>
  <si>
    <t>맑음</t>
    <phoneticPr fontId="3" type="noConversion"/>
  </si>
  <si>
    <t>-5</t>
    <phoneticPr fontId="3" type="noConversion"/>
  </si>
  <si>
    <t>20</t>
    <phoneticPr fontId="3" type="noConversion"/>
  </si>
  <si>
    <t>금일 오픈시간 전 부터 손님방문 꾸준하게 계속 있었습니다.</t>
    <phoneticPr fontId="3" type="noConversion"/>
  </si>
  <si>
    <t>윤희,세은</t>
    <phoneticPr fontId="3" type="noConversion"/>
  </si>
  <si>
    <t>현진,세은,준모</t>
    <phoneticPr fontId="3" type="noConversion"/>
  </si>
  <si>
    <t>금일 허윤경님 연희점 지원근무 있었습니다.</t>
    <phoneticPr fontId="3" type="noConversion"/>
  </si>
  <si>
    <t>이태리재 바게트 15개 납품있었습니다.</t>
    <phoneticPr fontId="3" type="noConversion"/>
  </si>
  <si>
    <t>금일 스케줄이 밀려 청소는 간소화 하였습니다.</t>
    <phoneticPr fontId="3" type="noConversion"/>
  </si>
  <si>
    <t>오픈(김도현) : 브레첼,스콘 전체적으로 반죽칠때 힘이 강한 편으로 물량 조절 필요해 보입니다.</t>
    <phoneticPr fontId="3" type="noConversion"/>
  </si>
  <si>
    <t>오전에 빵이 늦게 나와서 구매 못하고 가신 손님 많았습니다.</t>
    <phoneticPr fontId="3" type="noConversion"/>
  </si>
  <si>
    <t>여의도</t>
    <phoneticPr fontId="3" type="noConversion"/>
  </si>
  <si>
    <t>마감(정희주) : 밀가루 한포대에서 벌레가 많이 보여 전부 체쳐서 계량했습니다. 스콘 버터맛이 약했습니다.</t>
    <phoneticPr fontId="3" type="noConversion"/>
  </si>
  <si>
    <t>2026 년 2 월 8 일 ( 일요일)</t>
    <phoneticPr fontId="3" type="noConversion"/>
  </si>
  <si>
    <t>김도현</t>
    <phoneticPr fontId="3" type="noConversion"/>
  </si>
  <si>
    <t>맑음</t>
    <phoneticPr fontId="3" type="noConversion"/>
  </si>
  <si>
    <t>-4</t>
    <phoneticPr fontId="3" type="noConversion"/>
  </si>
  <si>
    <t>현진,준모,세은</t>
    <phoneticPr fontId="3" type="noConversion"/>
  </si>
  <si>
    <t>현진,도현,희주</t>
    <phoneticPr fontId="3" type="noConversion"/>
  </si>
  <si>
    <t>도현,윤희</t>
    <phoneticPr fontId="3" type="noConversion"/>
  </si>
  <si>
    <t>허윤경</t>
    <phoneticPr fontId="3" type="noConversion"/>
  </si>
  <si>
    <t>정희주</t>
    <phoneticPr fontId="3" type="noConversion"/>
  </si>
  <si>
    <t>정희주</t>
    <phoneticPr fontId="3" type="noConversion"/>
  </si>
  <si>
    <t>오픈(김도현) : 전날에 친 냉장바게트 반죽 냉기가 잘 안풀려서 제품이 전체적으로 늦게 나왔습니다.
(도우컨 시간 조정 해두었습니다.)</t>
    <phoneticPr fontId="3" type="noConversion"/>
  </si>
  <si>
    <t>일이밀려 대청소는 실시하지 못했습니다.</t>
    <phoneticPr fontId="3" type="noConversion"/>
  </si>
  <si>
    <t>내일 심팩납품,연희점 제품 지원 있습니다.</t>
    <phoneticPr fontId="3" type="noConversion"/>
  </si>
  <si>
    <t>금일 손님방문 꾸준하게 계속 있었고 4시 이후부터 손님방문 줄어들었습니다.</t>
    <phoneticPr fontId="3" type="noConversion"/>
  </si>
  <si>
    <t>6월달 밀가루에서 계속 벌레가 나옵니다.(한두마리씩 계속 나와 체치는 작업중에 잘 확인해야할것 같습니다.)</t>
    <phoneticPr fontId="3" type="noConversion"/>
  </si>
  <si>
    <t>외부벽 공사 아직 진행 못해 양사장님께 다시 연락드린상태 입니다.(부재중이셔서 다시 연락드릴 예정.)</t>
    <phoneticPr fontId="3" type="noConversion"/>
  </si>
  <si>
    <t>실장님께서 매장비품 이관해주셨습니다.</t>
    <phoneticPr fontId="3" type="noConversion"/>
  </si>
  <si>
    <t>식빵이 4시 즈음에 품절되었는데 이후에 식빵을 찾으시는 손님이 많으셨습니다.</t>
    <phoneticPr fontId="3" type="noConversion"/>
  </si>
  <si>
    <t>블랙올리브와 치아바타의 차이점에 대해 여쭤보시는 손님이 계셨습니다.</t>
    <phoneticPr fontId="3" type="noConversion"/>
  </si>
  <si>
    <t>일반 바게트를 찾으시는 손님이 계셨으나 이르게 품절되었습니다.</t>
    <phoneticPr fontId="3" type="noConversion"/>
  </si>
  <si>
    <t>마감(정희주) : 크로와상 결 잘 나왔습니다. 크랜베리스콘 재단할때 촉촉한 느낌이 강했습니다.</t>
    <phoneticPr fontId="3" type="noConversion"/>
  </si>
  <si>
    <t>2026년  2월  10일 ( 월요일)</t>
    <phoneticPr fontId="3" type="noConversion"/>
  </si>
  <si>
    <t>여의도</t>
    <phoneticPr fontId="3" type="noConversion"/>
  </si>
  <si>
    <t>유준모</t>
    <phoneticPr fontId="3" type="noConversion"/>
  </si>
  <si>
    <t>맑음</t>
    <phoneticPr fontId="3" type="noConversion"/>
  </si>
  <si>
    <t>2</t>
    <phoneticPr fontId="3" type="noConversion"/>
  </si>
  <si>
    <t>24</t>
    <phoneticPr fontId="3" type="noConversion"/>
  </si>
  <si>
    <t>유준모(오픈) : 냉장 블랙올리브 벤치 타임 부족했습니다. / 2차 화이트바게트 발효 많았습니다.</t>
    <phoneticPr fontId="3" type="noConversion"/>
  </si>
  <si>
    <t>금일 심팩홀딩스 납품 있었습니다.</t>
    <phoneticPr fontId="3" type="noConversion"/>
  </si>
  <si>
    <t>구름빵 반죽 (4배합)</t>
    <phoneticPr fontId="3" type="noConversion"/>
  </si>
  <si>
    <t>연희동 제품 이관 있었습니다.</t>
    <phoneticPr fontId="3" type="noConversion"/>
  </si>
  <si>
    <t>도현,현진,희주</t>
    <phoneticPr fontId="3" type="noConversion"/>
  </si>
  <si>
    <t>도현,희주,윤경,지림</t>
    <phoneticPr fontId="3" type="noConversion"/>
  </si>
  <si>
    <t>세은, 준모</t>
    <phoneticPr fontId="3" type="noConversion"/>
  </si>
  <si>
    <t>윤경</t>
    <phoneticPr fontId="3" type="noConversion"/>
  </si>
  <si>
    <t>윤희</t>
    <phoneticPr fontId="3" type="noConversion"/>
  </si>
  <si>
    <t>윤희</t>
    <phoneticPr fontId="3" type="noConversion"/>
  </si>
  <si>
    <t xml:space="preserve">김세은(오픈) : 바게트 물량 84에서 84.5로 늘려도 될 것 같습니다. 버터 넣기 전부터 힘이 셌습니다. </t>
    <phoneticPr fontId="3" type="noConversion"/>
  </si>
  <si>
    <t xml:space="preserve">김윤희(마감) : 스콘과 브레첼 물량 조금씩 늘려서 반죽쳤습니다. </t>
    <phoneticPr fontId="3" type="noConversion"/>
  </si>
  <si>
    <t>휴무</t>
    <phoneticPr fontId="4" type="noConversion"/>
  </si>
  <si>
    <t>파브리키친 깜빠뉴 40개 납품 있습니다.</t>
    <phoneticPr fontId="3" type="noConversion"/>
  </si>
  <si>
    <t>금일 품절상품이 많아 아쉬워하며 돌아가시는 손님이 많았습니다.</t>
    <phoneticPr fontId="3" type="noConversion"/>
  </si>
  <si>
    <t>진열장에 몇 없는 빵들을 보시고 발걸음을 돌린 손님 분들이 많았습니다.</t>
    <phoneticPr fontId="3" type="noConversion"/>
  </si>
  <si>
    <t>식빵만 단독구매하러 방문하시는 손님이 많았으나, 품절되어 판매하지 못했습니다.</t>
    <phoneticPr fontId="3" type="noConversion"/>
  </si>
  <si>
    <t>크랜베리스콘은 유난히 단독으로 구매해가시거나, 소량구매로 가져가시는 손님이 많았습니다.</t>
    <phoneticPr fontId="3" type="noConversion"/>
  </si>
  <si>
    <t>2026년  2월  10일 ( 화요일)</t>
    <phoneticPr fontId="3" type="noConversion"/>
  </si>
  <si>
    <t>여의도</t>
    <phoneticPr fontId="3" type="noConversion"/>
  </si>
  <si>
    <t>유준모</t>
    <phoneticPr fontId="3" type="noConversion"/>
  </si>
  <si>
    <t>구름</t>
    <phoneticPr fontId="3" type="noConversion"/>
  </si>
  <si>
    <t>4</t>
    <phoneticPr fontId="3" type="noConversion"/>
  </si>
  <si>
    <t>23</t>
    <phoneticPr fontId="3" type="noConversion"/>
  </si>
  <si>
    <t>유준모(오픈) : 식빵 발효 시점이 달랐습니다. / 크로아상 해동 평소보다 1시간 더 했습니다.</t>
    <phoneticPr fontId="3" type="noConversion"/>
  </si>
  <si>
    <t>김세은(오픈) : 치아바타 맛 좋았습니다. / 식빵 믹싱 평소보다 잡히는게 늦었습니다.</t>
    <phoneticPr fontId="3" type="noConversion"/>
  </si>
  <si>
    <t>금일 심팩홀딩스 납품 있었습니다. / 연희점 휴무로 제품 이관 없었습니다.</t>
    <phoneticPr fontId="3" type="noConversion"/>
  </si>
  <si>
    <t>구름빵 반죽 작업 했습니다. / 호두 구웠습니다.</t>
    <phoneticPr fontId="3" type="noConversion"/>
  </si>
  <si>
    <t>이태리제 납품</t>
    <phoneticPr fontId="3" type="noConversion"/>
  </si>
  <si>
    <t>도현, 희주, 윤경, 지림</t>
    <phoneticPr fontId="3" type="noConversion"/>
  </si>
  <si>
    <t>윤경, 윤희, 노윤</t>
    <phoneticPr fontId="3" type="noConversion"/>
  </si>
  <si>
    <t>현진</t>
    <phoneticPr fontId="3" type="noConversion"/>
  </si>
  <si>
    <t>세은</t>
    <phoneticPr fontId="3" type="noConversion"/>
  </si>
  <si>
    <t>윤희</t>
    <phoneticPr fontId="3" type="noConversion"/>
  </si>
  <si>
    <t>윤희</t>
    <phoneticPr fontId="3" type="noConversion"/>
  </si>
  <si>
    <t>김윤희(마감) : 브레첼 길이가 너무 길고, 터진 게 조금 많았습니다. / 치아바타 발효 좋았습니다.</t>
    <phoneticPr fontId="3" type="noConversion"/>
  </si>
  <si>
    <t>요즘 자주 방문하시는 손님께서 다른 빵은 먹으면 체하는데, 우리 빵은 소화가 잘 되신다면서 구매해가셨습니다.</t>
    <phoneticPr fontId="3" type="noConversion"/>
  </si>
  <si>
    <t>2026 년  2월  11일 ( 수요일)</t>
    <phoneticPr fontId="3" type="noConversion"/>
  </si>
  <si>
    <t>여의도</t>
    <phoneticPr fontId="3" type="noConversion"/>
  </si>
  <si>
    <t>유준모</t>
    <phoneticPr fontId="3" type="noConversion"/>
  </si>
  <si>
    <t>6</t>
    <phoneticPr fontId="3" type="noConversion"/>
  </si>
  <si>
    <t>23</t>
    <phoneticPr fontId="3" type="noConversion"/>
  </si>
  <si>
    <t>유준모(오픈) : 냉장 깜빠뉴 전체적으로 색깔 하얗게 나왔습니다. (25~26분 구움)</t>
    <phoneticPr fontId="3" type="noConversion"/>
  </si>
  <si>
    <t>금일 심팩홀딩스, 이태리제 납품 있었습니다.</t>
    <phoneticPr fontId="3" type="noConversion"/>
  </si>
  <si>
    <t>올리브 굽기</t>
    <phoneticPr fontId="3" type="noConversion"/>
  </si>
  <si>
    <t>윤경, 윤희, 노윤</t>
    <phoneticPr fontId="3" type="noConversion"/>
  </si>
  <si>
    <t>준모, 윤희</t>
    <phoneticPr fontId="3" type="noConversion"/>
  </si>
  <si>
    <t>희주, 준모</t>
    <phoneticPr fontId="3" type="noConversion"/>
  </si>
  <si>
    <t>현진</t>
    <phoneticPr fontId="3" type="noConversion"/>
  </si>
  <si>
    <t>세은</t>
    <phoneticPr fontId="3" type="noConversion"/>
  </si>
  <si>
    <t>세은</t>
    <phoneticPr fontId="3" type="noConversion"/>
  </si>
  <si>
    <t>화이트 치아바타 대량 납품 문의 있었습니다.</t>
    <phoneticPr fontId="3" type="noConversion"/>
  </si>
  <si>
    <t>정희주(오픈) : 크로와상 조정수 넣어 조금 촉촉하게 믹싱했습니다. 치아바타 힘이 셌습니다.</t>
    <phoneticPr fontId="3" type="noConversion"/>
  </si>
  <si>
    <t xml:space="preserve">김세은(마감) : 플레인스콘 반죽칠때 살짝 질척였습니다. 크랜베리스콘은 괜찮았습니다. </t>
    <phoneticPr fontId="3" type="noConversion"/>
  </si>
  <si>
    <t>근래 첫구매 후, 재방문해주시는 손님 늘었습니다.</t>
    <phoneticPr fontId="3" type="noConversion"/>
  </si>
  <si>
    <t>2026 년  2월  12일 ( 목요일)</t>
    <phoneticPr fontId="3" type="noConversion"/>
  </si>
  <si>
    <t>여의도</t>
    <phoneticPr fontId="3" type="noConversion"/>
  </si>
  <si>
    <t>정희주</t>
    <phoneticPr fontId="3" type="noConversion"/>
  </si>
  <si>
    <t>22</t>
    <phoneticPr fontId="3" type="noConversion"/>
  </si>
  <si>
    <t>흐림</t>
    <phoneticPr fontId="3" type="noConversion"/>
  </si>
  <si>
    <t>8</t>
    <phoneticPr fontId="3" type="noConversion"/>
  </si>
  <si>
    <t>블랙올리브 구웠습니다.</t>
    <phoneticPr fontId="3" type="noConversion"/>
  </si>
  <si>
    <t>오픈(정희주) : 치아바타 맛은 괜찮았지만 살짝 뭉친 식감이었습니다. 크로와상 오늘은 조정수 없이 반죽 믹싱 진행했습니다.</t>
    <phoneticPr fontId="3" type="noConversion"/>
  </si>
  <si>
    <t>준모,진옥,윤희</t>
    <phoneticPr fontId="3" type="noConversion"/>
  </si>
  <si>
    <t>준모,세은</t>
    <phoneticPr fontId="3" type="noConversion"/>
  </si>
  <si>
    <t>희주,도현</t>
    <phoneticPr fontId="3" type="noConversion"/>
  </si>
  <si>
    <t>현진,윤경</t>
    <phoneticPr fontId="3" type="noConversion"/>
  </si>
  <si>
    <t>세은,노윤</t>
    <phoneticPr fontId="3" type="noConversion"/>
  </si>
  <si>
    <t>제일 잘 나가는 빵은 어떤 제품인지 여쭤보시는 손님이 계셨습니다.</t>
    <phoneticPr fontId="3" type="noConversion"/>
  </si>
  <si>
    <t>저희 빵을 선물 받으셨다가 구매하러 오신 손님이 계셨고, 치아바타와 크로와상을 구매하셨습니다.</t>
    <phoneticPr fontId="3" type="noConversion"/>
  </si>
  <si>
    <t>구름빵이 어떤 빵인지를 여쭤보시는 손님이 종종 계셨습니다.</t>
    <phoneticPr fontId="3" type="noConversion"/>
  </si>
  <si>
    <t>버터브레첼이 조기품절되어 아쉬워하는 손님이 계셨습니다.</t>
    <phoneticPr fontId="3" type="noConversion"/>
  </si>
  <si>
    <t>여의도</t>
    <phoneticPr fontId="3" type="noConversion"/>
  </si>
  <si>
    <t>2026년 2월 13일 (금요일)</t>
    <phoneticPr fontId="3" type="noConversion"/>
  </si>
  <si>
    <t>김윤희</t>
    <phoneticPr fontId="3" type="noConversion"/>
  </si>
  <si>
    <t>흐림</t>
    <phoneticPr fontId="3" type="noConversion"/>
  </si>
  <si>
    <t>7</t>
    <phoneticPr fontId="3" type="noConversion"/>
  </si>
  <si>
    <t>24</t>
    <phoneticPr fontId="3" type="noConversion"/>
  </si>
  <si>
    <t>준모,세은</t>
    <phoneticPr fontId="3" type="noConversion"/>
  </si>
  <si>
    <t>희주,도현,지림</t>
    <phoneticPr fontId="3" type="noConversion"/>
  </si>
  <si>
    <t>도현,윤희</t>
    <phoneticPr fontId="3" type="noConversion"/>
  </si>
  <si>
    <t>현진,윤경</t>
    <phoneticPr fontId="3" type="noConversion"/>
  </si>
  <si>
    <t>희주</t>
    <phoneticPr fontId="3" type="noConversion"/>
  </si>
  <si>
    <t>이태리제 바게트 25개 납품 있습니다.</t>
    <phoneticPr fontId="3" type="noConversion"/>
  </si>
  <si>
    <t>윤희(오픈) : 브레첼 수화가 잘 안되었는지, 성형할 때 물을 뿜어냈습니다. / 바게트 물량 82% 시작하였는데, 조정수 안 넣어도 좋았습니다.</t>
    <phoneticPr fontId="3" type="noConversion"/>
  </si>
  <si>
    <t>도현(오픈) : 성형한 식빵 도우컨 안쪽에 있는 반죽이 발효가 빨라 과발효 되고 말라있습니다./
치아바타 오븐스프링 좋습니다.</t>
    <phoneticPr fontId="3" type="noConversion"/>
  </si>
  <si>
    <t>양사장님 안오셔서 다음주에 다시 연락드릴 예정입니다.</t>
    <phoneticPr fontId="3" type="noConversion"/>
  </si>
  <si>
    <t>금일 노윤님 오븐교육 있었습니다.</t>
    <phoneticPr fontId="3" type="noConversion"/>
  </si>
  <si>
    <t>마감(희주) : 날씨가 풀려서 파이실 온도 좀 더 낮춰도 될 것 같습니다. 성형할때 냉이 빨리 풀립니다,</t>
    <phoneticPr fontId="3" type="noConversion"/>
  </si>
  <si>
    <t>샌드위치 품절 이후에도 찾으시는 손님이 많으셨습니다.</t>
    <phoneticPr fontId="3" type="noConversion"/>
  </si>
  <si>
    <t>어제 식빵을 구매하셨는데 입에 맞지 않았다고 환불해달라고 하셔서 환불처리해드렸습니다.</t>
    <phoneticPr fontId="3" type="noConversion"/>
  </si>
  <si>
    <t>명절을 앞둔 탓인지 예약이 7~8건으로 평소보다 많았습니다.</t>
    <phoneticPr fontId="3" type="noConversion"/>
  </si>
  <si>
    <t>전 품목 5시 즈음에 품절되었고, 이후에도 손님이 많이 다녀가셨습니다.</t>
    <phoneticPr fontId="3" type="noConversion"/>
  </si>
  <si>
    <t>2026년 2월 14일 (토요일)</t>
    <phoneticPr fontId="3" type="noConversion"/>
  </si>
  <si>
    <t>여의도</t>
    <phoneticPr fontId="3" type="noConversion"/>
  </si>
  <si>
    <t>김윤희</t>
    <phoneticPr fontId="3" type="noConversion"/>
  </si>
  <si>
    <t>맑음</t>
    <phoneticPr fontId="3" type="noConversion"/>
  </si>
  <si>
    <t>11</t>
    <phoneticPr fontId="3" type="noConversion"/>
  </si>
  <si>
    <t>26</t>
    <phoneticPr fontId="3" type="noConversion"/>
  </si>
  <si>
    <t>이태리제 바게트 25개 납품 완료하였습니다.</t>
    <phoneticPr fontId="3" type="noConversion"/>
  </si>
  <si>
    <t>희주,도현,지림</t>
    <phoneticPr fontId="3" type="noConversion"/>
  </si>
  <si>
    <t>희주,도현,진옥,현진,노윤</t>
    <phoneticPr fontId="3" type="noConversion"/>
  </si>
  <si>
    <t>준모,윤희</t>
    <phoneticPr fontId="3" type="noConversion"/>
  </si>
  <si>
    <t>현진,윤경</t>
    <phoneticPr fontId="3" type="noConversion"/>
  </si>
  <si>
    <t>세은</t>
    <phoneticPr fontId="3" type="noConversion"/>
  </si>
  <si>
    <t>세은</t>
    <phoneticPr fontId="3" type="noConversion"/>
  </si>
  <si>
    <t>블랙올리브 굽기</t>
    <phoneticPr fontId="3" type="noConversion"/>
  </si>
  <si>
    <t>윤희(오픈) : 치아바타 힘 적당했습니다. / 당일바게트 오븐온도가 좀 낮아 색깔이 연하게 나왔습니다.</t>
    <phoneticPr fontId="3" type="noConversion"/>
  </si>
  <si>
    <t>준모(오픈) : 호밀스틱 물량 많은 느낌이였습니다. / 1차 크로아상 발효 조금 많았습니다.</t>
    <phoneticPr fontId="3" type="noConversion"/>
  </si>
  <si>
    <t>큰빵 위주로 손님들이 찾으셨고, 품절 이후에도 찾으시는 손님들이 많았습니다.</t>
    <phoneticPr fontId="3" type="noConversion"/>
  </si>
  <si>
    <t>구매해가시는 단위가 평소보다 많았습니다.</t>
    <phoneticPr fontId="3" type="noConversion"/>
  </si>
  <si>
    <t>2시 전까지 샌드위치를 찾으시는 손님들이 많았습니다.</t>
    <phoneticPr fontId="3" type="noConversion"/>
  </si>
  <si>
    <t>2026년  2월  15일 ( 일요일)</t>
    <phoneticPr fontId="3" type="noConversion"/>
  </si>
  <si>
    <t>여의도</t>
    <phoneticPr fontId="3" type="noConversion"/>
  </si>
  <si>
    <t>유준모</t>
    <phoneticPr fontId="3" type="noConversion"/>
  </si>
  <si>
    <t>10</t>
    <phoneticPr fontId="3" type="noConversion"/>
  </si>
  <si>
    <t>26</t>
    <phoneticPr fontId="3" type="noConversion"/>
  </si>
  <si>
    <t>유준모(오픈) : 냉장 제품들 전체적으로 발효 빨랐습니다. / 브레첼 반죽 전 날 발효가 많이 된 느낌</t>
    <phoneticPr fontId="3" type="noConversion"/>
  </si>
  <si>
    <t>금일 연희동 제품 이관 고은 팀장님께서 제품 추가로 요청 하셔서 기존보다 추가로 보냈습니다.</t>
    <phoneticPr fontId="3" type="noConversion"/>
  </si>
  <si>
    <t>도현,현진,희주,노윤</t>
    <phoneticPr fontId="3" type="noConversion"/>
  </si>
  <si>
    <t>설날 휴무로 기계들 끄고 퇴근 합니다.</t>
    <phoneticPr fontId="3" type="noConversion"/>
  </si>
  <si>
    <t>세은, 준모</t>
    <phoneticPr fontId="3" type="noConversion"/>
  </si>
  <si>
    <t>윤경</t>
    <phoneticPr fontId="3" type="noConversion"/>
  </si>
  <si>
    <t>윤희</t>
    <phoneticPr fontId="3" type="noConversion"/>
  </si>
  <si>
    <t>윤희</t>
    <phoneticPr fontId="3" type="noConversion"/>
  </si>
  <si>
    <t xml:space="preserve">김세은(오픈) : 냉장바게트 발효가 빨라 펀치 3번 했습니다. </t>
    <phoneticPr fontId="3" type="noConversion"/>
  </si>
  <si>
    <t xml:space="preserve">흐림 </t>
    <phoneticPr fontId="3" type="noConversion"/>
  </si>
  <si>
    <t>도우컨 날개 빼서 닦았습니다. / 브레드박스 닦았습니다.</t>
    <phoneticPr fontId="3" type="noConversion"/>
  </si>
  <si>
    <t xml:space="preserve">박텔 오븐 청소했습니다. </t>
    <phoneticPr fontId="3" type="noConversion"/>
  </si>
  <si>
    <t>브라운바게트가 일찍 품절되었습니다.</t>
    <phoneticPr fontId="3" type="noConversion"/>
  </si>
  <si>
    <t>정말 맛있고 좋은 빵이지만, 습기를 금방 먹는 것이 유일하게 아쉽다고 자주 사가시는 손님께서 의견 남기셨습니다.</t>
    <phoneticPr fontId="3" type="noConversion"/>
  </si>
  <si>
    <t>치아바타를 샌드위치용 말고 단독으로도 먹어도 되는지 여쭤보시는 손님이 계셨습니다.</t>
    <phoneticPr fontId="3" type="noConversion"/>
  </si>
  <si>
    <t>깜빠뉴를 사워도우 빵으로 오해하신 손님이 계셨습니다.</t>
    <phoneticPr fontId="3" type="noConversion"/>
  </si>
  <si>
    <t>냉장고 필터 청소 했습니다. / 브레첼 철판 닦았습니다.</t>
    <phoneticPr fontId="3" type="noConversion"/>
  </si>
  <si>
    <t>김윤희(마감) : 브레첼의 길이가 제각각입니다. / 뺑오 볼륨감은 좋았으나, 약간 뭉친 부분이 있었습니다.</t>
    <phoneticPr fontId="3" type="noConversion"/>
  </si>
  <si>
    <t>2026 년  2월 18 일 ( 수요일)</t>
    <phoneticPr fontId="3" type="noConversion"/>
  </si>
  <si>
    <t>여의도</t>
    <phoneticPr fontId="3" type="noConversion"/>
  </si>
  <si>
    <t>준모,윤경,윤희</t>
    <phoneticPr fontId="3" type="noConversion"/>
  </si>
  <si>
    <t>윤희</t>
    <phoneticPr fontId="3" type="noConversion"/>
  </si>
  <si>
    <t>도현,희주</t>
    <phoneticPr fontId="3" type="noConversion"/>
  </si>
  <si>
    <t>현진</t>
    <phoneticPr fontId="3" type="noConversion"/>
  </si>
  <si>
    <t>세은,노윤</t>
    <phoneticPr fontId="3" type="noConversion"/>
  </si>
  <si>
    <t>세은,노윤</t>
    <phoneticPr fontId="3" type="noConversion"/>
  </si>
  <si>
    <t xml:space="preserve">오픈(정희주) : 당일 바게트 단맛이 조금 부족하고 고소한맛은 잘 느껴졌습니다. </t>
    <phoneticPr fontId="3" type="noConversion"/>
  </si>
  <si>
    <t>김세은</t>
    <phoneticPr fontId="3" type="noConversion"/>
  </si>
  <si>
    <t>맑음</t>
    <phoneticPr fontId="3" type="noConversion"/>
  </si>
  <si>
    <t>5</t>
    <phoneticPr fontId="3" type="noConversion"/>
  </si>
  <si>
    <t>23</t>
    <phoneticPr fontId="3" type="noConversion"/>
  </si>
  <si>
    <t>오픈(김도현) : 스콘 식감이 퍼석하고 마르는 느낌이 강했습니다.(믹싱이 많아보였습니다.)</t>
    <phoneticPr fontId="3" type="noConversion"/>
  </si>
  <si>
    <t xml:space="preserve">마감(김세은) : 치아바타 오일 풍미가 잘 느껴지고 고소했습니다. </t>
    <phoneticPr fontId="3" type="noConversion"/>
  </si>
  <si>
    <t xml:space="preserve">파브리키친 납품 있습니다. </t>
    <phoneticPr fontId="3" type="noConversion"/>
  </si>
  <si>
    <t xml:space="preserve">이태리재 20개 납품 했습니다. </t>
    <phoneticPr fontId="3" type="noConversion"/>
  </si>
  <si>
    <t xml:space="preserve">반죽 옆 도우컨 윗칸 냉이 안 떨어집니다. (유일 사장님 전화드릴 예정) </t>
    <phoneticPr fontId="3" type="noConversion"/>
  </si>
  <si>
    <t>2026년  2월  19일 ( 목요일)</t>
    <phoneticPr fontId="3" type="noConversion"/>
  </si>
  <si>
    <t>여의도</t>
    <phoneticPr fontId="3" type="noConversion"/>
  </si>
  <si>
    <t>유준모</t>
    <phoneticPr fontId="3" type="noConversion"/>
  </si>
  <si>
    <t>6</t>
    <phoneticPr fontId="3" type="noConversion"/>
  </si>
  <si>
    <t>25</t>
    <phoneticPr fontId="3" type="noConversion"/>
  </si>
  <si>
    <t>오픈(정희주) : 냉장 치아바타가 힘이 강했습니다. 스콘 물량 전날과 동일하게 287로 진행했고 맛,식감 괜찮았습니다.</t>
    <phoneticPr fontId="3" type="noConversion"/>
  </si>
  <si>
    <t>오픈(유준모) : 식빵 발효 앞 뒤 차이가 컸습니다. / 냉장 깜빠뉴들 껍질이 두꺼웠습니다.</t>
    <phoneticPr fontId="3" type="noConversion"/>
  </si>
  <si>
    <t>도우컨 수리로 유일 사장님께 연락드렸습니다.</t>
    <phoneticPr fontId="3" type="noConversion"/>
  </si>
  <si>
    <t>금일 심팩홀딩스, 파브리 납품 있었습니다.</t>
    <phoneticPr fontId="3" type="noConversion"/>
  </si>
  <si>
    <t>윤희</t>
    <phoneticPr fontId="3" type="noConversion"/>
  </si>
  <si>
    <t>지림</t>
    <phoneticPr fontId="3" type="noConversion"/>
  </si>
  <si>
    <t>희주, 준모</t>
    <phoneticPr fontId="3" type="noConversion"/>
  </si>
  <si>
    <t>현진, 윤경</t>
    <phoneticPr fontId="3" type="noConversion"/>
  </si>
  <si>
    <t>세은</t>
    <phoneticPr fontId="3" type="noConversion"/>
  </si>
  <si>
    <t>세은</t>
    <phoneticPr fontId="3" type="noConversion"/>
  </si>
  <si>
    <t xml:space="preserve">마감(김세은) : 치아바타 분할 할때 힘이 강해서 발효 충분히 보고 구웠습니다. </t>
    <phoneticPr fontId="3" type="noConversion"/>
  </si>
  <si>
    <t xml:space="preserve">무화과 잘랐습니다. </t>
    <phoneticPr fontId="3" type="noConversion"/>
  </si>
  <si>
    <t>맑음</t>
    <phoneticPr fontId="3" type="noConversion"/>
  </si>
  <si>
    <t xml:space="preserve">연희점-&gt;여희도 호밀빵 5개 이관 하였습니다. </t>
    <phoneticPr fontId="3" type="noConversion"/>
  </si>
  <si>
    <t>버터브레첼이 금일 40개 예약이 있어서 일찍 품절되었습니다.</t>
    <phoneticPr fontId="3" type="noConversion"/>
  </si>
  <si>
    <t>보내주신 호밀빵 5개가 전부 판매되었습니다. 진열하자마자 구매 반응이 있었습니다.</t>
    <phoneticPr fontId="3" type="noConversion"/>
  </si>
  <si>
    <t>시식으로 바게트를 맛 보신 후 바게트 하프에서 홀사이즈로 구매하신 손님이 계셨습니다.</t>
    <phoneticPr fontId="3" type="noConversion"/>
  </si>
  <si>
    <t>금일 큰빵, 작은빵이 골고루 판매되었고, 전품목 품절되었습니다.</t>
    <phoneticPr fontId="3" type="noConversion"/>
  </si>
  <si>
    <t>2026 년  2월  20일 ( 금요일)</t>
    <phoneticPr fontId="3" type="noConversion"/>
  </si>
  <si>
    <t>여의도</t>
    <phoneticPr fontId="3" type="noConversion"/>
  </si>
  <si>
    <t>정희주</t>
    <phoneticPr fontId="3" type="noConversion"/>
  </si>
  <si>
    <t>맑음</t>
    <phoneticPr fontId="3" type="noConversion"/>
  </si>
  <si>
    <t>24</t>
    <phoneticPr fontId="3" type="noConversion"/>
  </si>
  <si>
    <t>12</t>
    <phoneticPr fontId="3" type="noConversion"/>
  </si>
  <si>
    <t>도현</t>
    <phoneticPr fontId="3" type="noConversion"/>
  </si>
  <si>
    <t>희주,도현</t>
    <phoneticPr fontId="3" type="noConversion"/>
  </si>
  <si>
    <t>도현,희주</t>
    <phoneticPr fontId="3" type="noConversion"/>
  </si>
  <si>
    <t>현진,윤경</t>
    <phoneticPr fontId="3" type="noConversion"/>
  </si>
  <si>
    <t>세은</t>
    <phoneticPr fontId="3" type="noConversion"/>
  </si>
  <si>
    <t>세은</t>
    <phoneticPr fontId="3" type="noConversion"/>
  </si>
  <si>
    <t>오픈(정희주) : 치아바타 힘이 강했습니다. 올리브오일 맛은 잘 느껴졌습니다.</t>
    <phoneticPr fontId="3" type="noConversion"/>
  </si>
  <si>
    <t>오픈(유준모) : 스콘 반죽 물량 조금 많았습니다. 현재 287</t>
    <phoneticPr fontId="3" type="noConversion"/>
  </si>
  <si>
    <t>금일 심팩홀딩스 납품 있었습니다.</t>
    <phoneticPr fontId="3" type="noConversion"/>
  </si>
  <si>
    <t>투스타 택배 배송 왔습니다.</t>
    <phoneticPr fontId="3" type="noConversion"/>
  </si>
  <si>
    <t>미들(김윤희) : 크로와상 몇 개가 성형 모양이 안 좋았습니다. 꼬리가 돌아가서 꼬리 부분이 약간 탔습니다.</t>
    <phoneticPr fontId="3" type="noConversion"/>
  </si>
  <si>
    <t xml:space="preserve">마감(김세은) : 블랙올리브 짠맛 느껴지지 않고 식감 목넘김 좋았습니다. </t>
    <phoneticPr fontId="3" type="noConversion"/>
  </si>
  <si>
    <t xml:space="preserve">신발장 청소 했습니다. </t>
    <phoneticPr fontId="3" type="noConversion"/>
  </si>
  <si>
    <t xml:space="preserve">이태리재 납품 있습니다. </t>
    <phoneticPr fontId="3" type="noConversion"/>
  </si>
  <si>
    <t xml:space="preserve">크랜베리 담궜습니다. </t>
    <phoneticPr fontId="3" type="noConversion"/>
  </si>
  <si>
    <t>무화과호밀스틱과 스콘이 조기 품절되어 찾으시는 손님이 많았습니다.</t>
    <phoneticPr fontId="3" type="noConversion"/>
  </si>
  <si>
    <t>샌드위치가 조기 품절되었고,한 손님께서 품절시간대를 궁금해하셨습니다</t>
    <phoneticPr fontId="3" type="noConversion"/>
  </si>
  <si>
    <t>사워도우 빵이 있는지 여쭤보시는 손님이 두분 계셨습니다.</t>
    <phoneticPr fontId="3" type="noConversion"/>
  </si>
  <si>
    <t>깜빠뉴 품절 이후에 찾으시는 손님이 많았습니다. 호밀빵 시식한 분들은 전부 호밀빵 구매로 이어졌습니다.</t>
    <phoneticPr fontId="3" type="noConversion"/>
  </si>
  <si>
    <t>2026년 2월 21일 (토요일)</t>
    <phoneticPr fontId="3" type="noConversion"/>
  </si>
  <si>
    <t>여의도</t>
    <phoneticPr fontId="3" type="noConversion"/>
  </si>
  <si>
    <t>김윤희</t>
    <phoneticPr fontId="3" type="noConversion"/>
  </si>
  <si>
    <t>맑음</t>
    <phoneticPr fontId="3" type="noConversion"/>
  </si>
  <si>
    <t>17</t>
    <phoneticPr fontId="3" type="noConversion"/>
  </si>
  <si>
    <t>26</t>
    <phoneticPr fontId="3" type="noConversion"/>
  </si>
  <si>
    <t>이태리제 바게트 25개 납품완료하였습니다.</t>
    <phoneticPr fontId="3" type="noConversion"/>
  </si>
  <si>
    <t>도현,희주</t>
    <phoneticPr fontId="3" type="noConversion"/>
  </si>
  <si>
    <t>윤경,세은,현진</t>
    <phoneticPr fontId="3" type="noConversion"/>
  </si>
  <si>
    <t>준모,윤희</t>
    <phoneticPr fontId="3" type="noConversion"/>
  </si>
  <si>
    <t>현진,윤경</t>
    <phoneticPr fontId="3" type="noConversion"/>
  </si>
  <si>
    <t>세은</t>
    <phoneticPr fontId="3" type="noConversion"/>
  </si>
  <si>
    <t>세은</t>
    <phoneticPr fontId="3" type="noConversion"/>
  </si>
  <si>
    <t>윤희(오픈) : 크로와상,뺑오 볼륨감과 결이 좋았습니다. / 치아바타 오일의 풍미 좋았습니다.</t>
    <phoneticPr fontId="3" type="noConversion"/>
  </si>
  <si>
    <t>준모(오픈) : 냉장 화이트바게트 발효 많았습니다. 날씨 따뜻해서 발효가 전체적으로 빨라졌습니다.</t>
    <phoneticPr fontId="3" type="noConversion"/>
  </si>
  <si>
    <t xml:space="preserve">세은(마감) : 오늘 크랜베리스콘 반죽 칠 때 조정수가 살짝 많이들어가서 질었습니다. </t>
    <phoneticPr fontId="3" type="noConversion"/>
  </si>
  <si>
    <t xml:space="preserve">크랜베리 소분 하였습니다. </t>
    <phoneticPr fontId="3" type="noConversion"/>
  </si>
  <si>
    <t xml:space="preserve">미베 오븐 청소 하였습니다. </t>
    <phoneticPr fontId="3" type="noConversion"/>
  </si>
  <si>
    <t xml:space="preserve">브레첼 철판 닦았습니다. </t>
    <phoneticPr fontId="3" type="noConversion"/>
  </si>
  <si>
    <t>12시부터 2시사이에 많은 손님이 방문하여 구매해가셨습니다.</t>
    <phoneticPr fontId="3" type="noConversion"/>
  </si>
  <si>
    <t>무화과호밀스틱이 조기품절되어 이후에 찾으시는 손님 계셨습니다.</t>
    <phoneticPr fontId="3" type="noConversion"/>
  </si>
  <si>
    <t>바게트와 식빵은 품절 이후에 찾으시는 손님이 많았습니다.</t>
    <phoneticPr fontId="3" type="noConversion"/>
  </si>
  <si>
    <t>토마토수프의 시식 후 맛있다는 반응 많았습니다.</t>
    <phoneticPr fontId="3" type="noConversion"/>
  </si>
  <si>
    <t>오픈(김도현) : 금일 브레첼 성형 할때 반죽에 탄력이 부족하고 물을 뿜어내는 느낌이 강했습니다.</t>
    <phoneticPr fontId="3" type="noConversion"/>
  </si>
  <si>
    <t>2026 년  2월  22일 ( 일요일)</t>
    <phoneticPr fontId="3" type="noConversion"/>
  </si>
  <si>
    <t>여의도</t>
    <phoneticPr fontId="3" type="noConversion"/>
  </si>
  <si>
    <t>정희주</t>
    <phoneticPr fontId="3" type="noConversion"/>
  </si>
  <si>
    <t>9</t>
    <phoneticPr fontId="3" type="noConversion"/>
  </si>
  <si>
    <t>흐림</t>
    <phoneticPr fontId="3" type="noConversion"/>
  </si>
  <si>
    <t>호두 구웠습니다.</t>
    <phoneticPr fontId="3" type="noConversion"/>
  </si>
  <si>
    <t>윤경,세은,현진</t>
    <phoneticPr fontId="3" type="noConversion"/>
  </si>
  <si>
    <t>윤희,준모,현진,노윤</t>
    <phoneticPr fontId="3" type="noConversion"/>
  </si>
  <si>
    <t>준모</t>
    <phoneticPr fontId="3" type="noConversion"/>
  </si>
  <si>
    <t>오픈(정희주) : 크로와상 모양은 괜찮았지만 버터 풍미가 약했습니다.</t>
    <phoneticPr fontId="3" type="noConversion"/>
  </si>
  <si>
    <t>미들(김윤희) : 당일바게트 껍질이 약간 두껍고, 단맛이 덜했으나, 버터의 풍미는 좋았습니다.</t>
    <phoneticPr fontId="3" type="noConversion"/>
  </si>
  <si>
    <t>심팩홀딩스 납품 있습니다.</t>
    <phoneticPr fontId="3" type="noConversion"/>
  </si>
  <si>
    <t xml:space="preserve">노란박스 청소 완료하였습니다. </t>
    <phoneticPr fontId="3" type="noConversion"/>
  </si>
  <si>
    <t>스크래퍼 등등 기물 청소 완료하였습니다.</t>
    <phoneticPr fontId="3" type="noConversion"/>
  </si>
  <si>
    <t>2026 년  2월  23일 ( 월요일)</t>
    <phoneticPr fontId="3" type="noConversion"/>
  </si>
  <si>
    <t>여의도</t>
    <phoneticPr fontId="3" type="noConversion"/>
  </si>
  <si>
    <t>정희주</t>
    <phoneticPr fontId="3" type="noConversion"/>
  </si>
  <si>
    <t>23</t>
    <phoneticPr fontId="3" type="noConversion"/>
  </si>
  <si>
    <t>흐림</t>
    <phoneticPr fontId="3" type="noConversion"/>
  </si>
  <si>
    <t>5</t>
    <phoneticPr fontId="3" type="noConversion"/>
  </si>
  <si>
    <t>윤희,준모,현진,노윤</t>
    <phoneticPr fontId="3" type="noConversion"/>
  </si>
  <si>
    <t>도현,희주</t>
    <phoneticPr fontId="3" type="noConversion"/>
  </si>
  <si>
    <t>윤경</t>
    <phoneticPr fontId="3" type="noConversion"/>
  </si>
  <si>
    <t>세은</t>
    <phoneticPr fontId="3" type="noConversion"/>
  </si>
  <si>
    <t>세은</t>
    <phoneticPr fontId="3" type="noConversion"/>
  </si>
  <si>
    <t>오픈(정희주) : 스콘 바스라지는 식감이었고 버터 풍미 잘 느껴졌습니다.</t>
    <phoneticPr fontId="3" type="noConversion"/>
  </si>
  <si>
    <t xml:space="preserve">마감(김세은) : 브레첼 겉은 바삭하고 속은 쫀득한 느낌이였습니다. </t>
    <phoneticPr fontId="3" type="noConversion"/>
  </si>
  <si>
    <t xml:space="preserve">심팩 납품 완료 했습니다. </t>
    <phoneticPr fontId="3" type="noConversion"/>
  </si>
  <si>
    <t xml:space="preserve">올리브 구웠습니다. </t>
    <phoneticPr fontId="3" type="noConversion"/>
  </si>
  <si>
    <t>깜빠뉴와 블랙올리브를 비교하여 소금 함량을 여쭤보신 손님이 계셨습니다. 아이가 정말 좋아한다고 말씀해주셨습니다.</t>
    <phoneticPr fontId="3" type="noConversion"/>
  </si>
  <si>
    <t>샌드위치+수프 주문이 연달아 3번 들어왔습니다.</t>
    <phoneticPr fontId="3" type="noConversion"/>
  </si>
  <si>
    <t>샌드위치 품절 이후에 방문하신 손님께서 아쉬워하시며 품절 시간을 여쭤보셨습니다.</t>
    <phoneticPr fontId="3" type="noConversion"/>
  </si>
  <si>
    <t>식빵 품절 이후에 찾으시는 손님 종종 계셨습니다.</t>
    <phoneticPr fontId="3" type="noConversion"/>
  </si>
  <si>
    <t>2026년 2월 24일 (화요일)</t>
    <phoneticPr fontId="3" type="noConversion"/>
  </si>
  <si>
    <t>여의도</t>
    <phoneticPr fontId="3" type="noConversion"/>
  </si>
  <si>
    <t>김윤희</t>
    <phoneticPr fontId="3" type="noConversion"/>
  </si>
  <si>
    <t>흐림</t>
    <phoneticPr fontId="3" type="noConversion"/>
  </si>
  <si>
    <t>3</t>
    <phoneticPr fontId="3" type="noConversion"/>
  </si>
  <si>
    <t>24</t>
    <phoneticPr fontId="3" type="noConversion"/>
  </si>
  <si>
    <t>심팩홀딩스 납품 완료하였습니다.</t>
    <phoneticPr fontId="3" type="noConversion"/>
  </si>
  <si>
    <t>파브리키친 깜빠뉴 40개 납품 있습니다.</t>
    <phoneticPr fontId="3" type="noConversion"/>
  </si>
  <si>
    <t>진옥,희주,도현,현진,노윤</t>
  </si>
  <si>
    <t>진옥,희주,도현,현진,노윤</t>
    <phoneticPr fontId="3" type="noConversion"/>
  </si>
  <si>
    <t>윤경,도현,현진</t>
    <phoneticPr fontId="3" type="noConversion"/>
  </si>
  <si>
    <t>윤희</t>
    <phoneticPr fontId="3" type="noConversion"/>
  </si>
  <si>
    <t>윤경</t>
    <phoneticPr fontId="3" type="noConversion"/>
  </si>
  <si>
    <t>세은</t>
    <phoneticPr fontId="3" type="noConversion"/>
  </si>
  <si>
    <t>세은</t>
    <phoneticPr fontId="3" type="noConversion"/>
  </si>
  <si>
    <t>윤희(오픈) : 당일바게트 내상 잘 열려있고, 버터의 풍미도 좋았으나, 끝에 단맛이 살짝 부족합니다.</t>
    <phoneticPr fontId="3" type="noConversion"/>
  </si>
  <si>
    <t>뺑오쇼콜라 찾으시는 분들이 많았고, 1시즈음 품절되었습니다.</t>
    <phoneticPr fontId="3" type="noConversion"/>
  </si>
  <si>
    <t>준모(미들) : 브레첼 반죽 성형시에 건조한 느낌</t>
    <phoneticPr fontId="3" type="noConversion"/>
  </si>
  <si>
    <t>이태리제 바게트 15개 납품 있습니다.</t>
    <phoneticPr fontId="3" type="noConversion"/>
  </si>
  <si>
    <t>호밀빵은 건강에 좋은 빵인지, 깜빠뉴와 만드는 방식이 같은지, 르방을 사용하여 만든건지 여쭤보시는 손님이 계셨습니다.</t>
    <phoneticPr fontId="3" type="noConversion"/>
  </si>
  <si>
    <t xml:space="preserve">금일 스프와 샌드위치 찾으시는 손님들이 많았습니다. </t>
    <phoneticPr fontId="3" type="noConversion"/>
  </si>
  <si>
    <t>식빵 찾으시는 손님이 많았습니다. 품절 이후에도 문의있었습니다. 구름빵을 제외한 제품들이 품절되었습니다.</t>
    <phoneticPr fontId="3" type="noConversion"/>
  </si>
  <si>
    <t>2026 년  2월  25일 ( 수요일)</t>
    <phoneticPr fontId="3" type="noConversion"/>
  </si>
  <si>
    <t>여의도</t>
    <phoneticPr fontId="3" type="noConversion"/>
  </si>
  <si>
    <t>정희주</t>
    <phoneticPr fontId="3" type="noConversion"/>
  </si>
  <si>
    <t>13</t>
    <phoneticPr fontId="3" type="noConversion"/>
  </si>
  <si>
    <t>맑음</t>
    <phoneticPr fontId="3" type="noConversion"/>
  </si>
  <si>
    <t>오픈(정희주) : 치아바타 힘이 강했고 고소한맛이 느껴졌지만 오일향이 부족했습니다.</t>
    <phoneticPr fontId="3" type="noConversion"/>
  </si>
  <si>
    <t>윤경,도현,현진</t>
    <phoneticPr fontId="3" type="noConversion"/>
  </si>
  <si>
    <t>도현,윤희,현진,지림</t>
    <phoneticPr fontId="3" type="noConversion"/>
  </si>
  <si>
    <t>준모,희주</t>
    <phoneticPr fontId="3" type="noConversion"/>
  </si>
  <si>
    <t>윤희</t>
    <phoneticPr fontId="3" type="noConversion"/>
  </si>
  <si>
    <t>세은</t>
    <phoneticPr fontId="3" type="noConversion"/>
  </si>
  <si>
    <t>26</t>
    <phoneticPr fontId="3" type="noConversion"/>
  </si>
  <si>
    <t>심팩홀딩스, 이태리재, 파브리키친 납품했습니다.</t>
    <phoneticPr fontId="3" type="noConversion"/>
  </si>
  <si>
    <t>오픈(유준모) : 전체적으로 반죽들 힘 이 좋았습니다.</t>
    <phoneticPr fontId="3" type="noConversion"/>
  </si>
  <si>
    <t xml:space="preserve">마감(김세은) : 치아바타 분할 시 힘이 셌습니다. 고소한 맛은 잘 느껴졌습니다. </t>
    <phoneticPr fontId="3" type="noConversion"/>
  </si>
  <si>
    <t>블랙올리브 구웠습니다.</t>
    <phoneticPr fontId="3" type="noConversion"/>
  </si>
  <si>
    <t>금일 식빵,깜빠뉴 같은 큰 빵 찾으시는 손님 많았습니다.</t>
    <phoneticPr fontId="3" type="noConversion"/>
  </si>
  <si>
    <t>버터브레첼 찾으시는 손님 많았고, 1시 전후로 마감되었습니다.</t>
    <phoneticPr fontId="3" type="noConversion"/>
  </si>
  <si>
    <t>뺑오쇼콜라와 크로와상은 12시전후로 마감되었습니다.</t>
    <phoneticPr fontId="3" type="noConversion"/>
  </si>
  <si>
    <t xml:space="preserve">오전에 배달로 주문주시는 손님들이 많았습니다. </t>
    <phoneticPr fontId="3" type="noConversion"/>
  </si>
  <si>
    <t xml:space="preserve">마감(김윤희) : 당일 바게트 내상이 잘 안 열려있었고, 버터와 단맛이 부족하였습니다. </t>
    <phoneticPr fontId="3" type="noConversion"/>
  </si>
  <si>
    <t>심팩홀딩스 납품있습니다.</t>
    <phoneticPr fontId="3" type="noConversion"/>
  </si>
  <si>
    <t>2025 년 2 월 26 일 ( 목요일)</t>
    <phoneticPr fontId="3" type="noConversion"/>
  </si>
  <si>
    <t>여의도</t>
    <phoneticPr fontId="3" type="noConversion"/>
  </si>
  <si>
    <t>유준모</t>
    <phoneticPr fontId="3" type="noConversion"/>
  </si>
  <si>
    <t>흐림</t>
    <phoneticPr fontId="3" type="noConversion"/>
  </si>
  <si>
    <t>26</t>
    <phoneticPr fontId="3" type="noConversion"/>
  </si>
  <si>
    <t>12</t>
    <phoneticPr fontId="3" type="noConversion"/>
  </si>
  <si>
    <t>금일 심팩홀딩스 납품 있었습니다.</t>
    <phoneticPr fontId="3" type="noConversion"/>
  </si>
  <si>
    <t xml:space="preserve">매머드커피 예치금 사용 했습니다. </t>
    <phoneticPr fontId="3" type="noConversion"/>
  </si>
  <si>
    <t>크랜베리 소분</t>
    <phoneticPr fontId="3" type="noConversion"/>
  </si>
  <si>
    <t>도현, 윤희, 지림</t>
    <phoneticPr fontId="3" type="noConversion"/>
  </si>
  <si>
    <t>세은, 준모, 지림</t>
    <phoneticPr fontId="3" type="noConversion"/>
  </si>
  <si>
    <t>유준모(오픈) : 냉장 크로아상 발효 빨랐습니다. / 냉장 치아바타 전 날 대비 발효실 발효 충분히 봤습니다.</t>
    <phoneticPr fontId="3" type="noConversion"/>
  </si>
  <si>
    <t>희주 ,준모</t>
    <phoneticPr fontId="3" type="noConversion"/>
  </si>
  <si>
    <t>윤경</t>
    <phoneticPr fontId="3" type="noConversion"/>
  </si>
  <si>
    <t>노윤</t>
    <phoneticPr fontId="3" type="noConversion"/>
  </si>
  <si>
    <t>노윤</t>
    <phoneticPr fontId="3" type="noConversion"/>
  </si>
  <si>
    <t>정희주(오픈) : 스콘 물량 287로 진행했고 우유추가 없이 했더니 되기 괜찮았습니다.</t>
    <phoneticPr fontId="3" type="noConversion"/>
  </si>
  <si>
    <t xml:space="preserve">김세은(마감) : 냉장 치아바타 분할 시, 어제보다 힘 풀려있었고, 발효도 충분히 봤습니다. </t>
    <phoneticPr fontId="3" type="noConversion"/>
  </si>
  <si>
    <t>호밀빵이 출시요일에 대한 공지는 어디서 확인할 수 있는지, 천연발효종으로 만드는 빵인지에 대해 여쭤보시는 손님이 계셨습니다.</t>
    <phoneticPr fontId="3" type="noConversion"/>
  </si>
  <si>
    <t>12,500원 건 (치아바타 1, 화치아바타1, 무화과호밀스틱 1) 은 토스단말기가 아닌 카드단말기로 결제했습니다.</t>
    <phoneticPr fontId="3" type="noConversion"/>
  </si>
  <si>
    <t>식빵이 이른 시간에 품절되었습니다. 하프사이즈로 구매하시는 손님이 많았습니다.</t>
    <phoneticPr fontId="3" type="noConversion"/>
  </si>
  <si>
    <t>품절 이후에도 스콘을 찾으시는 손님이 종종 계셨습니다. 버터프레첼을 찾으시는 손님이 많았으나, 이른 품절되었습니다.</t>
    <phoneticPr fontId="3" type="noConversion"/>
  </si>
  <si>
    <t>오픈(김도현) : 금일 당일바게트 성형 시에 공기 잘 차있었습니다.
(색은 잘 나왔으나 2차발효가 많은느낌으로 약간 신맛이 올라옵니다.)</t>
    <phoneticPr fontId="3" type="noConversion"/>
  </si>
  <si>
    <t>2026 년  2월  27일 ( 금요일)</t>
    <phoneticPr fontId="3" type="noConversion"/>
  </si>
  <si>
    <t>여의도</t>
    <phoneticPr fontId="3" type="noConversion"/>
  </si>
  <si>
    <t>정희주</t>
    <phoneticPr fontId="3" type="noConversion"/>
  </si>
  <si>
    <t>26.5</t>
    <phoneticPr fontId="3" type="noConversion"/>
  </si>
  <si>
    <t>맑음</t>
    <phoneticPr fontId="3" type="noConversion"/>
  </si>
  <si>
    <t>12</t>
    <phoneticPr fontId="3" type="noConversion"/>
  </si>
  <si>
    <t>세은,준모,현진,지림</t>
    <phoneticPr fontId="3" type="noConversion"/>
  </si>
  <si>
    <t>준모,진옥,희주,현진,지림</t>
    <phoneticPr fontId="3" type="noConversion"/>
  </si>
  <si>
    <t>도현,희주</t>
    <phoneticPr fontId="3" type="noConversion"/>
  </si>
  <si>
    <t>윤경</t>
    <phoneticPr fontId="3" type="noConversion"/>
  </si>
  <si>
    <t>위생/마감 점검</t>
    <phoneticPr fontId="4" type="noConversion"/>
  </si>
  <si>
    <t>윤희</t>
    <phoneticPr fontId="3" type="noConversion"/>
  </si>
  <si>
    <t>윤희</t>
    <phoneticPr fontId="3" type="noConversion"/>
  </si>
  <si>
    <t>오픈(정희주) : 오늘 브레첼 성형시 탄력이 부족해서 2차 믹싱을 좀 더 했습니다. 스콘 물량 287로 진행했고 맛,식감 좋았습니다.</t>
    <phoneticPr fontId="3" type="noConversion"/>
  </si>
  <si>
    <t>미들(김윤희) : 금일 크로와상 꼬리가 돌아간 게 몇 개 있었습니다. / 성형이나 팬닝할 때 주의해야 할 거 같습니다.</t>
    <phoneticPr fontId="3" type="noConversion"/>
  </si>
  <si>
    <t xml:space="preserve">이태리제 바게트 25개 납품있습니다. </t>
    <phoneticPr fontId="3" type="noConversion"/>
  </si>
  <si>
    <t>전품목 품절되었습니다. 큰 빵 위주로 찾으시는 손님 많았습니다.</t>
    <phoneticPr fontId="3" type="noConversion"/>
  </si>
  <si>
    <t>매장 전화가 계속 통화중이라 예약을 못했다며 아쉬워하신 손님 계셨습니다. 전화를 14통하셨다고 통화기록을 보여주셨습니다. 매장에는 전화온 적이 없었어서 전화기 원인 파악 필요합니다.</t>
    <phoneticPr fontId="3" type="noConversion"/>
  </si>
  <si>
    <t>통곡물로 만드는 빵이 있는지 여쭤보시는 손님 계셨습니다.</t>
    <phoneticPr fontId="3" type="noConversion"/>
  </si>
  <si>
    <t>이관된 호밀빵 3개 시식하기 전에 전부 품절되었습니다.</t>
    <phoneticPr fontId="3" type="noConversion"/>
  </si>
  <si>
    <t>2026년 2월 28일 (토요일)</t>
    <phoneticPr fontId="3" type="noConversion"/>
  </si>
  <si>
    <t>여의도</t>
    <phoneticPr fontId="3" type="noConversion"/>
  </si>
  <si>
    <t>김윤희</t>
    <phoneticPr fontId="3" type="noConversion"/>
  </si>
  <si>
    <t>맑음</t>
    <phoneticPr fontId="3" type="noConversion"/>
  </si>
  <si>
    <t>13</t>
    <phoneticPr fontId="3" type="noConversion"/>
  </si>
  <si>
    <t>26</t>
    <phoneticPr fontId="3" type="noConversion"/>
  </si>
  <si>
    <t xml:space="preserve">이태리제 바게트 25개 &gt; 15개 납품하였습니다. </t>
    <phoneticPr fontId="3" type="noConversion"/>
  </si>
  <si>
    <t>준모,진옥,희주,현진,지림</t>
    <phoneticPr fontId="3" type="noConversion"/>
  </si>
  <si>
    <t>윤경,진옥,노윤,준모</t>
    <phoneticPr fontId="3" type="noConversion"/>
  </si>
  <si>
    <t>도현,윤희</t>
    <phoneticPr fontId="3" type="noConversion"/>
  </si>
  <si>
    <t>윤경</t>
    <phoneticPr fontId="3" type="noConversion"/>
  </si>
  <si>
    <t>노윤</t>
    <phoneticPr fontId="3" type="noConversion"/>
  </si>
  <si>
    <t>노윤</t>
    <phoneticPr fontId="3" type="noConversion"/>
  </si>
  <si>
    <t xml:space="preserve">윤희(오픈) : 바게트 반죽이 전체적으로 힘이 세서 조정수를 많이 넣었습니다. </t>
    <phoneticPr fontId="3" type="noConversion"/>
  </si>
  <si>
    <t>도현(오픈) : 냉장 바게트 반죽 어제보다 힘이 강한 편으로 성형할때 힘이 잘 안풀렸습니다.</t>
    <phoneticPr fontId="3" type="noConversion"/>
  </si>
  <si>
    <t>배달 주문이 점심시간대에 꾸준하게 많이 있었습니다.</t>
    <phoneticPr fontId="3" type="noConversion"/>
  </si>
  <si>
    <t>방문손님이 계속 꾸준히 있었습니다. 주차등록하시는 손님이 대부분이었습니다.</t>
    <phoneticPr fontId="3" type="noConversion"/>
  </si>
  <si>
    <t>오전~12시 전에 치아바타를 찾으시는 손님이 많았습니다.</t>
    <phoneticPr fontId="3" type="noConversion"/>
  </si>
  <si>
    <t>뺑오쇼콜라, 무화과호밀스틱, 스콘류가 조기 품절되었습니다. / 전품목 품절입니다.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</si>
</sst>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 ;[Red]\-0\ "/>
    <numFmt numFmtId="177" formatCode="0.0_ ;[Red]\-0.0\ "/>
    <numFmt numFmtId="178" formatCode="0.0%"/>
  </numFmts>
  <fonts count="29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b/>
      <sz val="24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color rgb="FF000000"/>
      <name val="맑은 고딕"/>
      <family val="3"/>
      <charset val="129"/>
    </font>
    <font>
      <sz val="8"/>
      <name val="맑은 고딕"/>
      <family val="3"/>
      <charset val="129"/>
    </font>
    <font>
      <sz val="11"/>
      <color theme="0" tint="-0.34998626667073579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theme="0" tint="-0.34998626667073579"/>
      <name val="맑은 고딕"/>
      <family val="3"/>
      <charset val="129"/>
    </font>
    <font>
      <b/>
      <sz val="10"/>
      <color indexed="81"/>
      <name val="돋움"/>
      <family val="3"/>
      <charset val="129"/>
    </font>
    <font>
      <b/>
      <sz val="10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b/>
      <sz val="11"/>
      <color theme="1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24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4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u/>
      <sz val="11"/>
      <color theme="1"/>
      <name val="맑은 고딕"/>
      <family val="3"/>
      <charset val="129"/>
      <scheme val="minor"/>
    </font>
    <font>
      <i/>
      <sz val="11"/>
      <color rgb="FF000000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9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>
      <alignment vertical="center"/>
    </xf>
  </cellStyleXfs>
  <cellXfs count="421">
    <xf numFmtId="0" fontId="0" fillId="0" borderId="0" xfId="0">
      <alignment vertical="center"/>
    </xf>
    <xf numFmtId="0" fontId="2" fillId="0" borderId="0" xfId="3" applyNumberFormat="1" applyFont="1" applyFill="1" applyBorder="1" applyAlignment="1">
      <alignment horizontal="center" vertical="center"/>
    </xf>
    <xf numFmtId="0" fontId="1" fillId="0" borderId="0" xfId="3" applyNumberFormat="1" applyFill="1">
      <alignment vertical="center"/>
    </xf>
    <xf numFmtId="0" fontId="7" fillId="0" borderId="0" xfId="3" applyNumberFormat="1" applyFont="1" applyFill="1" applyBorder="1" applyAlignment="1">
      <alignment horizontal="left" vertical="center"/>
    </xf>
    <xf numFmtId="0" fontId="5" fillId="0" borderId="11" xfId="3" applyNumberFormat="1" applyFont="1" applyFill="1" applyBorder="1">
      <alignment vertical="center"/>
    </xf>
    <xf numFmtId="0" fontId="5" fillId="0" borderId="10" xfId="3" applyNumberFormat="1" applyFont="1" applyFill="1" applyBorder="1" applyAlignment="1">
      <alignment horizontal="left" vertical="center"/>
    </xf>
    <xf numFmtId="0" fontId="1" fillId="3" borderId="17" xfId="3" applyNumberFormat="1" applyFill="1" applyBorder="1">
      <alignment vertical="center"/>
    </xf>
    <xf numFmtId="0" fontId="1" fillId="3" borderId="16" xfId="3" applyNumberFormat="1" applyFill="1" applyBorder="1">
      <alignment vertical="center"/>
    </xf>
    <xf numFmtId="0" fontId="1" fillId="3" borderId="0" xfId="3" applyNumberFormat="1" applyFill="1" applyBorder="1">
      <alignment vertical="center"/>
    </xf>
    <xf numFmtId="0" fontId="1" fillId="3" borderId="0" xfId="3" applyNumberFormat="1" applyFill="1" applyBorder="1" applyAlignment="1">
      <alignment vertical="center"/>
    </xf>
    <xf numFmtId="0" fontId="1" fillId="2" borderId="12" xfId="3" applyNumberFormat="1" applyFont="1" applyFill="1" applyBorder="1" applyAlignment="1">
      <alignment horizontal="center" vertical="center"/>
    </xf>
    <xf numFmtId="0" fontId="1" fillId="2" borderId="14" xfId="3" applyNumberFormat="1" applyFill="1" applyBorder="1" applyAlignment="1">
      <alignment horizontal="center" vertical="center"/>
    </xf>
    <xf numFmtId="0" fontId="1" fillId="2" borderId="12" xfId="3" applyNumberFormat="1" applyFill="1" applyBorder="1" applyAlignment="1">
      <alignment horizontal="center" vertical="center"/>
    </xf>
    <xf numFmtId="0" fontId="1" fillId="2" borderId="18" xfId="3" applyNumberFormat="1" applyFill="1" applyBorder="1" applyAlignment="1">
      <alignment horizontal="center" vertical="center"/>
    </xf>
    <xf numFmtId="0" fontId="1" fillId="0" borderId="12" xfId="3" applyNumberFormat="1" applyFont="1" applyFill="1" applyBorder="1" applyAlignment="1">
      <alignment vertical="center"/>
    </xf>
    <xf numFmtId="49" fontId="1" fillId="0" borderId="14" xfId="3" applyNumberFormat="1" applyFont="1" applyFill="1" applyBorder="1" applyAlignment="1">
      <alignment horizontal="left" vertical="center"/>
    </xf>
    <xf numFmtId="49" fontId="1" fillId="0" borderId="12" xfId="2" applyNumberFormat="1" applyFont="1" applyFill="1" applyBorder="1" applyAlignment="1">
      <alignment horizontal="left" vertical="center"/>
    </xf>
    <xf numFmtId="9" fontId="0" fillId="0" borderId="12" xfId="2" applyFont="1" applyFill="1" applyBorder="1" applyAlignment="1">
      <alignment horizontal="left" vertical="center"/>
    </xf>
    <xf numFmtId="9" fontId="0" fillId="0" borderId="18" xfId="2" applyFont="1" applyFill="1" applyBorder="1" applyAlignment="1">
      <alignment horizontal="left" vertical="center"/>
    </xf>
    <xf numFmtId="0" fontId="1" fillId="2" borderId="21" xfId="3" applyNumberFormat="1" applyFill="1" applyBorder="1" applyAlignment="1">
      <alignment horizontal="center" vertical="center"/>
    </xf>
    <xf numFmtId="0" fontId="1" fillId="2" borderId="23" xfId="3" applyNumberFormat="1" applyFill="1" applyBorder="1" applyAlignment="1">
      <alignment horizontal="center" vertical="center"/>
    </xf>
    <xf numFmtId="0" fontId="1" fillId="2" borderId="33" xfId="3" applyNumberFormat="1" applyFill="1" applyBorder="1" applyAlignment="1">
      <alignment horizontal="center" vertical="center"/>
    </xf>
    <xf numFmtId="176" fontId="1" fillId="3" borderId="34" xfId="1" applyNumberFormat="1" applyFont="1" applyFill="1" applyBorder="1" applyAlignment="1">
      <alignment horizontal="center" vertical="center"/>
    </xf>
    <xf numFmtId="176" fontId="1" fillId="3" borderId="35" xfId="1" applyNumberFormat="1" applyFont="1" applyFill="1" applyBorder="1" applyAlignment="1">
      <alignment horizontal="center" vertical="center"/>
    </xf>
    <xf numFmtId="176" fontId="9" fillId="3" borderId="35" xfId="1" applyNumberFormat="1" applyFont="1" applyFill="1" applyBorder="1" applyAlignment="1">
      <alignment horizontal="center" vertical="center"/>
    </xf>
    <xf numFmtId="176" fontId="7" fillId="3" borderId="36" xfId="1" applyNumberFormat="1" applyFont="1" applyFill="1" applyBorder="1" applyAlignment="1">
      <alignment horizontal="center" vertical="center"/>
    </xf>
    <xf numFmtId="177" fontId="1" fillId="4" borderId="33" xfId="1" applyNumberFormat="1" applyFont="1" applyFill="1" applyBorder="1" applyAlignment="1">
      <alignment horizontal="center" vertical="center"/>
    </xf>
    <xf numFmtId="0" fontId="1" fillId="2" borderId="38" xfId="3" applyNumberFormat="1" applyFill="1" applyBorder="1" applyAlignment="1">
      <alignment horizontal="center" vertical="center"/>
    </xf>
    <xf numFmtId="176" fontId="1" fillId="2" borderId="39" xfId="3" applyNumberFormat="1" applyFill="1" applyBorder="1" applyAlignment="1">
      <alignment horizontal="center" vertical="center"/>
    </xf>
    <xf numFmtId="176" fontId="1" fillId="3" borderId="36" xfId="1" applyNumberFormat="1" applyFont="1" applyFill="1" applyBorder="1" applyAlignment="1">
      <alignment horizontal="center" vertical="center"/>
    </xf>
    <xf numFmtId="176" fontId="1" fillId="3" borderId="39" xfId="1" applyNumberFormat="1" applyFont="1" applyFill="1" applyBorder="1" applyAlignment="1">
      <alignment horizontal="center" vertical="center"/>
    </xf>
    <xf numFmtId="176" fontId="11" fillId="2" borderId="36" xfId="1" applyNumberFormat="1" applyFont="1" applyFill="1" applyBorder="1" applyAlignment="1">
      <alignment horizontal="center" vertical="center"/>
    </xf>
    <xf numFmtId="177" fontId="1" fillId="0" borderId="40" xfId="1" applyNumberFormat="1" applyFont="1" applyFill="1" applyBorder="1" applyAlignment="1">
      <alignment horizontal="center" vertical="center"/>
    </xf>
    <xf numFmtId="176" fontId="1" fillId="3" borderId="39" xfId="3" applyNumberFormat="1" applyFill="1" applyBorder="1" applyAlignment="1">
      <alignment horizontal="center" vertical="center"/>
    </xf>
    <xf numFmtId="176" fontId="9" fillId="3" borderId="36" xfId="1" applyNumberFormat="1" applyFont="1" applyFill="1" applyBorder="1" applyAlignment="1">
      <alignment horizontal="center" vertical="center"/>
    </xf>
    <xf numFmtId="177" fontId="1" fillId="4" borderId="38" xfId="1" applyNumberFormat="1" applyFont="1" applyFill="1" applyBorder="1" applyAlignment="1">
      <alignment horizontal="center" vertical="center"/>
    </xf>
    <xf numFmtId="177" fontId="1" fillId="0" borderId="38" xfId="1" applyNumberFormat="1" applyFont="1" applyFill="1" applyBorder="1" applyAlignment="1">
      <alignment horizontal="center" vertical="center"/>
    </xf>
    <xf numFmtId="177" fontId="1" fillId="4" borderId="40" xfId="1" applyNumberFormat="1" applyFont="1" applyFill="1" applyBorder="1" applyAlignment="1">
      <alignment horizontal="center" vertical="center"/>
    </xf>
    <xf numFmtId="177" fontId="1" fillId="0" borderId="42" xfId="1" applyNumberFormat="1" applyFont="1" applyFill="1" applyBorder="1" applyAlignment="1">
      <alignment horizontal="center" vertical="center"/>
    </xf>
    <xf numFmtId="0" fontId="1" fillId="2" borderId="21" xfId="3" applyNumberFormat="1" applyFont="1" applyFill="1" applyBorder="1" applyAlignment="1">
      <alignment horizontal="center" vertical="center"/>
    </xf>
    <xf numFmtId="176" fontId="1" fillId="3" borderId="11" xfId="3" applyNumberFormat="1" applyFont="1" applyFill="1" applyBorder="1" applyAlignment="1">
      <alignment horizontal="center" vertical="center"/>
    </xf>
    <xf numFmtId="176" fontId="1" fillId="3" borderId="37" xfId="1" applyNumberFormat="1" applyFont="1" applyFill="1" applyBorder="1" applyAlignment="1">
      <alignment horizontal="center" vertical="center"/>
    </xf>
    <xf numFmtId="176" fontId="8" fillId="3" borderId="11" xfId="1" applyNumberFormat="1" applyFont="1" applyFill="1" applyBorder="1" applyAlignment="1">
      <alignment horizontal="center" vertical="center"/>
    </xf>
    <xf numFmtId="176" fontId="8" fillId="3" borderId="37" xfId="1" applyNumberFormat="1" applyFont="1" applyFill="1" applyBorder="1" applyAlignment="1">
      <alignment horizontal="center" vertical="center"/>
    </xf>
    <xf numFmtId="176" fontId="7" fillId="3" borderId="37" xfId="1" applyNumberFormat="1" applyFont="1" applyFill="1" applyBorder="1" applyAlignment="1">
      <alignment horizontal="center" vertical="center"/>
    </xf>
    <xf numFmtId="176" fontId="1" fillId="4" borderId="43" xfId="1" applyNumberFormat="1" applyFont="1" applyFill="1" applyBorder="1" applyAlignment="1">
      <alignment horizontal="center" vertical="center"/>
    </xf>
    <xf numFmtId="176" fontId="1" fillId="3" borderId="34" xfId="3" applyNumberFormat="1" applyFill="1" applyBorder="1" applyAlignment="1">
      <alignment horizontal="center" vertical="center"/>
    </xf>
    <xf numFmtId="176" fontId="8" fillId="3" borderId="34" xfId="1" applyNumberFormat="1" applyFont="1" applyFill="1" applyBorder="1" applyAlignment="1">
      <alignment horizontal="center" vertical="center"/>
    </xf>
    <xf numFmtId="176" fontId="8" fillId="3" borderId="35" xfId="1" applyNumberFormat="1" applyFont="1" applyFill="1" applyBorder="1" applyAlignment="1">
      <alignment horizontal="center" vertical="center"/>
    </xf>
    <xf numFmtId="176" fontId="1" fillId="4" borderId="44" xfId="1" applyNumberFormat="1" applyFont="1" applyFill="1" applyBorder="1" applyAlignment="1">
      <alignment horizontal="center" vertical="center"/>
    </xf>
    <xf numFmtId="176" fontId="8" fillId="3" borderId="39" xfId="1" applyNumberFormat="1" applyFont="1" applyFill="1" applyBorder="1" applyAlignment="1">
      <alignment horizontal="center" vertical="center"/>
    </xf>
    <xf numFmtId="176" fontId="8" fillId="3" borderId="36" xfId="1" applyNumberFormat="1" applyFont="1" applyFill="1" applyBorder="1" applyAlignment="1">
      <alignment horizontal="center" vertical="center"/>
    </xf>
    <xf numFmtId="176" fontId="1" fillId="4" borderId="45" xfId="1" applyNumberFormat="1" applyFont="1" applyFill="1" applyBorder="1" applyAlignment="1">
      <alignment horizontal="center" vertical="center"/>
    </xf>
    <xf numFmtId="176" fontId="1" fillId="2" borderId="11" xfId="3" applyNumberFormat="1" applyFill="1" applyBorder="1" applyAlignment="1">
      <alignment horizontal="center" vertical="center"/>
    </xf>
    <xf numFmtId="176" fontId="1" fillId="0" borderId="43" xfId="1" applyNumberFormat="1" applyFont="1" applyFill="1" applyBorder="1" applyAlignment="1">
      <alignment horizontal="center" vertical="center"/>
    </xf>
    <xf numFmtId="176" fontId="1" fillId="3" borderId="11" xfId="3" applyNumberFormat="1" applyFill="1" applyBorder="1" applyAlignment="1">
      <alignment horizontal="center" vertical="center"/>
    </xf>
    <xf numFmtId="0" fontId="1" fillId="2" borderId="38" xfId="3" applyNumberFormat="1" applyFont="1" applyFill="1" applyBorder="1" applyAlignment="1">
      <alignment horizontal="center" vertical="center"/>
    </xf>
    <xf numFmtId="176" fontId="1" fillId="3" borderId="39" xfId="3" applyNumberFormat="1" applyFont="1" applyFill="1" applyBorder="1" applyAlignment="1">
      <alignment horizontal="center" vertical="center"/>
    </xf>
    <xf numFmtId="0" fontId="1" fillId="2" borderId="46" xfId="3" applyNumberFormat="1" applyFont="1" applyFill="1" applyBorder="1" applyAlignment="1">
      <alignment horizontal="center" vertical="center"/>
    </xf>
    <xf numFmtId="176" fontId="1" fillId="2" borderId="47" xfId="3" applyNumberFormat="1" applyFont="1" applyFill="1" applyBorder="1" applyAlignment="1">
      <alignment horizontal="center" vertical="center"/>
    </xf>
    <xf numFmtId="176" fontId="1" fillId="3" borderId="48" xfId="1" applyNumberFormat="1" applyFont="1" applyFill="1" applyBorder="1" applyAlignment="1">
      <alignment horizontal="center" vertical="center"/>
    </xf>
    <xf numFmtId="176" fontId="8" fillId="3" borderId="47" xfId="1" applyNumberFormat="1" applyFont="1" applyFill="1" applyBorder="1" applyAlignment="1">
      <alignment horizontal="center" vertical="center"/>
    </xf>
    <xf numFmtId="176" fontId="8" fillId="3" borderId="48" xfId="1" applyNumberFormat="1" applyFont="1" applyFill="1" applyBorder="1" applyAlignment="1">
      <alignment horizontal="center" vertical="center"/>
    </xf>
    <xf numFmtId="176" fontId="1" fillId="0" borderId="49" xfId="1" applyNumberFormat="1" applyFont="1" applyFill="1" applyBorder="1" applyAlignment="1">
      <alignment horizontal="center" vertical="center"/>
    </xf>
    <xf numFmtId="0" fontId="5" fillId="2" borderId="27" xfId="3" applyNumberFormat="1" applyFont="1" applyFill="1" applyBorder="1" applyAlignment="1">
      <alignment horizontal="center" vertical="center"/>
    </xf>
    <xf numFmtId="176" fontId="5" fillId="2" borderId="55" xfId="3" applyNumberFormat="1" applyFont="1" applyFill="1" applyBorder="1" applyAlignment="1">
      <alignment horizontal="center" vertical="center"/>
    </xf>
    <xf numFmtId="176" fontId="5" fillId="2" borderId="56" xfId="1" applyNumberFormat="1" applyFont="1" applyFill="1" applyBorder="1" applyAlignment="1">
      <alignment horizontal="center" vertical="center"/>
    </xf>
    <xf numFmtId="176" fontId="12" fillId="2" borderId="56" xfId="1" applyNumberFormat="1" applyFont="1" applyFill="1" applyBorder="1" applyAlignment="1">
      <alignment horizontal="center" vertical="center"/>
    </xf>
    <xf numFmtId="176" fontId="13" fillId="2" borderId="56" xfId="1" applyNumberFormat="1" applyFont="1" applyFill="1" applyBorder="1" applyAlignment="1">
      <alignment horizontal="center" vertical="center"/>
    </xf>
    <xf numFmtId="176" fontId="12" fillId="2" borderId="55" xfId="1" applyNumberFormat="1" applyFont="1" applyFill="1" applyBorder="1" applyAlignment="1">
      <alignment horizontal="center" vertical="center"/>
    </xf>
    <xf numFmtId="176" fontId="5" fillId="2" borderId="27" xfId="1" applyNumberFormat="1" applyFont="1" applyFill="1" applyBorder="1" applyAlignment="1">
      <alignment horizontal="center" vertical="center"/>
    </xf>
    <xf numFmtId="0" fontId="1" fillId="0" borderId="4" xfId="3" applyNumberFormat="1" applyFont="1" applyFill="1" applyBorder="1" applyAlignment="1">
      <alignment horizontal="center" vertical="center"/>
    </xf>
    <xf numFmtId="0" fontId="1" fillId="0" borderId="60" xfId="3" applyNumberFormat="1" applyFont="1" applyFill="1" applyBorder="1" applyAlignment="1">
      <alignment horizontal="center" vertical="center"/>
    </xf>
    <xf numFmtId="0" fontId="11" fillId="0" borderId="61" xfId="3" applyNumberFormat="1" applyFont="1" applyFill="1" applyBorder="1" applyAlignment="1">
      <alignment horizontal="center" vertical="center"/>
    </xf>
    <xf numFmtId="0" fontId="11" fillId="0" borderId="7" xfId="3" applyNumberFormat="1" applyFont="1" applyFill="1" applyBorder="1" applyAlignment="1">
      <alignment horizontal="center" vertical="center"/>
    </xf>
    <xf numFmtId="0" fontId="11" fillId="0" borderId="59" xfId="3" applyNumberFormat="1" applyFont="1" applyFill="1" applyBorder="1" applyAlignment="1">
      <alignment horizontal="center" vertical="center"/>
    </xf>
    <xf numFmtId="41" fontId="1" fillId="0" borderId="0" xfId="1" applyFont="1" applyFill="1">
      <alignment vertical="center"/>
    </xf>
    <xf numFmtId="0" fontId="7" fillId="0" borderId="0" xfId="3" applyNumberFormat="1" applyFont="1" applyFill="1" applyBorder="1" applyAlignment="1">
      <alignment horizontal="center" vertical="center"/>
    </xf>
    <xf numFmtId="0" fontId="1" fillId="2" borderId="5" xfId="3" applyNumberFormat="1" applyFont="1" applyFill="1" applyBorder="1" applyAlignment="1">
      <alignment horizontal="center" vertical="center"/>
    </xf>
    <xf numFmtId="0" fontId="1" fillId="2" borderId="7" xfId="3" applyNumberFormat="1" applyFont="1" applyFill="1" applyBorder="1" applyAlignment="1">
      <alignment horizontal="center" vertical="center"/>
    </xf>
    <xf numFmtId="0" fontId="1" fillId="2" borderId="23" xfId="3" applyNumberFormat="1" applyFont="1" applyFill="1" applyBorder="1" applyAlignment="1">
      <alignment horizontal="center" vertical="center"/>
    </xf>
    <xf numFmtId="0" fontId="5" fillId="2" borderId="16" xfId="3" applyNumberFormat="1" applyFont="1" applyFill="1" applyBorder="1" applyAlignment="1">
      <alignment vertical="center"/>
    </xf>
    <xf numFmtId="0" fontId="5" fillId="2" borderId="18" xfId="3" applyNumberFormat="1" applyFont="1" applyFill="1" applyBorder="1" applyAlignment="1">
      <alignment horizontal="center" vertical="center"/>
    </xf>
    <xf numFmtId="0" fontId="1" fillId="0" borderId="69" xfId="3" applyNumberFormat="1" applyFont="1" applyFill="1" applyBorder="1" applyAlignment="1">
      <alignment horizontal="center" vertical="center"/>
    </xf>
    <xf numFmtId="0" fontId="1" fillId="0" borderId="0" xfId="3" applyNumberFormat="1" applyFill="1" applyBorder="1" applyAlignment="1">
      <alignment horizontal="center" vertical="center"/>
    </xf>
    <xf numFmtId="0" fontId="5" fillId="2" borderId="19" xfId="3" applyNumberFormat="1" applyFont="1" applyFill="1" applyBorder="1" applyAlignment="1">
      <alignment vertical="center"/>
    </xf>
    <xf numFmtId="0" fontId="5" fillId="2" borderId="32" xfId="3" applyNumberFormat="1" applyFont="1" applyFill="1" applyBorder="1" applyAlignment="1">
      <alignment horizontal="center" vertical="center"/>
    </xf>
    <xf numFmtId="0" fontId="1" fillId="0" borderId="29" xfId="3" applyNumberFormat="1" applyFill="1" applyBorder="1" applyAlignment="1">
      <alignment horizontal="center" vertical="center"/>
    </xf>
    <xf numFmtId="0" fontId="1" fillId="0" borderId="52" xfId="3" applyNumberFormat="1" applyFill="1" applyBorder="1" applyAlignment="1">
      <alignment horizontal="center" vertical="center"/>
    </xf>
    <xf numFmtId="0" fontId="1" fillId="0" borderId="32" xfId="3" applyNumberFormat="1" applyFill="1" applyBorder="1" applyAlignment="1">
      <alignment horizontal="center" vertical="center"/>
    </xf>
    <xf numFmtId="0" fontId="1" fillId="0" borderId="23" xfId="3" applyNumberForma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20" fontId="1" fillId="0" borderId="54" xfId="3" applyNumberFormat="1" applyFont="1" applyFill="1" applyBorder="1" applyAlignment="1">
      <alignment horizontal="left" vertical="center"/>
    </xf>
    <xf numFmtId="0" fontId="1" fillId="0" borderId="52" xfId="3" applyNumberFormat="1" applyFont="1" applyFill="1" applyBorder="1">
      <alignment vertical="center"/>
    </xf>
    <xf numFmtId="20" fontId="1" fillId="0" borderId="52" xfId="3" applyNumberFormat="1" applyFont="1" applyFill="1" applyBorder="1" applyAlignment="1">
      <alignment horizontal="left" vertical="center"/>
    </xf>
    <xf numFmtId="0" fontId="1" fillId="0" borderId="32" xfId="3" applyNumberFormat="1" applyFont="1" applyFill="1" applyBorder="1" applyAlignment="1">
      <alignment horizontal="center" vertical="center"/>
    </xf>
    <xf numFmtId="0" fontId="10" fillId="0" borderId="0" xfId="3" applyNumberFormat="1" applyFont="1" applyFill="1" applyBorder="1" applyAlignment="1">
      <alignment horizontal="right" vertical="center"/>
    </xf>
    <xf numFmtId="0" fontId="5" fillId="0" borderId="0" xfId="3" applyNumberFormat="1" applyFont="1" applyFill="1" applyBorder="1" applyAlignment="1">
      <alignment vertical="center"/>
    </xf>
    <xf numFmtId="0" fontId="1" fillId="2" borderId="10" xfId="3" applyNumberFormat="1" applyFont="1" applyFill="1" applyBorder="1" applyAlignment="1">
      <alignment horizontal="center" vertical="center" wrapText="1"/>
    </xf>
    <xf numFmtId="0" fontId="1" fillId="2" borderId="37" xfId="3" applyNumberFormat="1" applyFont="1" applyFill="1" applyBorder="1" applyAlignment="1">
      <alignment horizontal="center" vertical="center" wrapText="1"/>
    </xf>
    <xf numFmtId="0" fontId="1" fillId="2" borderId="21" xfId="3" applyNumberFormat="1" applyFont="1" applyFill="1" applyBorder="1" applyAlignment="1">
      <alignment horizontal="center" vertical="center" wrapText="1"/>
    </xf>
    <xf numFmtId="41" fontId="9" fillId="0" borderId="54" xfId="1" applyFont="1" applyFill="1" applyBorder="1" applyAlignment="1">
      <alignment vertical="center"/>
    </xf>
    <xf numFmtId="41" fontId="9" fillId="0" borderId="52" xfId="1" applyFont="1" applyFill="1" applyBorder="1" applyAlignment="1">
      <alignment vertical="center"/>
    </xf>
    <xf numFmtId="0" fontId="1" fillId="0" borderId="41" xfId="3" applyNumberFormat="1" applyFill="1" applyBorder="1" applyAlignment="1">
      <alignment horizontal="center" vertical="center"/>
    </xf>
    <xf numFmtId="0" fontId="1" fillId="0" borderId="12" xfId="3" applyNumberFormat="1" applyFill="1" applyBorder="1" applyAlignment="1">
      <alignment horizontal="center" vertical="center"/>
    </xf>
    <xf numFmtId="0" fontId="1" fillId="3" borderId="16" xfId="3" applyNumberFormat="1" applyFill="1" applyBorder="1" applyAlignment="1">
      <alignment horizontal="left" vertical="center"/>
    </xf>
    <xf numFmtId="0" fontId="1" fillId="3" borderId="0" xfId="3" applyNumberFormat="1" applyFill="1" applyBorder="1" applyAlignment="1">
      <alignment horizontal="left" vertical="center"/>
    </xf>
    <xf numFmtId="0" fontId="1" fillId="2" borderId="23" xfId="3" applyNumberFormat="1" applyFill="1" applyBorder="1" applyAlignment="1">
      <alignment horizontal="center" vertical="center"/>
    </xf>
    <xf numFmtId="0" fontId="1" fillId="2" borderId="18" xfId="3" applyNumberFormat="1" applyFill="1" applyBorder="1" applyAlignment="1">
      <alignment horizontal="center" vertical="center"/>
    </xf>
    <xf numFmtId="41" fontId="9" fillId="4" borderId="52" xfId="1" applyFont="1" applyFill="1" applyBorder="1" applyAlignment="1">
      <alignment vertical="center"/>
    </xf>
    <xf numFmtId="41" fontId="18" fillId="4" borderId="52" xfId="1" applyFont="1" applyFill="1" applyBorder="1" applyAlignment="1">
      <alignment vertical="center"/>
    </xf>
    <xf numFmtId="41" fontId="8" fillId="4" borderId="27" xfId="4" applyNumberFormat="1" applyFont="1" applyFill="1" applyBorder="1" applyAlignment="1">
      <alignment horizontal="center" vertical="center"/>
    </xf>
    <xf numFmtId="176" fontId="7" fillId="3" borderId="72" xfId="1" applyNumberFormat="1" applyFont="1" applyFill="1" applyBorder="1" applyAlignment="1">
      <alignment horizontal="center" vertical="center"/>
    </xf>
    <xf numFmtId="176" fontId="7" fillId="3" borderId="48" xfId="1" applyNumberFormat="1" applyFont="1" applyFill="1" applyBorder="1" applyAlignment="1">
      <alignment horizontal="center" vertical="center"/>
    </xf>
    <xf numFmtId="0" fontId="1" fillId="3" borderId="16" xfId="3" applyNumberFormat="1" applyFill="1" applyBorder="1" applyAlignment="1">
      <alignment horizontal="left" vertical="center"/>
    </xf>
    <xf numFmtId="0" fontId="1" fillId="3" borderId="0" xfId="3" applyNumberFormat="1" applyFill="1" applyBorder="1" applyAlignment="1">
      <alignment horizontal="left" vertical="center"/>
    </xf>
    <xf numFmtId="176" fontId="7" fillId="3" borderId="35" xfId="1" applyNumberFormat="1" applyFont="1" applyFill="1" applyBorder="1" applyAlignment="1">
      <alignment horizontal="center" vertical="center"/>
    </xf>
    <xf numFmtId="176" fontId="1" fillId="0" borderId="39" xfId="3" applyNumberFormat="1" applyFont="1" applyFill="1" applyBorder="1" applyAlignment="1">
      <alignment horizontal="center" vertical="center"/>
    </xf>
    <xf numFmtId="176" fontId="7" fillId="0" borderId="36" xfId="1" applyNumberFormat="1" applyFont="1" applyFill="1" applyBorder="1" applyAlignment="1">
      <alignment horizontal="center" vertical="center"/>
    </xf>
    <xf numFmtId="0" fontId="5" fillId="0" borderId="0" xfId="3" applyNumberFormat="1" applyFont="1" applyFill="1" applyBorder="1" applyAlignment="1">
      <alignment horizontal="left" vertical="center"/>
    </xf>
    <xf numFmtId="0" fontId="1" fillId="2" borderId="40" xfId="3" applyNumberFormat="1" applyFont="1" applyFill="1" applyBorder="1" applyAlignment="1">
      <alignment horizontal="center" vertical="center"/>
    </xf>
    <xf numFmtId="176" fontId="1" fillId="0" borderId="73" xfId="3" applyNumberFormat="1" applyFont="1" applyFill="1" applyBorder="1" applyAlignment="1">
      <alignment horizontal="center" vertical="center"/>
    </xf>
    <xf numFmtId="176" fontId="1" fillId="3" borderId="72" xfId="1" applyNumberFormat="1" applyFont="1" applyFill="1" applyBorder="1" applyAlignment="1">
      <alignment horizontal="center" vertical="center"/>
    </xf>
    <xf numFmtId="176" fontId="8" fillId="3" borderId="73" xfId="1" applyNumberFormat="1" applyFont="1" applyFill="1" applyBorder="1" applyAlignment="1">
      <alignment horizontal="center" vertical="center"/>
    </xf>
    <xf numFmtId="176" fontId="8" fillId="3" borderId="72" xfId="1" applyNumberFormat="1" applyFont="1" applyFill="1" applyBorder="1" applyAlignment="1">
      <alignment horizontal="center" vertical="center"/>
    </xf>
    <xf numFmtId="41" fontId="9" fillId="0" borderId="29" xfId="1" applyFont="1" applyFill="1" applyBorder="1" applyAlignment="1">
      <alignment vertical="center"/>
    </xf>
    <xf numFmtId="0" fontId="1" fillId="2" borderId="40" xfId="3" applyNumberFormat="1" applyFill="1" applyBorder="1" applyAlignment="1">
      <alignment horizontal="center" vertical="center"/>
    </xf>
    <xf numFmtId="0" fontId="1" fillId="2" borderId="46" xfId="3" applyNumberFormat="1" applyFill="1" applyBorder="1" applyAlignment="1">
      <alignment horizontal="center" vertical="center"/>
    </xf>
    <xf numFmtId="0" fontId="5" fillId="2" borderId="25" xfId="3" applyNumberFormat="1" applyFont="1" applyFill="1" applyBorder="1" applyAlignment="1">
      <alignment horizontal="center" vertical="center"/>
    </xf>
    <xf numFmtId="0" fontId="19" fillId="0" borderId="0" xfId="3" applyNumberFormat="1" applyFont="1" applyFill="1" applyAlignment="1">
      <alignment horizontal="left" vertical="center"/>
    </xf>
    <xf numFmtId="0" fontId="10" fillId="0" borderId="0" xfId="3" applyNumberFormat="1" applyFont="1" applyFill="1" applyBorder="1" applyAlignment="1">
      <alignment vertical="center"/>
    </xf>
    <xf numFmtId="0" fontId="11" fillId="0" borderId="0" xfId="3" applyNumberFormat="1" applyFont="1" applyFill="1" applyBorder="1" applyAlignment="1">
      <alignment horizontal="center" vertical="center"/>
    </xf>
    <xf numFmtId="0" fontId="20" fillId="0" borderId="0" xfId="3" applyNumberFormat="1" applyFont="1" applyFill="1" applyBorder="1" applyAlignment="1">
      <alignment horizontal="center" vertical="center"/>
    </xf>
    <xf numFmtId="0" fontId="11" fillId="0" borderId="0" xfId="3" applyNumberFormat="1" applyFont="1" applyFill="1" applyBorder="1" applyAlignment="1">
      <alignment horizontal="left" vertical="center"/>
    </xf>
    <xf numFmtId="0" fontId="11" fillId="0" borderId="0" xfId="3" applyNumberFormat="1" applyFont="1" applyFill="1">
      <alignment vertical="center"/>
    </xf>
    <xf numFmtId="178" fontId="11" fillId="0" borderId="0" xfId="2" applyNumberFormat="1" applyFont="1" applyFill="1" applyBorder="1" applyAlignment="1">
      <alignment vertical="center"/>
    </xf>
    <xf numFmtId="0" fontId="1" fillId="0" borderId="63" xfId="3" applyNumberFormat="1" applyFont="1" applyFill="1" applyBorder="1" applyAlignment="1">
      <alignment horizontal="center" vertical="center"/>
    </xf>
    <xf numFmtId="0" fontId="1" fillId="0" borderId="25" xfId="3" applyNumberFormat="1" applyFont="1" applyFill="1" applyBorder="1" applyAlignment="1">
      <alignment horizontal="center" vertical="center"/>
    </xf>
    <xf numFmtId="0" fontId="1" fillId="0" borderId="14" xfId="3" applyNumberFormat="1" applyFill="1" applyBorder="1" applyAlignment="1">
      <alignment horizontal="center" vertical="center"/>
    </xf>
    <xf numFmtId="178" fontId="1" fillId="0" borderId="18" xfId="2" applyNumberFormat="1" applyFont="1" applyFill="1" applyBorder="1">
      <alignment vertical="center"/>
    </xf>
    <xf numFmtId="0" fontId="1" fillId="2" borderId="71" xfId="3" applyNumberFormat="1" applyFill="1" applyBorder="1" applyAlignment="1">
      <alignment horizontal="center" vertical="center"/>
    </xf>
    <xf numFmtId="0" fontId="1" fillId="2" borderId="37" xfId="3" applyNumberFormat="1" applyFont="1" applyFill="1" applyBorder="1" applyAlignment="1">
      <alignment horizontal="center" vertical="center" wrapText="1"/>
    </xf>
    <xf numFmtId="0" fontId="1" fillId="2" borderId="71" xfId="3" applyNumberFormat="1" applyFont="1" applyFill="1" applyBorder="1" applyAlignment="1">
      <alignment horizontal="center" vertical="center" wrapText="1"/>
    </xf>
    <xf numFmtId="0" fontId="1" fillId="2" borderId="7" xfId="3" applyNumberFormat="1" applyFont="1" applyFill="1" applyBorder="1" applyAlignment="1">
      <alignment horizontal="center" vertical="center" wrapText="1"/>
    </xf>
    <xf numFmtId="0" fontId="1" fillId="2" borderId="5" xfId="3" applyNumberFormat="1" applyFont="1" applyFill="1" applyBorder="1" applyAlignment="1">
      <alignment horizontal="center" vertical="center" wrapText="1"/>
    </xf>
    <xf numFmtId="0" fontId="1" fillId="2" borderId="8" xfId="3" applyNumberFormat="1" applyFont="1" applyFill="1" applyBorder="1" applyAlignment="1">
      <alignment horizontal="center" vertical="center" wrapText="1"/>
    </xf>
    <xf numFmtId="41" fontId="9" fillId="0" borderId="76" xfId="1" applyFont="1" applyFill="1" applyBorder="1" applyAlignment="1">
      <alignment vertical="center"/>
    </xf>
    <xf numFmtId="176" fontId="5" fillId="2" borderId="26" xfId="3" applyNumberFormat="1" applyFont="1" applyFill="1" applyBorder="1" applyAlignment="1">
      <alignment horizontal="center" vertical="center"/>
    </xf>
    <xf numFmtId="176" fontId="13" fillId="2" borderId="57" xfId="1" applyNumberFormat="1" applyFont="1" applyFill="1" applyBorder="1" applyAlignment="1">
      <alignment horizontal="center" vertical="center"/>
    </xf>
    <xf numFmtId="0" fontId="1" fillId="5" borderId="18" xfId="3" applyNumberFormat="1" applyFill="1" applyBorder="1">
      <alignment vertical="center"/>
    </xf>
    <xf numFmtId="178" fontId="1" fillId="0" borderId="12" xfId="2" applyNumberFormat="1" applyFont="1" applyFill="1" applyBorder="1">
      <alignment vertical="center"/>
    </xf>
    <xf numFmtId="178" fontId="1" fillId="5" borderId="12" xfId="2" applyNumberFormat="1" applyFont="1" applyFill="1" applyBorder="1">
      <alignment vertical="center"/>
    </xf>
    <xf numFmtId="178" fontId="1" fillId="0" borderId="52" xfId="2" applyNumberFormat="1" applyFont="1" applyFill="1" applyBorder="1">
      <alignment vertical="center"/>
    </xf>
    <xf numFmtId="0" fontId="1" fillId="2" borderId="25" xfId="3" applyNumberFormat="1" applyFont="1" applyFill="1" applyBorder="1" applyAlignment="1">
      <alignment horizontal="center" vertical="center"/>
    </xf>
    <xf numFmtId="176" fontId="1" fillId="0" borderId="76" xfId="3" applyNumberFormat="1" applyFont="1" applyFill="1" applyBorder="1" applyAlignment="1">
      <alignment horizontal="center" vertical="center"/>
    </xf>
    <xf numFmtId="0" fontId="1" fillId="2" borderId="12" xfId="3" applyNumberFormat="1" applyFill="1" applyBorder="1" applyAlignment="1">
      <alignment horizontal="center" vertical="center"/>
    </xf>
    <xf numFmtId="0" fontId="1" fillId="3" borderId="16" xfId="3" applyNumberFormat="1" applyFill="1" applyBorder="1" applyAlignment="1">
      <alignment horizontal="left" vertical="center"/>
    </xf>
    <xf numFmtId="0" fontId="1" fillId="3" borderId="0" xfId="3" applyNumberFormat="1" applyFill="1" applyBorder="1" applyAlignment="1">
      <alignment horizontal="left" vertical="center"/>
    </xf>
    <xf numFmtId="0" fontId="1" fillId="2" borderId="10" xfId="3" applyNumberFormat="1" applyFont="1" applyFill="1" applyBorder="1" applyAlignment="1">
      <alignment horizontal="center" vertical="center" wrapText="1"/>
    </xf>
    <xf numFmtId="0" fontId="1" fillId="0" borderId="63" xfId="3" applyNumberFormat="1" applyFont="1" applyFill="1" applyBorder="1" applyAlignment="1">
      <alignment horizontal="center" vertical="center"/>
    </xf>
    <xf numFmtId="0" fontId="1" fillId="2" borderId="21" xfId="3" applyNumberForma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25" xfId="3" applyNumberFormat="1" applyFont="1" applyFill="1" applyBorder="1" applyAlignment="1">
      <alignment horizontal="center" vertical="center"/>
    </xf>
    <xf numFmtId="0" fontId="1" fillId="6" borderId="38" xfId="3" applyNumberFormat="1" applyFill="1" applyBorder="1" applyAlignment="1">
      <alignment horizontal="center" vertical="center"/>
    </xf>
    <xf numFmtId="0" fontId="1" fillId="6" borderId="46" xfId="3" applyNumberFormat="1" applyFill="1" applyBorder="1" applyAlignment="1">
      <alignment horizontal="center" vertical="center"/>
    </xf>
    <xf numFmtId="0" fontId="11" fillId="0" borderId="12" xfId="2" applyNumberFormat="1" applyFont="1" applyFill="1" applyBorder="1" applyAlignment="1">
      <alignment vertical="center"/>
    </xf>
    <xf numFmtId="0" fontId="5" fillId="2" borderId="16" xfId="3" applyNumberFormat="1" applyFont="1" applyFill="1" applyBorder="1" applyAlignment="1">
      <alignment horizontal="center" vertical="center"/>
    </xf>
    <xf numFmtId="0" fontId="5" fillId="2" borderId="0" xfId="3" applyNumberFormat="1" applyFont="1" applyFill="1" applyBorder="1" applyAlignment="1">
      <alignment horizontal="center" vertical="center"/>
    </xf>
    <xf numFmtId="0" fontId="5" fillId="0" borderId="0" xfId="3" applyNumberFormat="1" applyFont="1" applyFill="1" applyBorder="1">
      <alignment vertical="center"/>
    </xf>
    <xf numFmtId="0" fontId="1" fillId="2" borderId="0" xfId="3" applyNumberFormat="1" applyFill="1" applyBorder="1" applyAlignment="1">
      <alignment horizontal="center" vertical="center"/>
    </xf>
    <xf numFmtId="41" fontId="5" fillId="4" borderId="0" xfId="3" applyNumberFormat="1" applyFont="1" applyFill="1" applyBorder="1" applyAlignment="1">
      <alignment horizontal="center" vertical="center"/>
    </xf>
    <xf numFmtId="0" fontId="5" fillId="4" borderId="17" xfId="3" applyNumberFormat="1" applyFont="1" applyFill="1" applyBorder="1" applyAlignment="1">
      <alignment horizontal="center" vertical="center"/>
    </xf>
    <xf numFmtId="9" fontId="5" fillId="0" borderId="0" xfId="2" applyFont="1" applyFill="1" applyBorder="1" applyAlignment="1">
      <alignment horizontal="center" vertical="center"/>
    </xf>
    <xf numFmtId="0" fontId="21" fillId="0" borderId="0" xfId="3" applyNumberFormat="1" applyFont="1" applyFill="1" applyBorder="1" applyAlignment="1">
      <alignment horizontal="left" vertical="center"/>
    </xf>
    <xf numFmtId="0" fontId="21" fillId="0" borderId="0" xfId="3" applyNumberFormat="1" applyFont="1" applyFill="1">
      <alignment vertical="center"/>
    </xf>
    <xf numFmtId="41" fontId="21" fillId="0" borderId="0" xfId="1" applyFont="1" applyFill="1">
      <alignment vertical="center"/>
    </xf>
    <xf numFmtId="0" fontId="10" fillId="0" borderId="0" xfId="3" applyNumberFormat="1" applyFont="1" applyFill="1" applyBorder="1" applyAlignment="1">
      <alignment horizontal="right" vertical="center"/>
    </xf>
    <xf numFmtId="0" fontId="1" fillId="2" borderId="68" xfId="3" applyNumberFormat="1" applyFill="1" applyBorder="1" applyAlignment="1">
      <alignment horizontal="center" vertical="center"/>
    </xf>
    <xf numFmtId="0" fontId="1" fillId="6" borderId="77" xfId="3" applyNumberFormat="1" applyFill="1" applyBorder="1" applyAlignment="1">
      <alignment horizontal="center" vertical="center"/>
    </xf>
    <xf numFmtId="0" fontId="1" fillId="2" borderId="77" xfId="3" applyNumberFormat="1" applyFont="1" applyFill="1" applyBorder="1" applyAlignment="1">
      <alignment horizontal="center" vertical="center"/>
    </xf>
    <xf numFmtId="176" fontId="1" fillId="3" borderId="79" xfId="1" applyNumberFormat="1" applyFont="1" applyFill="1" applyBorder="1" applyAlignment="1">
      <alignment horizontal="center" vertical="center"/>
    </xf>
    <xf numFmtId="176" fontId="8" fillId="3" borderId="78" xfId="1" applyNumberFormat="1" applyFont="1" applyFill="1" applyBorder="1" applyAlignment="1">
      <alignment horizontal="center" vertical="center"/>
    </xf>
    <xf numFmtId="176" fontId="8" fillId="3" borderId="79" xfId="1" applyNumberFormat="1" applyFont="1" applyFill="1" applyBorder="1" applyAlignment="1">
      <alignment horizontal="center" vertical="center"/>
    </xf>
    <xf numFmtId="176" fontId="7" fillId="3" borderId="79" xfId="1" applyNumberFormat="1" applyFont="1" applyFill="1" applyBorder="1" applyAlignment="1">
      <alignment horizontal="center" vertical="center"/>
    </xf>
    <xf numFmtId="176" fontId="1" fillId="2" borderId="80" xfId="3" applyNumberFormat="1" applyFont="1" applyFill="1" applyBorder="1" applyAlignment="1">
      <alignment horizontal="center" vertical="center"/>
    </xf>
    <xf numFmtId="176" fontId="1" fillId="2" borderId="81" xfId="3" applyNumberFormat="1" applyFont="1" applyFill="1" applyBorder="1" applyAlignment="1">
      <alignment horizontal="center" vertical="center"/>
    </xf>
    <xf numFmtId="176" fontId="1" fillId="2" borderId="82" xfId="3" applyNumberFormat="1" applyFont="1" applyFill="1" applyBorder="1" applyAlignment="1">
      <alignment horizontal="center" vertical="center"/>
    </xf>
    <xf numFmtId="176" fontId="1" fillId="0" borderId="33" xfId="1" applyNumberFormat="1" applyFont="1" applyFill="1" applyBorder="1" applyAlignment="1">
      <alignment horizontal="center" vertical="center"/>
    </xf>
    <xf numFmtId="176" fontId="1" fillId="0" borderId="38" xfId="1" applyNumberFormat="1" applyFont="1" applyFill="1" applyBorder="1" applyAlignment="1">
      <alignment horizontal="center" vertical="center"/>
    </xf>
    <xf numFmtId="176" fontId="1" fillId="0" borderId="46" xfId="1" applyNumberFormat="1" applyFont="1" applyFill="1" applyBorder="1" applyAlignment="1">
      <alignment horizontal="center" vertical="center"/>
    </xf>
    <xf numFmtId="176" fontId="1" fillId="0" borderId="81" xfId="3" applyNumberFormat="1" applyFont="1" applyFill="1" applyBorder="1" applyAlignment="1">
      <alignment horizontal="center" vertical="center"/>
    </xf>
    <xf numFmtId="0" fontId="1" fillId="2" borderId="33" xfId="3" applyNumberFormat="1" applyFont="1" applyFill="1" applyBorder="1" applyAlignment="1">
      <alignment horizontal="center" vertical="center"/>
    </xf>
    <xf numFmtId="176" fontId="1" fillId="2" borderId="78" xfId="3" applyNumberFormat="1" applyFont="1" applyFill="1" applyBorder="1" applyAlignment="1">
      <alignment horizontal="center" vertical="center"/>
    </xf>
    <xf numFmtId="178" fontId="1" fillId="5" borderId="52" xfId="2" applyNumberFormat="1" applyFont="1" applyFill="1" applyBorder="1">
      <alignment vertical="center"/>
    </xf>
    <xf numFmtId="0" fontId="1" fillId="0" borderId="18" xfId="2" applyNumberFormat="1" applyFont="1" applyFill="1" applyBorder="1">
      <alignment vertical="center"/>
    </xf>
    <xf numFmtId="176" fontId="1" fillId="0" borderId="45" xfId="1" applyNumberFormat="1" applyFont="1" applyFill="1" applyBorder="1" applyAlignment="1">
      <alignment horizontal="center" vertical="center"/>
    </xf>
    <xf numFmtId="177" fontId="1" fillId="4" borderId="45" xfId="1" applyNumberFormat="1" applyFont="1" applyFill="1" applyBorder="1" applyAlignment="1">
      <alignment horizontal="center" vertical="center"/>
    </xf>
    <xf numFmtId="9" fontId="1" fillId="0" borderId="18" xfId="2" applyFont="1" applyFill="1" applyBorder="1">
      <alignment vertical="center"/>
    </xf>
    <xf numFmtId="9" fontId="11" fillId="0" borderId="52" xfId="2" applyFont="1" applyFill="1" applyBorder="1" applyAlignment="1">
      <alignment vertical="center"/>
    </xf>
    <xf numFmtId="9" fontId="11" fillId="5" borderId="52" xfId="2" applyFont="1" applyFill="1" applyBorder="1" applyAlignment="1">
      <alignment vertical="center"/>
    </xf>
    <xf numFmtId="9" fontId="1" fillId="0" borderId="52" xfId="2" applyFont="1" applyFill="1" applyBorder="1">
      <alignment vertical="center"/>
    </xf>
    <xf numFmtId="9" fontId="1" fillId="0" borderId="32" xfId="2" applyFont="1" applyFill="1" applyBorder="1">
      <alignment vertical="center"/>
    </xf>
    <xf numFmtId="9" fontId="1" fillId="5" borderId="52" xfId="2" applyFont="1" applyFill="1" applyBorder="1">
      <alignment vertical="center"/>
    </xf>
    <xf numFmtId="9" fontId="1" fillId="5" borderId="32" xfId="2" applyFont="1" applyFill="1" applyBorder="1">
      <alignment vertical="center"/>
    </xf>
    <xf numFmtId="176" fontId="1" fillId="0" borderId="42" xfId="1" applyNumberFormat="1" applyFont="1" applyFill="1" applyBorder="1" applyAlignment="1">
      <alignment horizontal="center" vertical="center"/>
    </xf>
    <xf numFmtId="176" fontId="8" fillId="2" borderId="48" xfId="1" applyNumberFormat="1" applyFont="1" applyFill="1" applyBorder="1" applyAlignment="1">
      <alignment horizontal="center" vertical="center"/>
    </xf>
    <xf numFmtId="176" fontId="8" fillId="2" borderId="36" xfId="1" applyNumberFormat="1" applyFont="1" applyFill="1" applyBorder="1" applyAlignment="1">
      <alignment horizontal="center" vertical="center"/>
    </xf>
    <xf numFmtId="176" fontId="8" fillId="2" borderId="35" xfId="1" applyNumberFormat="1" applyFont="1" applyFill="1" applyBorder="1" applyAlignment="1">
      <alignment horizontal="center" vertical="center"/>
    </xf>
    <xf numFmtId="176" fontId="8" fillId="2" borderId="79" xfId="1" applyNumberFormat="1" applyFont="1" applyFill="1" applyBorder="1" applyAlignment="1">
      <alignment horizontal="center" vertical="center"/>
    </xf>
    <xf numFmtId="178" fontId="1" fillId="0" borderId="85" xfId="2" applyNumberFormat="1" applyFont="1" applyFill="1" applyBorder="1">
      <alignment vertical="center"/>
    </xf>
    <xf numFmtId="178" fontId="1" fillId="0" borderId="86" xfId="2" applyNumberFormat="1" applyFont="1" applyFill="1" applyBorder="1">
      <alignment vertical="center"/>
    </xf>
    <xf numFmtId="178" fontId="1" fillId="0" borderId="87" xfId="2" applyNumberFormat="1" applyFont="1" applyFill="1" applyBorder="1">
      <alignment vertical="center"/>
    </xf>
    <xf numFmtId="9" fontId="11" fillId="0" borderId="85" xfId="2" applyFont="1" applyFill="1" applyBorder="1" applyAlignment="1">
      <alignment vertical="center"/>
    </xf>
    <xf numFmtId="9" fontId="11" fillId="0" borderId="86" xfId="2" applyFont="1" applyFill="1" applyBorder="1" applyAlignment="1">
      <alignment vertical="center"/>
    </xf>
    <xf numFmtId="9" fontId="11" fillId="0" borderId="87" xfId="2" applyFont="1" applyFill="1" applyBorder="1" applyAlignment="1">
      <alignment vertical="center"/>
    </xf>
    <xf numFmtId="9" fontId="1" fillId="0" borderId="85" xfId="2" applyFont="1" applyFill="1" applyBorder="1">
      <alignment vertical="center"/>
    </xf>
    <xf numFmtId="9" fontId="1" fillId="0" borderId="86" xfId="2" applyFont="1" applyFill="1" applyBorder="1">
      <alignment vertical="center"/>
    </xf>
    <xf numFmtId="9" fontId="1" fillId="0" borderId="87" xfId="2" applyFont="1" applyFill="1" applyBorder="1">
      <alignment vertical="center"/>
    </xf>
    <xf numFmtId="41" fontId="11" fillId="0" borderId="50" xfId="2" applyNumberFormat="1" applyFont="1" applyFill="1" applyBorder="1" applyAlignment="1">
      <alignment vertical="center"/>
    </xf>
    <xf numFmtId="178" fontId="1" fillId="0" borderId="50" xfId="2" applyNumberFormat="1" applyFont="1" applyFill="1" applyBorder="1">
      <alignment vertical="center"/>
    </xf>
    <xf numFmtId="0" fontId="1" fillId="0" borderId="51" xfId="2" applyNumberFormat="1" applyFont="1" applyFill="1" applyBorder="1">
      <alignment vertical="center"/>
    </xf>
    <xf numFmtId="178" fontId="11" fillId="5" borderId="37" xfId="2" applyNumberFormat="1" applyFont="1" applyFill="1" applyBorder="1" applyAlignment="1">
      <alignment vertical="center"/>
    </xf>
    <xf numFmtId="9" fontId="1" fillId="5" borderId="37" xfId="2" applyFont="1" applyFill="1" applyBorder="1">
      <alignment vertical="center"/>
    </xf>
    <xf numFmtId="9" fontId="1" fillId="5" borderId="21" xfId="2" applyFont="1" applyFill="1" applyBorder="1">
      <alignment vertical="center"/>
    </xf>
    <xf numFmtId="9" fontId="11" fillId="0" borderId="71" xfId="2" applyFont="1" applyFill="1" applyBorder="1" applyAlignment="1">
      <alignment vertical="center"/>
    </xf>
    <xf numFmtId="178" fontId="1" fillId="0" borderId="7" xfId="2" applyNumberFormat="1" applyFont="1" applyFill="1" applyBorder="1">
      <alignment vertical="center"/>
    </xf>
    <xf numFmtId="9" fontId="1" fillId="0" borderId="23" xfId="2" applyFont="1" applyFill="1" applyBorder="1">
      <alignment vertical="center"/>
    </xf>
    <xf numFmtId="9" fontId="11" fillId="0" borderId="54" xfId="2" applyFont="1" applyFill="1" applyBorder="1" applyAlignment="1">
      <alignment vertical="center"/>
    </xf>
    <xf numFmtId="0" fontId="1" fillId="2" borderId="66" xfId="3" applyNumberFormat="1" applyFill="1" applyBorder="1" applyAlignment="1">
      <alignment horizontal="center" vertical="center"/>
    </xf>
    <xf numFmtId="0" fontId="11" fillId="2" borderId="60" xfId="3" applyNumberFormat="1" applyFont="1" applyFill="1" applyBorder="1" applyAlignment="1">
      <alignment horizontal="center" vertical="center"/>
    </xf>
    <xf numFmtId="0" fontId="1" fillId="2" borderId="60" xfId="3" applyNumberFormat="1" applyFill="1" applyBorder="1" applyAlignment="1">
      <alignment horizontal="center" vertical="center"/>
    </xf>
    <xf numFmtId="178" fontId="1" fillId="0" borderId="37" xfId="2" applyNumberFormat="1" applyFont="1" applyFill="1" applyBorder="1">
      <alignment vertical="center"/>
    </xf>
    <xf numFmtId="0" fontId="11" fillId="0" borderId="71" xfId="2" applyNumberFormat="1" applyFont="1" applyFill="1" applyBorder="1" applyAlignment="1">
      <alignment vertical="center"/>
    </xf>
    <xf numFmtId="178" fontId="1" fillId="0" borderId="23" xfId="2" applyNumberFormat="1" applyFont="1" applyFill="1" applyBorder="1">
      <alignment vertical="center"/>
    </xf>
    <xf numFmtId="178" fontId="11" fillId="5" borderId="41" xfId="2" applyNumberFormat="1" applyFont="1" applyFill="1" applyBorder="1" applyAlignment="1">
      <alignment vertical="center"/>
    </xf>
    <xf numFmtId="178" fontId="11" fillId="0" borderId="41" xfId="2" applyNumberFormat="1" applyFont="1" applyFill="1" applyBorder="1" applyAlignment="1">
      <alignment vertical="center"/>
    </xf>
    <xf numFmtId="178" fontId="11" fillId="5" borderId="54" xfId="2" applyNumberFormat="1" applyFont="1" applyFill="1" applyBorder="1" applyAlignment="1">
      <alignment vertical="center"/>
    </xf>
    <xf numFmtId="0" fontId="1" fillId="5" borderId="32" xfId="3" applyNumberFormat="1" applyFill="1" applyBorder="1">
      <alignment vertical="center"/>
    </xf>
    <xf numFmtId="0" fontId="1" fillId="2" borderId="66" xfId="3" applyNumberFormat="1" applyFont="1" applyFill="1" applyBorder="1" applyAlignment="1">
      <alignment horizontal="center" vertical="center"/>
    </xf>
    <xf numFmtId="41" fontId="11" fillId="0" borderId="37" xfId="2" applyNumberFormat="1" applyFont="1" applyFill="1" applyBorder="1" applyAlignment="1">
      <alignment vertical="center"/>
    </xf>
    <xf numFmtId="0" fontId="1" fillId="0" borderId="21" xfId="2" applyNumberFormat="1" applyFont="1" applyFill="1" applyBorder="1">
      <alignment vertical="center"/>
    </xf>
    <xf numFmtId="178" fontId="11" fillId="0" borderId="71" xfId="2" applyNumberFormat="1" applyFont="1" applyFill="1" applyBorder="1" applyAlignment="1">
      <alignment vertical="center"/>
    </xf>
    <xf numFmtId="0" fontId="1" fillId="2" borderId="62" xfId="3" applyNumberFormat="1" applyFont="1" applyFill="1" applyBorder="1" applyAlignment="1">
      <alignment horizontal="center" vertical="center"/>
    </xf>
    <xf numFmtId="0" fontId="1" fillId="2" borderId="88" xfId="3" applyNumberFormat="1" applyFont="1" applyFill="1" applyBorder="1" applyAlignment="1">
      <alignment horizontal="center" vertical="center"/>
    </xf>
    <xf numFmtId="0" fontId="1" fillId="2" borderId="89" xfId="3" applyNumberFormat="1" applyFont="1" applyFill="1" applyBorder="1" applyAlignment="1">
      <alignment horizontal="center" vertical="center"/>
    </xf>
    <xf numFmtId="0" fontId="1" fillId="2" borderId="90" xfId="3" applyNumberFormat="1" applyFont="1" applyFill="1" applyBorder="1" applyAlignment="1">
      <alignment horizontal="center" vertical="center"/>
    </xf>
    <xf numFmtId="0" fontId="1" fillId="2" borderId="91" xfId="3" applyNumberFormat="1" applyFont="1" applyFill="1" applyBorder="1" applyAlignment="1">
      <alignment horizontal="center" vertical="center"/>
    </xf>
    <xf numFmtId="0" fontId="1" fillId="2" borderId="92" xfId="3" applyNumberFormat="1" applyFont="1" applyFill="1" applyBorder="1" applyAlignment="1">
      <alignment horizontal="center" vertical="center"/>
    </xf>
    <xf numFmtId="0" fontId="1" fillId="6" borderId="93" xfId="3" applyNumberFormat="1" applyFill="1" applyBorder="1" applyAlignment="1">
      <alignment horizontal="center" vertical="center"/>
    </xf>
    <xf numFmtId="0" fontId="1" fillId="6" borderId="89" xfId="3" applyNumberFormat="1" applyFill="1" applyBorder="1" applyAlignment="1">
      <alignment horizontal="center" vertical="center"/>
    </xf>
    <xf numFmtId="0" fontId="1" fillId="6" borderId="90" xfId="3" applyNumberFormat="1" applyFill="1" applyBorder="1" applyAlignment="1">
      <alignment horizontal="center" vertical="center"/>
    </xf>
    <xf numFmtId="0" fontId="1" fillId="2" borderId="94" xfId="3" applyNumberFormat="1" applyFont="1" applyFill="1" applyBorder="1" applyAlignment="1">
      <alignment horizontal="center" vertical="center"/>
    </xf>
    <xf numFmtId="0" fontId="1" fillId="2" borderId="93" xfId="3" applyNumberFormat="1" applyFont="1" applyFill="1" applyBorder="1" applyAlignment="1">
      <alignment horizontal="center" vertical="center"/>
    </xf>
    <xf numFmtId="0" fontId="0" fillId="2" borderId="84" xfId="0" applyFill="1" applyBorder="1">
      <alignment vertical="center"/>
    </xf>
    <xf numFmtId="0" fontId="0" fillId="0" borderId="84" xfId="0" applyBorder="1">
      <alignment vertical="center"/>
    </xf>
    <xf numFmtId="0" fontId="0" fillId="4" borderId="84" xfId="0" applyFill="1" applyBorder="1">
      <alignment vertical="center"/>
    </xf>
    <xf numFmtId="176" fontId="5" fillId="4" borderId="55" xfId="3" applyNumberFormat="1" applyFont="1" applyFill="1" applyBorder="1" applyAlignment="1">
      <alignment horizontal="center" vertical="center"/>
    </xf>
    <xf numFmtId="176" fontId="5" fillId="4" borderId="56" xfId="1" applyNumberFormat="1" applyFont="1" applyFill="1" applyBorder="1" applyAlignment="1">
      <alignment horizontal="center" vertical="center"/>
    </xf>
    <xf numFmtId="176" fontId="12" fillId="4" borderId="56" xfId="1" applyNumberFormat="1" applyFont="1" applyFill="1" applyBorder="1" applyAlignment="1">
      <alignment horizontal="center" vertical="center"/>
    </xf>
    <xf numFmtId="176" fontId="13" fillId="4" borderId="56" xfId="1" applyNumberFormat="1" applyFont="1" applyFill="1" applyBorder="1" applyAlignment="1">
      <alignment horizontal="center" vertical="center"/>
    </xf>
    <xf numFmtId="176" fontId="12" fillId="4" borderId="55" xfId="1" applyNumberFormat="1" applyFont="1" applyFill="1" applyBorder="1" applyAlignment="1">
      <alignment horizontal="center" vertical="center"/>
    </xf>
    <xf numFmtId="176" fontId="5" fillId="4" borderId="27" xfId="1" applyNumberFormat="1" applyFont="1" applyFill="1" applyBorder="1" applyAlignment="1">
      <alignment horizontal="center" vertical="center"/>
    </xf>
    <xf numFmtId="0" fontId="0" fillId="0" borderId="75" xfId="0" applyBorder="1">
      <alignment vertical="center"/>
    </xf>
    <xf numFmtId="0" fontId="0" fillId="0" borderId="59" xfId="0" applyBorder="1">
      <alignment vertical="center"/>
    </xf>
    <xf numFmtId="0" fontId="0" fillId="0" borderId="0" xfId="0" applyBorder="1">
      <alignment vertical="center"/>
    </xf>
    <xf numFmtId="0" fontId="0" fillId="0" borderId="17" xfId="0" applyBorder="1">
      <alignment vertical="center"/>
    </xf>
    <xf numFmtId="0" fontId="0" fillId="0" borderId="16" xfId="0" applyBorder="1">
      <alignment vertical="center"/>
    </xf>
    <xf numFmtId="0" fontId="0" fillId="0" borderId="74" xfId="0" applyBorder="1">
      <alignment vertical="center"/>
    </xf>
    <xf numFmtId="0" fontId="0" fillId="0" borderId="64" xfId="0" applyBorder="1">
      <alignment vertical="center"/>
    </xf>
    <xf numFmtId="0" fontId="12" fillId="0" borderId="16" xfId="0" applyFont="1" applyBorder="1">
      <alignment vertical="center"/>
    </xf>
    <xf numFmtId="0" fontId="24" fillId="0" borderId="75" xfId="0" applyFont="1" applyBorder="1">
      <alignment vertical="center"/>
    </xf>
    <xf numFmtId="0" fontId="26" fillId="0" borderId="58" xfId="0" applyFont="1" applyBorder="1">
      <alignment vertical="center"/>
    </xf>
    <xf numFmtId="0" fontId="26" fillId="0" borderId="16" xfId="0" applyFont="1" applyBorder="1">
      <alignment vertical="center"/>
    </xf>
    <xf numFmtId="0" fontId="24" fillId="0" borderId="16" xfId="0" applyFont="1" applyBorder="1">
      <alignment vertical="center"/>
    </xf>
    <xf numFmtId="0" fontId="27" fillId="0" borderId="16" xfId="0" applyFont="1" applyBorder="1">
      <alignment vertical="center"/>
    </xf>
    <xf numFmtId="0" fontId="0" fillId="0" borderId="0" xfId="0" applyBorder="1" applyAlignment="1">
      <alignment vertical="center"/>
    </xf>
    <xf numFmtId="0" fontId="0" fillId="0" borderId="71" xfId="0" applyBorder="1">
      <alignment vertical="center"/>
    </xf>
    <xf numFmtId="0" fontId="0" fillId="0" borderId="41" xfId="0" applyBorder="1">
      <alignment vertical="center"/>
    </xf>
    <xf numFmtId="0" fontId="0" fillId="0" borderId="54" xfId="0" applyBorder="1">
      <alignment vertical="center"/>
    </xf>
    <xf numFmtId="0" fontId="12" fillId="0" borderId="19" xfId="0" applyFont="1" applyBorder="1">
      <alignment vertical="center"/>
    </xf>
    <xf numFmtId="0" fontId="8" fillId="0" borderId="16" xfId="0" applyFont="1" applyBorder="1">
      <alignment vertical="center"/>
    </xf>
    <xf numFmtId="176" fontId="1" fillId="7" borderId="34" xfId="3" applyNumberFormat="1" applyFont="1" applyFill="1" applyBorder="1" applyAlignment="1">
      <alignment horizontal="center" vertical="center"/>
    </xf>
    <xf numFmtId="176" fontId="1" fillId="0" borderId="44" xfId="1" applyNumberFormat="1" applyFont="1" applyFill="1" applyBorder="1" applyAlignment="1">
      <alignment horizontal="center" vertical="center"/>
    </xf>
    <xf numFmtId="0" fontId="11" fillId="0" borderId="41" xfId="2" applyNumberFormat="1" applyFont="1" applyFill="1" applyBorder="1" applyAlignment="1">
      <alignment vertical="center"/>
    </xf>
    <xf numFmtId="176" fontId="28" fillId="7" borderId="34" xfId="3" applyNumberFormat="1" applyFont="1" applyFill="1" applyBorder="1" applyAlignment="1">
      <alignment horizontal="center" vertical="center"/>
    </xf>
    <xf numFmtId="20" fontId="1" fillId="0" borderId="52" xfId="3" applyNumberFormat="1" applyFont="1" applyFill="1" applyBorder="1">
      <alignment vertical="center"/>
    </xf>
    <xf numFmtId="0" fontId="0" fillId="0" borderId="12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52" xfId="0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25" fillId="0" borderId="0" xfId="0" applyFont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65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2" fillId="0" borderId="1" xfId="3" applyNumberFormat="1" applyFont="1" applyFill="1" applyBorder="1" applyAlignment="1">
      <alignment horizontal="center" vertical="center"/>
    </xf>
    <xf numFmtId="0" fontId="2" fillId="0" borderId="2" xfId="3" applyNumberFormat="1" applyFont="1" applyFill="1" applyBorder="1" applyAlignment="1">
      <alignment horizontal="center" vertical="center"/>
    </xf>
    <xf numFmtId="0" fontId="2" fillId="0" borderId="3" xfId="3" applyNumberFormat="1" applyFont="1" applyFill="1" applyBorder="1" applyAlignment="1">
      <alignment horizontal="center" vertical="center"/>
    </xf>
    <xf numFmtId="0" fontId="5" fillId="2" borderId="4" xfId="3" applyNumberFormat="1" applyFont="1" applyFill="1" applyBorder="1" applyAlignment="1">
      <alignment horizontal="center" vertical="center"/>
    </xf>
    <xf numFmtId="0" fontId="5" fillId="2" borderId="5" xfId="3" applyNumberFormat="1" applyFont="1" applyFill="1" applyBorder="1" applyAlignment="1">
      <alignment horizontal="center" vertical="center"/>
    </xf>
    <xf numFmtId="0" fontId="5" fillId="0" borderId="6" xfId="3" applyNumberFormat="1" applyFont="1" applyFill="1" applyBorder="1" applyAlignment="1">
      <alignment horizontal="center" vertical="center"/>
    </xf>
    <xf numFmtId="0" fontId="5" fillId="0" borderId="5" xfId="3" applyNumberFormat="1" applyFont="1" applyFill="1" applyBorder="1" applyAlignment="1">
      <alignment horizontal="center" vertical="center"/>
    </xf>
    <xf numFmtId="0" fontId="1" fillId="2" borderId="7" xfId="3" applyNumberFormat="1" applyFill="1" applyBorder="1" applyAlignment="1">
      <alignment horizontal="center" vertical="center"/>
    </xf>
    <xf numFmtId="0" fontId="1" fillId="2" borderId="12" xfId="3" applyNumberFormat="1" applyFill="1" applyBorder="1" applyAlignment="1">
      <alignment horizontal="center" vertical="center"/>
    </xf>
    <xf numFmtId="0" fontId="1" fillId="2" borderId="6" xfId="3" applyNumberFormat="1" applyFont="1" applyFill="1" applyBorder="1" applyAlignment="1">
      <alignment horizontal="center" vertical="center"/>
    </xf>
    <xf numFmtId="0" fontId="1" fillId="2" borderId="5" xfId="3" applyNumberFormat="1" applyFill="1" applyBorder="1" applyAlignment="1">
      <alignment horizontal="center" vertical="center"/>
    </xf>
    <xf numFmtId="0" fontId="1" fillId="2" borderId="6" xfId="3" applyNumberFormat="1" applyFill="1" applyBorder="1" applyAlignment="1">
      <alignment horizontal="center" vertical="center"/>
    </xf>
    <xf numFmtId="0" fontId="1" fillId="2" borderId="8" xfId="3" applyNumberFormat="1" applyFill="1" applyBorder="1" applyAlignment="1">
      <alignment horizontal="center" vertical="center"/>
    </xf>
    <xf numFmtId="0" fontId="5" fillId="2" borderId="9" xfId="3" applyNumberFormat="1" applyFont="1" applyFill="1" applyBorder="1" applyAlignment="1">
      <alignment horizontal="center" vertical="center"/>
    </xf>
    <xf numFmtId="0" fontId="5" fillId="2" borderId="10" xfId="3" applyNumberFormat="1" applyFont="1" applyFill="1" applyBorder="1" applyAlignment="1">
      <alignment horizontal="center" vertical="center"/>
    </xf>
    <xf numFmtId="0" fontId="1" fillId="0" borderId="13" xfId="3" applyNumberFormat="1" applyFont="1" applyFill="1" applyBorder="1" applyAlignment="1">
      <alignment horizontal="center" vertical="center"/>
    </xf>
    <xf numFmtId="0" fontId="1" fillId="0" borderId="14" xfId="3" applyNumberFormat="1" applyFill="1" applyBorder="1" applyAlignment="1">
      <alignment horizontal="center" vertical="center"/>
    </xf>
    <xf numFmtId="41" fontId="5" fillId="4" borderId="13" xfId="3" applyNumberFormat="1" applyFont="1" applyFill="1" applyBorder="1" applyAlignment="1">
      <alignment horizontal="center" vertical="center"/>
    </xf>
    <xf numFmtId="0" fontId="5" fillId="4" borderId="15" xfId="3" applyNumberFormat="1" applyFont="1" applyFill="1" applyBorder="1" applyAlignment="1">
      <alignment horizontal="center" vertical="center"/>
    </xf>
    <xf numFmtId="0" fontId="1" fillId="3" borderId="16" xfId="3" applyNumberFormat="1" applyFill="1" applyBorder="1" applyAlignment="1">
      <alignment horizontal="left" vertical="center"/>
    </xf>
    <xf numFmtId="0" fontId="1" fillId="3" borderId="0" xfId="3" applyNumberFormat="1" applyFill="1" applyBorder="1" applyAlignment="1">
      <alignment horizontal="left" vertical="center"/>
    </xf>
    <xf numFmtId="0" fontId="5" fillId="2" borderId="61" xfId="3" applyNumberFormat="1" applyFont="1" applyFill="1" applyBorder="1" applyAlignment="1">
      <alignment horizontal="center" vertical="center"/>
    </xf>
    <xf numFmtId="0" fontId="5" fillId="2" borderId="70" xfId="3" applyNumberFormat="1" applyFont="1" applyFill="1" applyBorder="1" applyAlignment="1">
      <alignment horizontal="center" vertical="center"/>
    </xf>
    <xf numFmtId="0" fontId="5" fillId="2" borderId="57" xfId="3" applyNumberFormat="1" applyFont="1" applyFill="1" applyBorder="1" applyAlignment="1">
      <alignment horizontal="center" vertical="center"/>
    </xf>
    <xf numFmtId="0" fontId="1" fillId="2" borderId="71" xfId="3" applyNumberFormat="1" applyFill="1" applyBorder="1" applyAlignment="1">
      <alignment horizontal="center" vertical="center"/>
    </xf>
    <xf numFmtId="0" fontId="5" fillId="2" borderId="20" xfId="3" applyNumberFormat="1" applyFont="1" applyFill="1" applyBorder="1" applyAlignment="1">
      <alignment horizontal="right" vertical="center" wrapText="1"/>
    </xf>
    <xf numFmtId="0" fontId="5" fillId="2" borderId="24" xfId="3" applyNumberFormat="1" applyFont="1" applyFill="1" applyBorder="1" applyAlignment="1">
      <alignment horizontal="right" vertical="center" wrapText="1"/>
    </xf>
    <xf numFmtId="0" fontId="5" fillId="2" borderId="26" xfId="3" applyNumberFormat="1" applyFont="1" applyFill="1" applyBorder="1" applyAlignment="1">
      <alignment horizontal="right" vertical="center" wrapText="1"/>
    </xf>
    <xf numFmtId="0" fontId="1" fillId="2" borderId="22" xfId="3" applyNumberFormat="1" applyFont="1" applyFill="1" applyBorder="1" applyAlignment="1">
      <alignment horizontal="center" vertical="center" wrapText="1"/>
    </xf>
    <xf numFmtId="0" fontId="1" fillId="2" borderId="10" xfId="3" applyNumberFormat="1" applyFont="1" applyFill="1" applyBorder="1" applyAlignment="1">
      <alignment horizontal="center" vertical="center" wrapText="1"/>
    </xf>
    <xf numFmtId="0" fontId="5" fillId="2" borderId="58" xfId="3" applyNumberFormat="1" applyFont="1" applyFill="1" applyBorder="1" applyAlignment="1">
      <alignment horizontal="left" vertical="center" wrapText="1"/>
    </xf>
    <xf numFmtId="0" fontId="5" fillId="2" borderId="59" xfId="3" applyNumberFormat="1" applyFont="1" applyFill="1" applyBorder="1" applyAlignment="1">
      <alignment horizontal="left" vertical="center" wrapText="1"/>
    </xf>
    <xf numFmtId="0" fontId="5" fillId="2" borderId="16" xfId="3" applyNumberFormat="1" applyFont="1" applyFill="1" applyBorder="1" applyAlignment="1">
      <alignment horizontal="left" vertical="center" wrapText="1"/>
    </xf>
    <xf numFmtId="0" fontId="5" fillId="2" borderId="17" xfId="3" applyNumberFormat="1" applyFont="1" applyFill="1" applyBorder="1" applyAlignment="1">
      <alignment horizontal="left" vertical="center" wrapText="1"/>
    </xf>
    <xf numFmtId="0" fontId="5" fillId="2" borderId="19" xfId="3" applyNumberFormat="1" applyFont="1" applyFill="1" applyBorder="1" applyAlignment="1">
      <alignment horizontal="left" vertical="center" wrapText="1"/>
    </xf>
    <xf numFmtId="0" fontId="5" fillId="2" borderId="64" xfId="3" applyNumberFormat="1" applyFont="1" applyFill="1" applyBorder="1" applyAlignment="1">
      <alignment horizontal="left" vertical="center" wrapText="1"/>
    </xf>
    <xf numFmtId="0" fontId="1" fillId="0" borderId="62" xfId="3" applyNumberFormat="1" applyFont="1" applyFill="1" applyBorder="1" applyAlignment="1">
      <alignment horizontal="center" vertical="center"/>
    </xf>
    <xf numFmtId="0" fontId="1" fillId="0" borderId="16" xfId="3" applyNumberFormat="1" applyFont="1" applyFill="1" applyBorder="1" applyAlignment="1">
      <alignment horizontal="center" vertical="center"/>
    </xf>
    <xf numFmtId="0" fontId="1" fillId="0" borderId="50" xfId="3" applyNumberFormat="1" applyFont="1" applyFill="1" applyBorder="1" applyAlignment="1">
      <alignment horizontal="center" vertical="center"/>
    </xf>
    <xf numFmtId="0" fontId="1" fillId="0" borderId="63" xfId="3" applyNumberFormat="1" applyFont="1" applyFill="1" applyBorder="1" applyAlignment="1">
      <alignment horizontal="center" vertical="center"/>
    </xf>
    <xf numFmtId="0" fontId="11" fillId="0" borderId="50" xfId="3" applyNumberFormat="1" applyFont="1" applyFill="1" applyBorder="1" applyAlignment="1">
      <alignment horizontal="center" vertical="center"/>
    </xf>
    <xf numFmtId="0" fontId="11" fillId="0" borderId="37" xfId="3" applyNumberFormat="1" applyFont="1" applyFill="1" applyBorder="1" applyAlignment="1">
      <alignment horizontal="center" vertical="center"/>
    </xf>
    <xf numFmtId="0" fontId="11" fillId="0" borderId="63" xfId="3" applyNumberFormat="1" applyFont="1" applyFill="1" applyBorder="1" applyAlignment="1">
      <alignment horizontal="center" vertical="center"/>
    </xf>
    <xf numFmtId="0" fontId="11" fillId="0" borderId="51" xfId="3" applyNumberFormat="1" applyFont="1" applyFill="1" applyBorder="1" applyAlignment="1">
      <alignment horizontal="center" vertical="center"/>
    </xf>
    <xf numFmtId="0" fontId="11" fillId="0" borderId="21" xfId="3" applyNumberFormat="1" applyFont="1" applyFill="1" applyBorder="1" applyAlignment="1">
      <alignment horizontal="center" vertical="center"/>
    </xf>
    <xf numFmtId="0" fontId="1" fillId="0" borderId="19" xfId="3" applyNumberFormat="1" applyFont="1" applyFill="1" applyBorder="1" applyAlignment="1">
      <alignment horizontal="center" vertical="center"/>
    </xf>
    <xf numFmtId="0" fontId="1" fillId="0" borderId="56" xfId="3" applyNumberFormat="1" applyFont="1" applyFill="1" applyBorder="1" applyAlignment="1">
      <alignment horizontal="center" vertical="center"/>
    </xf>
    <xf numFmtId="3" fontId="11" fillId="0" borderId="50" xfId="3" applyNumberFormat="1" applyFont="1" applyFill="1" applyBorder="1" applyAlignment="1">
      <alignment horizontal="center" vertical="center"/>
    </xf>
    <xf numFmtId="0" fontId="11" fillId="0" borderId="56" xfId="3" applyNumberFormat="1" applyFont="1" applyFill="1" applyBorder="1" applyAlignment="1">
      <alignment horizontal="center" vertical="center"/>
    </xf>
    <xf numFmtId="0" fontId="11" fillId="0" borderId="31" xfId="3" applyNumberFormat="1" applyFont="1" applyFill="1" applyBorder="1" applyAlignment="1">
      <alignment horizontal="left" vertical="center"/>
    </xf>
    <xf numFmtId="0" fontId="11" fillId="0" borderId="53" xfId="3" applyNumberFormat="1" applyFont="1" applyFill="1" applyBorder="1" applyAlignment="1">
      <alignment horizontal="left" vertical="center"/>
    </xf>
    <xf numFmtId="3" fontId="11" fillId="0" borderId="51" xfId="3" applyNumberFormat="1" applyFont="1" applyFill="1" applyBorder="1" applyAlignment="1">
      <alignment horizontal="center" vertical="center"/>
    </xf>
    <xf numFmtId="0" fontId="11" fillId="0" borderId="27" xfId="3" applyNumberFormat="1" applyFont="1" applyFill="1" applyBorder="1" applyAlignment="1">
      <alignment horizontal="center" vertical="center"/>
    </xf>
    <xf numFmtId="0" fontId="11" fillId="0" borderId="11" xfId="3" applyNumberFormat="1" applyFont="1" applyFill="1" applyBorder="1" applyAlignment="1">
      <alignment horizontal="left" vertical="center" wrapText="1"/>
    </xf>
    <xf numFmtId="0" fontId="11" fillId="0" borderId="11" xfId="3" applyNumberFormat="1" applyFont="1" applyFill="1" applyBorder="1" applyAlignment="1">
      <alignment horizontal="left" vertical="center"/>
    </xf>
    <xf numFmtId="0" fontId="11" fillId="0" borderId="43" xfId="3" applyNumberFormat="1" applyFont="1" applyFill="1" applyBorder="1" applyAlignment="1">
      <alignment horizontal="left" vertical="center"/>
    </xf>
    <xf numFmtId="0" fontId="11" fillId="0" borderId="65" xfId="3" applyNumberFormat="1" applyFont="1" applyFill="1" applyBorder="1" applyAlignment="1">
      <alignment horizontal="left" vertical="center"/>
    </xf>
    <xf numFmtId="0" fontId="11" fillId="0" borderId="15" xfId="3" applyNumberFormat="1" applyFont="1" applyFill="1" applyBorder="1" applyAlignment="1">
      <alignment horizontal="left" vertical="center"/>
    </xf>
    <xf numFmtId="0" fontId="11" fillId="0" borderId="66" xfId="3" applyNumberFormat="1" applyFont="1" applyFill="1" applyBorder="1" applyAlignment="1">
      <alignment horizontal="left" vertical="center"/>
    </xf>
    <xf numFmtId="0" fontId="11" fillId="0" borderId="66" xfId="3" applyNumberFormat="1" applyFont="1" applyFill="1" applyBorder="1" applyAlignment="1">
      <alignment horizontal="left" vertical="center" wrapText="1"/>
    </xf>
    <xf numFmtId="0" fontId="11" fillId="0" borderId="58" xfId="3" applyNumberFormat="1" applyFont="1" applyFill="1" applyBorder="1" applyAlignment="1">
      <alignment horizontal="center" vertical="center" wrapText="1"/>
    </xf>
    <xf numFmtId="0" fontId="11" fillId="0" borderId="75" xfId="3" applyNumberFormat="1" applyFont="1" applyFill="1" applyBorder="1" applyAlignment="1">
      <alignment horizontal="center" vertical="center" wrapText="1"/>
    </xf>
    <xf numFmtId="0" fontId="11" fillId="0" borderId="59" xfId="3" applyNumberFormat="1" applyFont="1" applyFill="1" applyBorder="1" applyAlignment="1">
      <alignment horizontal="center" vertical="center" wrapText="1"/>
    </xf>
    <xf numFmtId="0" fontId="11" fillId="0" borderId="9" xfId="3" applyNumberFormat="1" applyFont="1" applyFill="1" applyBorder="1" applyAlignment="1">
      <alignment horizontal="center" vertical="center" wrapText="1"/>
    </xf>
    <xf numFmtId="0" fontId="11" fillId="0" borderId="11" xfId="3" applyNumberFormat="1" applyFont="1" applyFill="1" applyBorder="1" applyAlignment="1">
      <alignment horizontal="center" vertical="center" wrapText="1"/>
    </xf>
    <xf numFmtId="0" fontId="11" fillId="0" borderId="43" xfId="3" applyNumberFormat="1" applyFont="1" applyFill="1" applyBorder="1" applyAlignment="1">
      <alignment horizontal="center" vertical="center" wrapText="1"/>
    </xf>
    <xf numFmtId="0" fontId="11" fillId="0" borderId="28" xfId="3" applyNumberFormat="1" applyFont="1" applyFill="1" applyBorder="1" applyAlignment="1">
      <alignment horizontal="left" vertical="center"/>
    </xf>
    <xf numFmtId="0" fontId="5" fillId="2" borderId="58" xfId="3" applyNumberFormat="1" applyFont="1" applyFill="1" applyBorder="1" applyAlignment="1">
      <alignment horizontal="center" vertical="center" wrapText="1"/>
    </xf>
    <xf numFmtId="0" fontId="5" fillId="2" borderId="16" xfId="3" applyNumberFormat="1" applyFont="1" applyFill="1" applyBorder="1" applyAlignment="1">
      <alignment horizontal="center" vertical="center" wrapText="1"/>
    </xf>
    <xf numFmtId="0" fontId="5" fillId="2" borderId="19" xfId="3" applyNumberFormat="1" applyFont="1" applyFill="1" applyBorder="1" applyAlignment="1">
      <alignment horizontal="center" vertical="center" wrapText="1"/>
    </xf>
    <xf numFmtId="0" fontId="5" fillId="2" borderId="68" xfId="3" applyNumberFormat="1" applyFont="1" applyFill="1" applyBorder="1" applyAlignment="1">
      <alignment horizontal="center" vertical="center" wrapText="1"/>
    </xf>
    <xf numFmtId="0" fontId="5" fillId="2" borderId="25" xfId="3" applyNumberFormat="1" applyFont="1" applyFill="1" applyBorder="1" applyAlignment="1">
      <alignment horizontal="center" vertical="center" wrapText="1"/>
    </xf>
    <xf numFmtId="0" fontId="11" fillId="0" borderId="67" xfId="3" applyNumberFormat="1" applyFont="1" applyFill="1" applyBorder="1" applyAlignment="1">
      <alignment horizontal="left" vertical="center"/>
    </xf>
    <xf numFmtId="0" fontId="11" fillId="0" borderId="8" xfId="3" applyNumberFormat="1" applyFont="1" applyFill="1" applyBorder="1" applyAlignment="1">
      <alignment horizontal="left" vertical="center"/>
    </xf>
    <xf numFmtId="0" fontId="5" fillId="2" borderId="51" xfId="3" applyNumberFormat="1" applyFont="1" applyFill="1" applyBorder="1" applyAlignment="1">
      <alignment horizontal="center" vertical="center" wrapText="1"/>
    </xf>
    <xf numFmtId="0" fontId="5" fillId="2" borderId="27" xfId="3" applyNumberFormat="1" applyFont="1" applyFill="1" applyBorder="1" applyAlignment="1">
      <alignment horizontal="center" vertical="center" wrapText="1"/>
    </xf>
    <xf numFmtId="0" fontId="10" fillId="0" borderId="0" xfId="3" applyNumberFormat="1" applyFont="1" applyFill="1" applyBorder="1" applyAlignment="1">
      <alignment horizontal="right" vertical="center"/>
    </xf>
    <xf numFmtId="0" fontId="1" fillId="2" borderId="68" xfId="3" applyNumberFormat="1" applyFill="1" applyBorder="1" applyAlignment="1">
      <alignment horizontal="center" vertical="center"/>
    </xf>
    <xf numFmtId="0" fontId="1" fillId="2" borderId="21" xfId="3" applyNumberFormat="1" applyFill="1" applyBorder="1" applyAlignment="1">
      <alignment horizontal="center" vertical="center"/>
    </xf>
    <xf numFmtId="0" fontId="5" fillId="2" borderId="58" xfId="3" applyNumberFormat="1" applyFont="1" applyFill="1" applyBorder="1" applyAlignment="1">
      <alignment horizontal="left" vertical="center"/>
    </xf>
    <xf numFmtId="0" fontId="5" fillId="2" borderId="59" xfId="3" applyNumberFormat="1" applyFont="1" applyFill="1" applyBorder="1" applyAlignment="1">
      <alignment horizontal="left" vertical="center"/>
    </xf>
    <xf numFmtId="0" fontId="5" fillId="2" borderId="19" xfId="3" applyNumberFormat="1" applyFont="1" applyFill="1" applyBorder="1" applyAlignment="1">
      <alignment horizontal="left" vertical="center"/>
    </xf>
    <xf numFmtId="0" fontId="5" fillId="2" borderId="64" xfId="3" applyNumberFormat="1" applyFont="1" applyFill="1" applyBorder="1" applyAlignment="1">
      <alignment horizontal="left" vertical="center"/>
    </xf>
    <xf numFmtId="0" fontId="5" fillId="2" borderId="20" xfId="3" applyNumberFormat="1" applyFont="1" applyFill="1" applyBorder="1" applyAlignment="1">
      <alignment horizontal="center" vertical="center" wrapText="1"/>
    </xf>
    <xf numFmtId="0" fontId="5" fillId="2" borderId="24" xfId="3" applyNumberFormat="1" applyFont="1" applyFill="1" applyBorder="1" applyAlignment="1">
      <alignment horizontal="center" vertical="center" wrapText="1"/>
    </xf>
    <xf numFmtId="0" fontId="5" fillId="2" borderId="26" xfId="3" applyNumberFormat="1" applyFont="1" applyFill="1" applyBorder="1" applyAlignment="1">
      <alignment horizontal="center" vertical="center" wrapText="1"/>
    </xf>
    <xf numFmtId="0" fontId="1" fillId="0" borderId="4" xfId="3" applyNumberFormat="1" applyFill="1" applyBorder="1" applyAlignment="1">
      <alignment horizontal="center" vertical="center"/>
    </xf>
    <xf numFmtId="0" fontId="1" fillId="0" borderId="5" xfId="3" applyNumberFormat="1" applyFill="1" applyBorder="1" applyAlignment="1">
      <alignment horizontal="center" vertical="center"/>
    </xf>
    <xf numFmtId="0" fontId="1" fillId="0" borderId="6" xfId="3" applyNumberFormat="1" applyFill="1" applyBorder="1" applyAlignment="1">
      <alignment horizontal="center" vertical="center"/>
    </xf>
    <xf numFmtId="0" fontId="1" fillId="0" borderId="6" xfId="3" applyNumberFormat="1" applyFont="1" applyFill="1" applyBorder="1" applyAlignment="1">
      <alignment horizontal="center" vertical="center"/>
    </xf>
    <xf numFmtId="0" fontId="1" fillId="0" borderId="5" xfId="3" applyNumberFormat="1" applyFont="1" applyFill="1" applyBorder="1" applyAlignment="1">
      <alignment horizontal="center" vertical="center"/>
    </xf>
    <xf numFmtId="0" fontId="1" fillId="0" borderId="30" xfId="3" applyNumberFormat="1" applyFont="1" applyFill="1" applyBorder="1" applyAlignment="1">
      <alignment horizontal="center" vertical="center"/>
    </xf>
    <xf numFmtId="0" fontId="1" fillId="0" borderId="29" xfId="3" applyNumberFormat="1" applyFont="1" applyFill="1" applyBorder="1" applyAlignment="1">
      <alignment horizontal="center" vertical="center"/>
    </xf>
    <xf numFmtId="0" fontId="11" fillId="0" borderId="4" xfId="3" applyNumberFormat="1" applyFont="1" applyFill="1" applyBorder="1" applyAlignment="1">
      <alignment horizontal="left" vertical="center"/>
    </xf>
    <xf numFmtId="0" fontId="11" fillId="0" borderId="4" xfId="3" applyNumberFormat="1" applyFont="1" applyFill="1" applyBorder="1" applyAlignment="1">
      <alignment horizontal="left" vertical="center" wrapText="1"/>
    </xf>
    <xf numFmtId="0" fontId="11" fillId="0" borderId="65" xfId="3" applyNumberFormat="1" applyFont="1" applyFill="1" applyBorder="1" applyAlignment="1">
      <alignment horizontal="left" vertical="center" wrapText="1"/>
    </xf>
    <xf numFmtId="0" fontId="11" fillId="0" borderId="15" xfId="3" applyNumberFormat="1" applyFont="1" applyFill="1" applyBorder="1" applyAlignment="1">
      <alignment horizontal="left" vertical="center" wrapText="1"/>
    </xf>
    <xf numFmtId="0" fontId="11" fillId="0" borderId="66" xfId="3" applyNumberFormat="1" applyFont="1" applyFill="1" applyBorder="1" applyAlignment="1">
      <alignment horizontal="center" vertical="center"/>
    </xf>
    <xf numFmtId="0" fontId="11" fillId="0" borderId="65" xfId="3" applyNumberFormat="1" applyFont="1" applyFill="1" applyBorder="1" applyAlignment="1">
      <alignment horizontal="center" vertical="center"/>
    </xf>
    <xf numFmtId="0" fontId="11" fillId="0" borderId="15" xfId="3" applyNumberFormat="1" applyFont="1" applyFill="1" applyBorder="1" applyAlignment="1">
      <alignment horizontal="center" vertical="center"/>
    </xf>
    <xf numFmtId="0" fontId="11" fillId="0" borderId="62" xfId="3" applyNumberFormat="1" applyFont="1" applyFill="1" applyBorder="1" applyAlignment="1">
      <alignment horizontal="center" vertical="center" wrapText="1"/>
    </xf>
    <xf numFmtId="0" fontId="11" fillId="0" borderId="95" xfId="3" applyNumberFormat="1" applyFont="1" applyFill="1" applyBorder="1" applyAlignment="1">
      <alignment horizontal="center" vertical="center" wrapText="1"/>
    </xf>
    <xf numFmtId="0" fontId="11" fillId="0" borderId="96" xfId="3" applyNumberFormat="1" applyFont="1" applyFill="1" applyBorder="1" applyAlignment="1">
      <alignment horizontal="center" vertical="center" wrapText="1"/>
    </xf>
    <xf numFmtId="0" fontId="11" fillId="0" borderId="19" xfId="3" applyNumberFormat="1" applyFont="1" applyFill="1" applyBorder="1" applyAlignment="1">
      <alignment horizontal="center" vertical="center" wrapText="1"/>
    </xf>
    <xf numFmtId="0" fontId="11" fillId="0" borderId="74" xfId="3" applyNumberFormat="1" applyFont="1" applyFill="1" applyBorder="1" applyAlignment="1">
      <alignment horizontal="center" vertical="center" wrapText="1"/>
    </xf>
    <xf numFmtId="0" fontId="11" fillId="0" borderId="64" xfId="3" applyNumberFormat="1" applyFont="1" applyFill="1" applyBorder="1" applyAlignment="1">
      <alignment horizontal="center" vertical="center" wrapText="1"/>
    </xf>
    <xf numFmtId="0" fontId="11" fillId="0" borderId="58" xfId="3" applyNumberFormat="1" applyFont="1" applyFill="1" applyBorder="1" applyAlignment="1">
      <alignment horizontal="left" vertical="center" wrapText="1"/>
    </xf>
    <xf numFmtId="0" fontId="11" fillId="0" borderId="75" xfId="3" applyNumberFormat="1" applyFont="1" applyFill="1" applyBorder="1" applyAlignment="1">
      <alignment horizontal="left" vertical="center" wrapText="1"/>
    </xf>
    <xf numFmtId="0" fontId="11" fillId="0" borderId="59" xfId="3" applyNumberFormat="1" applyFont="1" applyFill="1" applyBorder="1" applyAlignment="1">
      <alignment horizontal="left" vertical="center" wrapText="1"/>
    </xf>
    <xf numFmtId="0" fontId="11" fillId="0" borderId="9" xfId="3" applyNumberFormat="1" applyFont="1" applyFill="1" applyBorder="1" applyAlignment="1">
      <alignment horizontal="left" vertical="center" wrapText="1"/>
    </xf>
    <xf numFmtId="0" fontId="11" fillId="0" borderId="43" xfId="3" applyNumberFormat="1" applyFont="1" applyFill="1" applyBorder="1" applyAlignment="1">
      <alignment horizontal="left" vertical="center" wrapText="1"/>
    </xf>
    <xf numFmtId="3" fontId="1" fillId="0" borderId="50" xfId="3" applyNumberFormat="1" applyFont="1" applyFill="1" applyBorder="1" applyAlignment="1">
      <alignment horizontal="center" vertical="center"/>
    </xf>
    <xf numFmtId="178" fontId="1" fillId="0" borderId="18" xfId="2" applyNumberFormat="1" applyFont="1" applyFill="1" applyBorder="1" applyAlignment="1">
      <alignment vertical="center"/>
    </xf>
    <xf numFmtId="178" fontId="1" fillId="0" borderId="32" xfId="2" applyNumberFormat="1" applyFont="1" applyFill="1" applyBorder="1" applyAlignment="1">
      <alignment vertical="center"/>
    </xf>
    <xf numFmtId="178" fontId="11" fillId="0" borderId="41" xfId="2" applyNumberFormat="1" applyFont="1" applyFill="1" applyBorder="1" applyAlignment="1">
      <alignment vertical="center"/>
    </xf>
    <xf numFmtId="178" fontId="1" fillId="0" borderId="12" xfId="2" applyNumberFormat="1" applyFont="1" applyFill="1" applyBorder="1" applyAlignment="1">
      <alignment vertical="center"/>
    </xf>
    <xf numFmtId="178" fontId="11" fillId="0" borderId="54" xfId="2" applyNumberFormat="1" applyFont="1" applyFill="1" applyBorder="1" applyAlignment="1">
      <alignment vertical="center"/>
    </xf>
    <xf numFmtId="178" fontId="1" fillId="0" borderId="52" xfId="2" applyNumberFormat="1" applyFont="1" applyFill="1" applyBorder="1" applyAlignment="1">
      <alignment vertical="center"/>
    </xf>
    <xf numFmtId="0" fontId="5" fillId="2" borderId="59" xfId="3" applyNumberFormat="1" applyFont="1" applyFill="1" applyBorder="1" applyAlignment="1">
      <alignment horizontal="center" vertical="center"/>
    </xf>
    <xf numFmtId="0" fontId="5" fillId="2" borderId="17" xfId="3" applyNumberFormat="1" applyFont="1" applyFill="1" applyBorder="1" applyAlignment="1">
      <alignment horizontal="center" vertical="center"/>
    </xf>
    <xf numFmtId="0" fontId="5" fillId="2" borderId="64" xfId="3" applyNumberFormat="1" applyFont="1" applyFill="1" applyBorder="1" applyAlignment="1">
      <alignment horizontal="center" vertical="center"/>
    </xf>
    <xf numFmtId="0" fontId="1" fillId="2" borderId="7" xfId="3" applyNumberFormat="1" applyFont="1" applyFill="1" applyBorder="1" applyAlignment="1">
      <alignment horizontal="center" vertical="center" wrapText="1"/>
    </xf>
    <xf numFmtId="0" fontId="1" fillId="2" borderId="6" xfId="3" applyNumberFormat="1" applyFont="1" applyFill="1" applyBorder="1" applyAlignment="1">
      <alignment horizontal="center" vertical="center" wrapText="1"/>
    </xf>
    <xf numFmtId="0" fontId="5" fillId="2" borderId="83" xfId="3" applyNumberFormat="1" applyFont="1" applyFill="1" applyBorder="1" applyAlignment="1">
      <alignment horizontal="center" vertical="center" wrapText="1"/>
    </xf>
    <xf numFmtId="0" fontId="5" fillId="2" borderId="69" xfId="3" applyNumberFormat="1" applyFont="1" applyFill="1" applyBorder="1" applyAlignment="1">
      <alignment horizontal="center" vertical="center" wrapText="1"/>
    </xf>
  </cellXfs>
  <cellStyles count="5">
    <cellStyle name="백분율" xfId="2" builtinId="5"/>
    <cellStyle name="쉼표 [0]" xfId="1" builtinId="6"/>
    <cellStyle name="쉼표 [0] 2" xfId="4"/>
    <cellStyle name="표준" xfId="0" builtinId="0"/>
    <cellStyle name="표준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31"/>
  <sheetViews>
    <sheetView showGridLines="0" topLeftCell="A7" workbookViewId="0">
      <selection activeCell="B14" sqref="B14"/>
    </sheetView>
  </sheetViews>
  <sheetFormatPr defaultRowHeight="16.5" x14ac:dyDescent="0.3"/>
  <cols>
    <col min="9" max="9" width="11.25" customWidth="1"/>
  </cols>
  <sheetData>
    <row r="2" spans="2:13" ht="26.25" x14ac:dyDescent="0.3">
      <c r="B2" s="290" t="s">
        <v>152</v>
      </c>
      <c r="C2" s="290"/>
      <c r="D2" s="290"/>
      <c r="E2" s="290"/>
      <c r="F2" s="290"/>
      <c r="G2" s="290"/>
      <c r="H2" s="290"/>
      <c r="I2" s="290"/>
      <c r="J2" s="290"/>
      <c r="K2" s="290"/>
      <c r="L2" s="290"/>
    </row>
    <row r="3" spans="2:13" ht="17.25" thickBot="1" x14ac:dyDescent="0.35"/>
    <row r="4" spans="2:13" ht="21" thickBot="1" x14ac:dyDescent="0.35">
      <c r="B4" s="271" t="s">
        <v>153</v>
      </c>
      <c r="C4" s="270"/>
      <c r="D4" s="262"/>
      <c r="E4" s="262"/>
      <c r="F4" s="262"/>
      <c r="G4" s="262"/>
      <c r="H4" s="262"/>
      <c r="I4" s="262"/>
      <c r="J4" s="262"/>
      <c r="K4" s="262"/>
      <c r="L4" s="262"/>
      <c r="M4" s="263"/>
    </row>
    <row r="5" spans="2:13" ht="21" customHeight="1" thickBot="1" x14ac:dyDescent="0.35">
      <c r="B5" s="253"/>
      <c r="C5" s="264" t="s">
        <v>138</v>
      </c>
      <c r="D5" s="264"/>
      <c r="E5" s="264"/>
      <c r="F5" s="264"/>
      <c r="G5" s="264"/>
      <c r="H5" s="264"/>
      <c r="I5" s="264"/>
      <c r="J5" s="264"/>
      <c r="K5" s="264"/>
      <c r="L5" s="264"/>
      <c r="M5" s="265"/>
    </row>
    <row r="6" spans="2:13" ht="21" customHeight="1" thickBot="1" x14ac:dyDescent="0.35">
      <c r="B6" s="254"/>
      <c r="C6" s="264" t="s">
        <v>139</v>
      </c>
      <c r="D6" s="264"/>
      <c r="E6" s="264"/>
      <c r="F6" s="264"/>
      <c r="G6" s="264"/>
      <c r="H6" s="264"/>
      <c r="I6" s="264"/>
      <c r="J6" s="264"/>
      <c r="K6" s="264"/>
      <c r="L6" s="264"/>
      <c r="M6" s="265"/>
    </row>
    <row r="7" spans="2:13" ht="21" customHeight="1" thickBot="1" x14ac:dyDescent="0.35">
      <c r="B7" s="255"/>
      <c r="C7" s="264" t="s">
        <v>140</v>
      </c>
      <c r="D7" s="264"/>
      <c r="E7" s="264"/>
      <c r="F7" s="264"/>
      <c r="G7" s="264"/>
      <c r="H7" s="264"/>
      <c r="I7" s="264"/>
      <c r="J7" s="264"/>
      <c r="K7" s="264"/>
      <c r="L7" s="264"/>
      <c r="M7" s="265"/>
    </row>
    <row r="8" spans="2:13" x14ac:dyDescent="0.3">
      <c r="B8" s="266"/>
      <c r="C8" s="264"/>
      <c r="D8" s="264"/>
      <c r="E8" s="264"/>
      <c r="F8" s="264"/>
      <c r="G8" s="264"/>
      <c r="H8" s="264"/>
      <c r="I8" s="264"/>
      <c r="J8" s="264"/>
      <c r="K8" s="264"/>
      <c r="L8" s="264"/>
      <c r="M8" s="265"/>
    </row>
    <row r="9" spans="2:13" ht="20.25" x14ac:dyDescent="0.3">
      <c r="B9" s="272" t="s">
        <v>154</v>
      </c>
      <c r="C9" s="264"/>
      <c r="D9" s="264"/>
      <c r="E9" s="264"/>
      <c r="F9" s="264"/>
      <c r="G9" s="264"/>
      <c r="H9" s="264"/>
      <c r="I9" s="264"/>
      <c r="J9" s="264"/>
      <c r="K9" s="264"/>
      <c r="L9" s="264"/>
      <c r="M9" s="265"/>
    </row>
    <row r="10" spans="2:13" ht="21" customHeight="1" x14ac:dyDescent="0.3">
      <c r="B10" s="274" t="s">
        <v>155</v>
      </c>
      <c r="C10" s="264"/>
      <c r="D10" s="264"/>
      <c r="E10" s="264"/>
      <c r="F10" s="264"/>
      <c r="G10" s="264"/>
      <c r="H10" s="264"/>
      <c r="I10" s="264"/>
      <c r="J10" s="264"/>
      <c r="K10" s="264"/>
      <c r="L10" s="264"/>
      <c r="M10" s="265"/>
    </row>
    <row r="11" spans="2:13" ht="21" customHeight="1" x14ac:dyDescent="0.3">
      <c r="B11" s="273" t="s">
        <v>156</v>
      </c>
      <c r="C11" s="264"/>
      <c r="D11" s="264"/>
      <c r="E11" s="264"/>
      <c r="F11" s="264"/>
      <c r="G11" s="264"/>
      <c r="H11" s="264"/>
      <c r="I11" s="264"/>
      <c r="J11" s="264"/>
      <c r="K11" s="264"/>
      <c r="L11" s="264"/>
      <c r="M11" s="265"/>
    </row>
    <row r="12" spans="2:13" x14ac:dyDescent="0.3">
      <c r="B12" s="266"/>
      <c r="C12" s="264"/>
      <c r="D12" s="264"/>
      <c r="E12" s="264"/>
      <c r="F12" s="264"/>
      <c r="G12" s="264"/>
      <c r="H12" s="264"/>
      <c r="I12" s="264"/>
      <c r="J12" s="264"/>
      <c r="K12" s="264"/>
      <c r="L12" s="264"/>
      <c r="M12" s="265"/>
    </row>
    <row r="13" spans="2:13" ht="21" customHeight="1" x14ac:dyDescent="0.3">
      <c r="B13" s="274" t="s">
        <v>164</v>
      </c>
      <c r="C13" s="264"/>
      <c r="D13" s="264"/>
      <c r="E13" s="264"/>
      <c r="F13" s="264"/>
      <c r="G13" s="264"/>
      <c r="H13" s="264"/>
      <c r="I13" s="264"/>
      <c r="J13" s="264"/>
      <c r="K13" s="264"/>
      <c r="L13" s="264"/>
      <c r="M13" s="265"/>
    </row>
    <row r="14" spans="2:13" ht="21" customHeight="1" x14ac:dyDescent="0.3">
      <c r="B14" s="273" t="s">
        <v>136</v>
      </c>
      <c r="C14" s="264"/>
      <c r="D14" s="264"/>
      <c r="E14" s="264"/>
      <c r="F14" s="264"/>
      <c r="G14" s="264"/>
      <c r="H14" s="264"/>
      <c r="I14" s="264"/>
      <c r="J14" s="264"/>
      <c r="K14" s="264"/>
      <c r="L14" s="264"/>
      <c r="M14" s="265"/>
    </row>
    <row r="15" spans="2:13" ht="21" customHeight="1" x14ac:dyDescent="0.3">
      <c r="B15" s="266" t="s">
        <v>141</v>
      </c>
      <c r="C15" s="264"/>
      <c r="D15" s="264"/>
      <c r="E15" s="264"/>
      <c r="F15" s="264"/>
      <c r="G15" s="264"/>
      <c r="H15" s="264"/>
      <c r="I15" s="264"/>
      <c r="J15" s="264"/>
      <c r="K15" s="264"/>
      <c r="L15" s="264"/>
      <c r="M15" s="265"/>
    </row>
    <row r="16" spans="2:13" x14ac:dyDescent="0.3">
      <c r="B16" s="266"/>
      <c r="C16" s="264"/>
      <c r="D16" s="264"/>
      <c r="E16" s="264"/>
      <c r="F16" s="264"/>
      <c r="G16" s="264"/>
      <c r="H16" s="264"/>
      <c r="I16" s="264"/>
      <c r="J16" s="264"/>
      <c r="K16" s="264"/>
      <c r="L16" s="264"/>
      <c r="M16" s="265"/>
    </row>
    <row r="17" spans="2:13" ht="21" customHeight="1" x14ac:dyDescent="0.3">
      <c r="B17" s="274" t="s">
        <v>157</v>
      </c>
      <c r="C17" s="264"/>
      <c r="D17" s="264"/>
      <c r="E17" s="264"/>
      <c r="F17" s="264"/>
      <c r="G17" s="264"/>
      <c r="H17" s="264"/>
      <c r="I17" s="264"/>
      <c r="J17" s="264"/>
      <c r="K17" s="264"/>
      <c r="L17" s="264"/>
      <c r="M17" s="265"/>
    </row>
    <row r="18" spans="2:13" ht="21" customHeight="1" x14ac:dyDescent="0.3">
      <c r="B18" s="273" t="s">
        <v>136</v>
      </c>
      <c r="C18" s="264"/>
      <c r="D18" s="264"/>
      <c r="E18" s="264"/>
      <c r="F18" s="264"/>
      <c r="G18" s="264"/>
      <c r="H18" s="264"/>
      <c r="I18" s="264"/>
      <c r="J18" s="264"/>
      <c r="K18" s="264"/>
      <c r="L18" s="264"/>
      <c r="M18" s="265"/>
    </row>
    <row r="19" spans="2:13" ht="21" customHeight="1" x14ac:dyDescent="0.3">
      <c r="B19" s="266" t="s">
        <v>137</v>
      </c>
      <c r="C19" s="264"/>
      <c r="D19" s="264"/>
      <c r="E19" s="264"/>
      <c r="F19" s="264"/>
      <c r="G19" s="264"/>
      <c r="H19" s="264"/>
      <c r="I19" s="264"/>
      <c r="J19" s="264"/>
      <c r="K19" s="264"/>
      <c r="L19" s="264"/>
      <c r="M19" s="265"/>
    </row>
    <row r="20" spans="2:13" ht="17.25" thickBot="1" x14ac:dyDescent="0.35">
      <c r="B20" s="266"/>
      <c r="C20" s="264"/>
      <c r="D20" s="264"/>
      <c r="E20" s="264"/>
      <c r="F20" s="264"/>
      <c r="G20" s="264"/>
      <c r="H20" s="264"/>
      <c r="I20" s="264"/>
      <c r="J20" s="264"/>
      <c r="K20" s="264"/>
      <c r="L20" s="264"/>
      <c r="M20" s="265"/>
    </row>
    <row r="21" spans="2:13" ht="21" customHeight="1" x14ac:dyDescent="0.3">
      <c r="B21" s="276" t="s">
        <v>142</v>
      </c>
      <c r="C21" s="291" t="s">
        <v>166</v>
      </c>
      <c r="D21" s="291"/>
      <c r="E21" s="291"/>
      <c r="F21" s="291"/>
      <c r="G21" s="291"/>
      <c r="H21" s="291"/>
      <c r="I21" s="292"/>
      <c r="J21" s="275"/>
      <c r="K21" s="264"/>
      <c r="L21" s="264"/>
      <c r="M21" s="265"/>
    </row>
    <row r="22" spans="2:13" ht="21" customHeight="1" x14ac:dyDescent="0.3">
      <c r="B22" s="277" t="s">
        <v>143</v>
      </c>
      <c r="C22" s="286" t="s">
        <v>144</v>
      </c>
      <c r="D22" s="286"/>
      <c r="E22" s="286"/>
      <c r="F22" s="286"/>
      <c r="G22" s="286"/>
      <c r="H22" s="286"/>
      <c r="I22" s="287"/>
      <c r="J22" s="264"/>
      <c r="K22" s="264"/>
      <c r="L22" s="264"/>
      <c r="M22" s="265"/>
    </row>
    <row r="23" spans="2:13" ht="21" customHeight="1" x14ac:dyDescent="0.3">
      <c r="B23" s="277" t="s">
        <v>145</v>
      </c>
      <c r="C23" s="286" t="s">
        <v>146</v>
      </c>
      <c r="D23" s="286"/>
      <c r="E23" s="286"/>
      <c r="F23" s="286"/>
      <c r="G23" s="286"/>
      <c r="H23" s="286"/>
      <c r="I23" s="287"/>
      <c r="J23" s="264"/>
      <c r="K23" s="264"/>
      <c r="L23" s="264"/>
      <c r="M23" s="265"/>
    </row>
    <row r="24" spans="2:13" ht="21" customHeight="1" x14ac:dyDescent="0.3">
      <c r="B24" s="277" t="s">
        <v>147</v>
      </c>
      <c r="C24" s="293" t="s">
        <v>165</v>
      </c>
      <c r="D24" s="294"/>
      <c r="E24" s="294"/>
      <c r="F24" s="294"/>
      <c r="G24" s="294"/>
      <c r="H24" s="294"/>
      <c r="I24" s="295"/>
      <c r="J24" s="264"/>
      <c r="K24" s="264"/>
      <c r="L24" s="264"/>
      <c r="M24" s="265"/>
    </row>
    <row r="25" spans="2:13" ht="21" customHeight="1" x14ac:dyDescent="0.3">
      <c r="B25" s="277" t="s">
        <v>148</v>
      </c>
      <c r="C25" s="286" t="s">
        <v>149</v>
      </c>
      <c r="D25" s="286"/>
      <c r="E25" s="286"/>
      <c r="F25" s="286"/>
      <c r="G25" s="286"/>
      <c r="H25" s="286"/>
      <c r="I25" s="287"/>
      <c r="J25" s="264"/>
      <c r="K25" s="264"/>
      <c r="L25" s="264"/>
      <c r="M25" s="265"/>
    </row>
    <row r="26" spans="2:13" ht="21" customHeight="1" thickBot="1" x14ac:dyDescent="0.35">
      <c r="B26" s="278" t="s">
        <v>150</v>
      </c>
      <c r="C26" s="288" t="s">
        <v>151</v>
      </c>
      <c r="D26" s="288"/>
      <c r="E26" s="288"/>
      <c r="F26" s="288"/>
      <c r="G26" s="288"/>
      <c r="H26" s="288"/>
      <c r="I26" s="289"/>
      <c r="J26" s="264"/>
      <c r="K26" s="264"/>
      <c r="L26" s="264"/>
      <c r="M26" s="265"/>
    </row>
    <row r="27" spans="2:13" x14ac:dyDescent="0.3">
      <c r="B27" s="266"/>
      <c r="C27" s="264"/>
      <c r="D27" s="264"/>
      <c r="E27" s="264"/>
      <c r="F27" s="264"/>
      <c r="G27" s="264"/>
      <c r="H27" s="264"/>
      <c r="I27" s="264"/>
      <c r="J27" s="264"/>
      <c r="K27" s="264"/>
      <c r="L27" s="264"/>
      <c r="M27" s="265"/>
    </row>
    <row r="28" spans="2:13" ht="21" customHeight="1" x14ac:dyDescent="0.3">
      <c r="B28" s="269" t="s">
        <v>158</v>
      </c>
      <c r="C28" s="264"/>
      <c r="D28" s="264"/>
      <c r="E28" s="264"/>
      <c r="F28" s="264"/>
      <c r="G28" s="264"/>
      <c r="H28" s="264"/>
      <c r="I28" s="264"/>
      <c r="J28" s="264"/>
      <c r="K28" s="264"/>
      <c r="L28" s="264"/>
      <c r="M28" s="265"/>
    </row>
    <row r="29" spans="2:13" ht="21" customHeight="1" x14ac:dyDescent="0.3">
      <c r="B29" s="269" t="s">
        <v>159</v>
      </c>
      <c r="C29" s="264"/>
      <c r="D29" s="264"/>
      <c r="E29" s="264"/>
      <c r="F29" s="264"/>
      <c r="G29" s="264"/>
      <c r="H29" s="264"/>
      <c r="I29" s="264"/>
      <c r="J29" s="264"/>
      <c r="K29" s="264"/>
      <c r="L29" s="264"/>
      <c r="M29" s="265"/>
    </row>
    <row r="30" spans="2:13" ht="18" customHeight="1" x14ac:dyDescent="0.3">
      <c r="B30" s="280" t="s">
        <v>160</v>
      </c>
      <c r="C30" s="264"/>
      <c r="D30" s="264"/>
      <c r="E30" s="264"/>
      <c r="F30" s="264"/>
      <c r="G30" s="264"/>
      <c r="H30" s="264"/>
      <c r="I30" s="264"/>
      <c r="J30" s="264"/>
      <c r="K30" s="264"/>
      <c r="L30" s="264"/>
      <c r="M30" s="265"/>
    </row>
    <row r="31" spans="2:13" ht="21" customHeight="1" thickBot="1" x14ac:dyDescent="0.35">
      <c r="B31" s="279" t="s">
        <v>161</v>
      </c>
      <c r="C31" s="267"/>
      <c r="D31" s="267"/>
      <c r="E31" s="267"/>
      <c r="F31" s="267"/>
      <c r="G31" s="267"/>
      <c r="H31" s="267"/>
      <c r="I31" s="267"/>
      <c r="J31" s="267"/>
      <c r="K31" s="267"/>
      <c r="L31" s="267"/>
      <c r="M31" s="268"/>
    </row>
  </sheetData>
  <mergeCells count="7">
    <mergeCell ref="C25:I25"/>
    <mergeCell ref="C26:I26"/>
    <mergeCell ref="B2:L2"/>
    <mergeCell ref="C22:I22"/>
    <mergeCell ref="C23:I23"/>
    <mergeCell ref="C21:I21"/>
    <mergeCell ref="C24:I24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86"/>
  <sheetViews>
    <sheetView topLeftCell="A33" zoomScale="90" zoomScaleNormal="90" workbookViewId="0">
      <selection activeCell="C71" sqref="C71:I71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0" width="6.625" style="2" customWidth="1"/>
    <col min="11" max="16384" width="9" style="2"/>
  </cols>
  <sheetData>
    <row r="1" spans="1:10" ht="39" thickBot="1" x14ac:dyDescent="0.35">
      <c r="A1" s="296" t="s">
        <v>0</v>
      </c>
      <c r="B1" s="297"/>
      <c r="C1" s="297"/>
      <c r="D1" s="297"/>
      <c r="E1" s="297"/>
      <c r="F1" s="297"/>
      <c r="G1" s="297"/>
      <c r="H1" s="297"/>
      <c r="I1" s="298"/>
      <c r="J1" s="1"/>
    </row>
    <row r="2" spans="1:10" x14ac:dyDescent="0.3">
      <c r="A2" s="299" t="s">
        <v>1</v>
      </c>
      <c r="B2" s="300"/>
      <c r="C2" s="301" t="s">
        <v>167</v>
      </c>
      <c r="D2" s="302"/>
      <c r="E2" s="303" t="s">
        <v>77</v>
      </c>
      <c r="F2" s="305" t="s">
        <v>2</v>
      </c>
      <c r="G2" s="306"/>
      <c r="H2" s="307" t="s">
        <v>76</v>
      </c>
      <c r="I2" s="308"/>
      <c r="J2" s="3"/>
    </row>
    <row r="3" spans="1:10" x14ac:dyDescent="0.3">
      <c r="A3" s="309" t="s">
        <v>3</v>
      </c>
      <c r="B3" s="310"/>
      <c r="C3" s="4" t="s">
        <v>168</v>
      </c>
      <c r="D3" s="5" t="s">
        <v>4</v>
      </c>
      <c r="E3" s="304"/>
      <c r="F3" s="311" t="s">
        <v>169</v>
      </c>
      <c r="G3" s="312"/>
      <c r="H3" s="313">
        <f>G11</f>
        <v>1418200</v>
      </c>
      <c r="I3" s="314"/>
      <c r="J3" s="3"/>
    </row>
    <row r="4" spans="1:10" ht="7.5" customHeight="1" x14ac:dyDescent="0.3">
      <c r="A4" s="315"/>
      <c r="B4" s="316"/>
      <c r="C4" s="316"/>
      <c r="D4" s="316"/>
      <c r="E4" s="316"/>
      <c r="F4" s="316"/>
      <c r="G4" s="316"/>
      <c r="H4" s="316"/>
      <c r="I4" s="6"/>
      <c r="J4" s="3"/>
    </row>
    <row r="5" spans="1:10" x14ac:dyDescent="0.3">
      <c r="A5" s="7"/>
      <c r="B5" s="8"/>
      <c r="C5" s="8"/>
      <c r="D5" s="9"/>
      <c r="E5" s="10" t="s">
        <v>5</v>
      </c>
      <c r="F5" s="11" t="s">
        <v>6</v>
      </c>
      <c r="G5" s="12" t="s">
        <v>7</v>
      </c>
      <c r="H5" s="10" t="s">
        <v>8</v>
      </c>
      <c r="I5" s="13" t="s">
        <v>9</v>
      </c>
      <c r="J5" s="3"/>
    </row>
    <row r="6" spans="1:10" x14ac:dyDescent="0.3">
      <c r="A6" s="7"/>
      <c r="B6" s="8"/>
      <c r="C6" s="8"/>
      <c r="D6" s="9"/>
      <c r="E6" s="14" t="s">
        <v>170</v>
      </c>
      <c r="F6" s="15" t="s">
        <v>171</v>
      </c>
      <c r="G6" s="16" t="s">
        <v>172</v>
      </c>
      <c r="H6" s="17">
        <v>0.3</v>
      </c>
      <c r="I6" s="18">
        <v>0.25</v>
      </c>
      <c r="J6" s="3"/>
    </row>
    <row r="7" spans="1:10" ht="7.5" customHeight="1" x14ac:dyDescent="0.3">
      <c r="A7" s="315"/>
      <c r="B7" s="316"/>
      <c r="C7" s="316"/>
      <c r="D7" s="316"/>
      <c r="E7" s="316"/>
      <c r="F7" s="316"/>
      <c r="G7" s="316"/>
      <c r="H7" s="316"/>
      <c r="I7" s="6"/>
      <c r="J7" s="3"/>
    </row>
    <row r="8" spans="1:10" ht="18" customHeight="1" thickBot="1" x14ac:dyDescent="0.35">
      <c r="A8" s="105"/>
      <c r="B8" s="106"/>
      <c r="C8" s="106"/>
      <c r="D8" s="106"/>
      <c r="E8" s="106"/>
      <c r="F8" s="106"/>
      <c r="G8" s="106"/>
      <c r="H8" s="106"/>
      <c r="I8" s="6"/>
      <c r="J8" s="3"/>
    </row>
    <row r="9" spans="1:10" ht="18" customHeight="1" x14ac:dyDescent="0.3">
      <c r="A9" s="379" t="s">
        <v>10</v>
      </c>
      <c r="B9" s="317" t="s">
        <v>11</v>
      </c>
      <c r="C9" s="320" t="s">
        <v>68</v>
      </c>
      <c r="D9" s="303"/>
      <c r="E9" s="303" t="s">
        <v>67</v>
      </c>
      <c r="F9" s="303"/>
      <c r="G9" s="303" t="s">
        <v>69</v>
      </c>
      <c r="H9" s="303"/>
      <c r="I9" s="373" t="s">
        <v>78</v>
      </c>
      <c r="J9" s="3"/>
    </row>
    <row r="10" spans="1:10" ht="18" customHeight="1" x14ac:dyDescent="0.3">
      <c r="A10" s="380"/>
      <c r="B10" s="318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74"/>
      <c r="J10" s="3"/>
    </row>
    <row r="11" spans="1:10" ht="17.25" thickBot="1" x14ac:dyDescent="0.35">
      <c r="A11" s="381"/>
      <c r="B11" s="319"/>
      <c r="C11" s="101">
        <v>1307800</v>
      </c>
      <c r="D11" s="102">
        <v>87</v>
      </c>
      <c r="E11" s="109">
        <f>SUM(E55:I56)</f>
        <v>110400</v>
      </c>
      <c r="F11" s="109">
        <f>SUM(E53:I54)</f>
        <v>5</v>
      </c>
      <c r="G11" s="110">
        <f>C11+E11</f>
        <v>1418200</v>
      </c>
      <c r="H11" s="110">
        <f>D11+F11</f>
        <v>92</v>
      </c>
      <c r="I11" s="111">
        <f>G11/H11</f>
        <v>15415.217391304348</v>
      </c>
      <c r="J11" s="3"/>
    </row>
    <row r="12" spans="1:10" ht="30" customHeight="1" x14ac:dyDescent="0.3">
      <c r="A12" s="321" t="s">
        <v>14</v>
      </c>
      <c r="B12" s="20" t="s">
        <v>15</v>
      </c>
      <c r="C12" s="98" t="s">
        <v>16</v>
      </c>
      <c r="D12" s="99" t="s">
        <v>17</v>
      </c>
      <c r="E12" s="99" t="s">
        <v>18</v>
      </c>
      <c r="F12" s="324" t="s">
        <v>19</v>
      </c>
      <c r="G12" s="325"/>
      <c r="H12" s="98" t="s">
        <v>20</v>
      </c>
      <c r="I12" s="100" t="s">
        <v>21</v>
      </c>
      <c r="J12" s="3" t="s">
        <v>22</v>
      </c>
    </row>
    <row r="13" spans="1:10" ht="17.25" customHeight="1" x14ac:dyDescent="0.3">
      <c r="A13" s="322"/>
      <c r="B13" s="21" t="s">
        <v>23</v>
      </c>
      <c r="C13" s="22">
        <v>21</v>
      </c>
      <c r="D13" s="23"/>
      <c r="E13" s="22"/>
      <c r="F13" s="24"/>
      <c r="G13" s="25"/>
      <c r="H13" s="23">
        <v>1</v>
      </c>
      <c r="I13" s="26">
        <f>C13-D13-D14*1/2-E13-E14*1/2+F13-H13-H14*1/2-I14*1/2</f>
        <v>19.5</v>
      </c>
      <c r="J13" s="3"/>
    </row>
    <row r="14" spans="1:10" ht="17.25" customHeight="1" x14ac:dyDescent="0.3">
      <c r="A14" s="322"/>
      <c r="B14" s="27" t="s">
        <v>24</v>
      </c>
      <c r="C14" s="28"/>
      <c r="D14" s="29"/>
      <c r="E14" s="30"/>
      <c r="F14" s="31"/>
      <c r="G14" s="25"/>
      <c r="H14" s="29">
        <v>1</v>
      </c>
      <c r="I14" s="32"/>
      <c r="J14" s="3"/>
    </row>
    <row r="15" spans="1:10" ht="17.25" customHeight="1" x14ac:dyDescent="0.3">
      <c r="A15" s="322"/>
      <c r="B15" s="27" t="s">
        <v>25</v>
      </c>
      <c r="C15" s="33">
        <v>15</v>
      </c>
      <c r="D15" s="29"/>
      <c r="E15" s="30"/>
      <c r="F15" s="34"/>
      <c r="G15" s="25"/>
      <c r="H15" s="29">
        <v>9</v>
      </c>
      <c r="I15" s="35">
        <f>C15-D15-D16*1/2-E15-E16*1/2+F15-H15-H16*1/2-I16*1/2</f>
        <v>5.5</v>
      </c>
      <c r="J15" s="3"/>
    </row>
    <row r="16" spans="1:10" ht="17.25" customHeight="1" x14ac:dyDescent="0.3">
      <c r="A16" s="322"/>
      <c r="B16" s="27" t="s">
        <v>26</v>
      </c>
      <c r="C16" s="28"/>
      <c r="D16" s="29"/>
      <c r="E16" s="30"/>
      <c r="F16" s="31"/>
      <c r="G16" s="25"/>
      <c r="H16" s="29">
        <v>1</v>
      </c>
      <c r="I16" s="36"/>
      <c r="J16" s="3"/>
    </row>
    <row r="17" spans="1:10" ht="17.25" customHeight="1" x14ac:dyDescent="0.3">
      <c r="A17" s="322"/>
      <c r="B17" s="27" t="s">
        <v>27</v>
      </c>
      <c r="C17" s="33">
        <v>14</v>
      </c>
      <c r="D17" s="29"/>
      <c r="E17" s="30"/>
      <c r="F17" s="34"/>
      <c r="G17" s="118"/>
      <c r="H17" s="29"/>
      <c r="I17" s="37">
        <f>C17-D17-D18*1/2-E17-E18*1/2+F17-H17-H18*1/2-I18*1/2</f>
        <v>14</v>
      </c>
      <c r="J17" s="3"/>
    </row>
    <row r="18" spans="1:10" ht="17.25" customHeight="1" x14ac:dyDescent="0.3">
      <c r="A18" s="322"/>
      <c r="B18" s="27" t="s">
        <v>28</v>
      </c>
      <c r="C18" s="28"/>
      <c r="D18" s="29"/>
      <c r="E18" s="30"/>
      <c r="F18" s="31"/>
      <c r="G18" s="25"/>
      <c r="H18" s="29"/>
      <c r="I18" s="36"/>
      <c r="J18" s="3"/>
    </row>
    <row r="19" spans="1:10" ht="17.25" customHeight="1" x14ac:dyDescent="0.3">
      <c r="A19" s="322"/>
      <c r="B19" s="27" t="s">
        <v>29</v>
      </c>
      <c r="C19" s="33">
        <v>10</v>
      </c>
      <c r="D19" s="29"/>
      <c r="E19" s="30"/>
      <c r="F19" s="34"/>
      <c r="G19" s="25"/>
      <c r="H19" s="29"/>
      <c r="I19" s="35">
        <f>C19-D19-D20*1/2-E19-E20*1/2+F19-H19-H20*1/2-I20*1/2</f>
        <v>9.5</v>
      </c>
      <c r="J19" s="3"/>
    </row>
    <row r="20" spans="1:10" ht="17.25" customHeight="1" x14ac:dyDescent="0.3">
      <c r="A20" s="322"/>
      <c r="B20" s="27" t="s">
        <v>30</v>
      </c>
      <c r="C20" s="28"/>
      <c r="D20" s="29">
        <v>1</v>
      </c>
      <c r="E20" s="30"/>
      <c r="F20" s="31"/>
      <c r="G20" s="25"/>
      <c r="H20" s="29"/>
      <c r="I20" s="38"/>
      <c r="J20" s="3"/>
    </row>
    <row r="21" spans="1:10" ht="17.25" customHeight="1" x14ac:dyDescent="0.3">
      <c r="A21" s="322"/>
      <c r="B21" s="39" t="s">
        <v>31</v>
      </c>
      <c r="C21" s="40">
        <v>68</v>
      </c>
      <c r="D21" s="41">
        <v>1</v>
      </c>
      <c r="E21" s="42">
        <v>2</v>
      </c>
      <c r="F21" s="43"/>
      <c r="G21" s="44"/>
      <c r="H21" s="43">
        <v>20</v>
      </c>
      <c r="I21" s="45">
        <f t="shared" ref="I21:I29" si="0">C21-D21-E21+F21-H21</f>
        <v>45</v>
      </c>
      <c r="J21" s="3"/>
    </row>
    <row r="22" spans="1:10" ht="17.25" customHeight="1" x14ac:dyDescent="0.3">
      <c r="A22" s="322"/>
      <c r="B22" s="21" t="s">
        <v>32</v>
      </c>
      <c r="C22" s="46">
        <v>14</v>
      </c>
      <c r="D22" s="23"/>
      <c r="E22" s="47"/>
      <c r="F22" s="48"/>
      <c r="G22" s="25"/>
      <c r="H22" s="48">
        <v>8</v>
      </c>
      <c r="I22" s="49">
        <f t="shared" si="0"/>
        <v>6</v>
      </c>
      <c r="J22" s="3"/>
    </row>
    <row r="23" spans="1:10" ht="17.25" customHeight="1" x14ac:dyDescent="0.3">
      <c r="A23" s="322"/>
      <c r="B23" s="27" t="s">
        <v>33</v>
      </c>
      <c r="C23" s="33">
        <v>86</v>
      </c>
      <c r="D23" s="29">
        <v>1</v>
      </c>
      <c r="E23" s="50">
        <v>3</v>
      </c>
      <c r="F23" s="51"/>
      <c r="G23" s="25"/>
      <c r="H23" s="51">
        <v>7</v>
      </c>
      <c r="I23" s="52" t="e">
        <f>C23-D23-D24-E23-E24+F23+F24-H23-H24-I24</f>
        <v>#VALUE!</v>
      </c>
      <c r="J23" s="3"/>
    </row>
    <row r="24" spans="1:10" ht="17.25" customHeight="1" x14ac:dyDescent="0.3">
      <c r="A24" s="322"/>
      <c r="B24" s="19" t="s">
        <v>34</v>
      </c>
      <c r="C24" s="53"/>
      <c r="D24" s="41"/>
      <c r="E24" s="42">
        <v>1</v>
      </c>
      <c r="F24" s="43"/>
      <c r="G24" s="113"/>
      <c r="H24" s="43" t="s">
        <v>191</v>
      </c>
      <c r="I24" s="54"/>
      <c r="J24" s="3"/>
    </row>
    <row r="25" spans="1:10" ht="17.25" customHeight="1" x14ac:dyDescent="0.3">
      <c r="A25" s="322"/>
      <c r="B25" s="21" t="s">
        <v>35</v>
      </c>
      <c r="C25" s="46">
        <v>25</v>
      </c>
      <c r="D25" s="23"/>
      <c r="E25" s="47"/>
      <c r="F25" s="48"/>
      <c r="G25" s="112"/>
      <c r="H25" s="48">
        <v>6</v>
      </c>
      <c r="I25" s="49">
        <f t="shared" si="0"/>
        <v>19</v>
      </c>
      <c r="J25" s="3"/>
    </row>
    <row r="26" spans="1:10" ht="17.25" customHeight="1" x14ac:dyDescent="0.3">
      <c r="A26" s="322"/>
      <c r="B26" s="19" t="s">
        <v>36</v>
      </c>
      <c r="C26" s="55">
        <v>22</v>
      </c>
      <c r="D26" s="41"/>
      <c r="E26" s="42"/>
      <c r="F26" s="43"/>
      <c r="G26" s="113"/>
      <c r="H26" s="43"/>
      <c r="I26" s="45">
        <f t="shared" si="0"/>
        <v>22</v>
      </c>
      <c r="J26" s="3"/>
    </row>
    <row r="27" spans="1:10" ht="17.25" customHeight="1" x14ac:dyDescent="0.3">
      <c r="A27" s="322"/>
      <c r="B27" s="21" t="s">
        <v>37</v>
      </c>
      <c r="C27" s="46"/>
      <c r="D27" s="23"/>
      <c r="E27" s="47"/>
      <c r="F27" s="48"/>
      <c r="G27" s="112"/>
      <c r="H27" s="48">
        <v>13</v>
      </c>
      <c r="I27" s="49">
        <f t="shared" si="0"/>
        <v>-13</v>
      </c>
      <c r="J27" s="3"/>
    </row>
    <row r="28" spans="1:10" ht="17.25" customHeight="1" x14ac:dyDescent="0.3">
      <c r="A28" s="322"/>
      <c r="B28" s="19" t="s">
        <v>38</v>
      </c>
      <c r="C28" s="55"/>
      <c r="D28" s="41"/>
      <c r="E28" s="42"/>
      <c r="F28" s="43"/>
      <c r="G28" s="113"/>
      <c r="H28" s="43">
        <v>4</v>
      </c>
      <c r="I28" s="45">
        <f t="shared" si="0"/>
        <v>-4</v>
      </c>
      <c r="J28" s="3"/>
    </row>
    <row r="29" spans="1:10" ht="17.25" customHeight="1" x14ac:dyDescent="0.3">
      <c r="A29" s="322"/>
      <c r="B29" s="21" t="s">
        <v>39</v>
      </c>
      <c r="C29" s="46">
        <v>40</v>
      </c>
      <c r="D29" s="23"/>
      <c r="E29" s="47"/>
      <c r="F29" s="48"/>
      <c r="G29" s="25"/>
      <c r="H29" s="48">
        <v>3</v>
      </c>
      <c r="I29" s="49">
        <f t="shared" si="0"/>
        <v>37</v>
      </c>
      <c r="J29" s="3"/>
    </row>
    <row r="30" spans="1:10" ht="17.25" customHeight="1" x14ac:dyDescent="0.3">
      <c r="A30" s="322"/>
      <c r="B30" s="56" t="s">
        <v>40</v>
      </c>
      <c r="C30" s="57">
        <v>5</v>
      </c>
      <c r="D30" s="29"/>
      <c r="E30" s="50">
        <v>2</v>
      </c>
      <c r="F30" s="51"/>
      <c r="G30" s="25"/>
      <c r="H30" s="51">
        <v>5</v>
      </c>
      <c r="I30" s="52">
        <f>C30-D30-D31-E30-E31+F30+F31-H30-H31-I31</f>
        <v>-2</v>
      </c>
      <c r="J30" s="3"/>
    </row>
    <row r="31" spans="1:10" ht="17.25" customHeight="1" x14ac:dyDescent="0.3">
      <c r="A31" s="322"/>
      <c r="B31" s="58" t="s">
        <v>41</v>
      </c>
      <c r="C31" s="59"/>
      <c r="D31" s="60"/>
      <c r="E31" s="61"/>
      <c r="F31" s="62"/>
      <c r="G31" s="44"/>
      <c r="H31" s="62"/>
      <c r="I31" s="63"/>
      <c r="J31" s="3"/>
    </row>
    <row r="32" spans="1:10" ht="17.25" customHeight="1" x14ac:dyDescent="0.3">
      <c r="A32" s="322"/>
      <c r="B32" s="179" t="s">
        <v>116</v>
      </c>
      <c r="C32" s="184"/>
      <c r="D32" s="23"/>
      <c r="E32" s="47"/>
      <c r="F32" s="48"/>
      <c r="G32" s="116"/>
      <c r="H32" s="207"/>
      <c r="I32" s="187">
        <v>1</v>
      </c>
      <c r="J32" s="3"/>
    </row>
    <row r="33" spans="1:10" ht="17.25" customHeight="1" x14ac:dyDescent="0.3">
      <c r="A33" s="322"/>
      <c r="B33" s="179" t="s">
        <v>118</v>
      </c>
      <c r="C33" s="185"/>
      <c r="D33" s="29"/>
      <c r="E33" s="50"/>
      <c r="F33" s="51"/>
      <c r="G33" s="25"/>
      <c r="H33" s="206"/>
      <c r="I33" s="188"/>
      <c r="J33" s="3"/>
    </row>
    <row r="34" spans="1:10" ht="17.25" customHeight="1" x14ac:dyDescent="0.3">
      <c r="A34" s="322"/>
      <c r="B34" s="179" t="s">
        <v>120</v>
      </c>
      <c r="C34" s="186"/>
      <c r="D34" s="60"/>
      <c r="E34" s="61"/>
      <c r="F34" s="62"/>
      <c r="G34" s="113"/>
      <c r="H34" s="205"/>
      <c r="I34" s="189">
        <v>1</v>
      </c>
      <c r="J34" s="3"/>
    </row>
    <row r="35" spans="1:10" ht="17.25" customHeight="1" x14ac:dyDescent="0.3">
      <c r="A35" s="322"/>
      <c r="B35" s="191" t="s">
        <v>79</v>
      </c>
      <c r="C35" s="281"/>
      <c r="D35" s="23"/>
      <c r="E35" s="47"/>
      <c r="F35" s="48"/>
      <c r="G35" s="116"/>
      <c r="H35" s="48"/>
      <c r="I35" s="282">
        <v>15</v>
      </c>
      <c r="J35" s="3"/>
    </row>
    <row r="36" spans="1:10" ht="17.25" customHeight="1" x14ac:dyDescent="0.3">
      <c r="A36" s="322"/>
      <c r="B36" s="153" t="s">
        <v>80</v>
      </c>
      <c r="C36" s="121">
        <v>15</v>
      </c>
      <c r="D36" s="122"/>
      <c r="E36" s="123"/>
      <c r="F36" s="124"/>
      <c r="G36" s="112"/>
      <c r="H36" s="124">
        <v>2</v>
      </c>
      <c r="I36" s="52">
        <f>C36-D36-E36+F36-H36</f>
        <v>13</v>
      </c>
      <c r="J36" s="3"/>
    </row>
    <row r="37" spans="1:10" ht="17.25" customHeight="1" x14ac:dyDescent="0.3">
      <c r="A37" s="322"/>
      <c r="B37" s="163" t="s">
        <v>107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  <c r="J37" s="3"/>
    </row>
    <row r="38" spans="1:10" ht="17.25" customHeight="1" x14ac:dyDescent="0.3">
      <c r="A38" s="322"/>
      <c r="B38" s="178" t="s">
        <v>130</v>
      </c>
      <c r="C38" s="185"/>
      <c r="D38" s="29"/>
      <c r="E38" s="50"/>
      <c r="F38" s="51"/>
      <c r="G38" s="25"/>
      <c r="H38" s="51"/>
      <c r="I38" s="195"/>
      <c r="J38" s="3"/>
    </row>
    <row r="39" spans="1:10" ht="17.25" customHeight="1" x14ac:dyDescent="0.3">
      <c r="A39" s="322"/>
      <c r="B39" s="178" t="s">
        <v>108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  <c r="J39" s="3"/>
    </row>
    <row r="40" spans="1:10" ht="17.25" customHeight="1" x14ac:dyDescent="0.3">
      <c r="A40" s="322"/>
      <c r="B40" s="178" t="s">
        <v>132</v>
      </c>
      <c r="C40" s="185"/>
      <c r="D40" s="29"/>
      <c r="E40" s="50"/>
      <c r="F40" s="51"/>
      <c r="G40" s="25"/>
      <c r="H40" s="51"/>
      <c r="I40" s="195"/>
      <c r="J40" s="3"/>
    </row>
    <row r="41" spans="1:10" ht="17.25" customHeight="1" x14ac:dyDescent="0.3">
      <c r="A41" s="322"/>
      <c r="B41" s="178" t="s">
        <v>110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  <c r="J41" s="3"/>
    </row>
    <row r="42" spans="1:10" ht="17.25" customHeight="1" x14ac:dyDescent="0.3">
      <c r="A42" s="322"/>
      <c r="B42" s="178" t="s">
        <v>134</v>
      </c>
      <c r="C42" s="185"/>
      <c r="D42" s="29"/>
      <c r="E42" s="50"/>
      <c r="F42" s="51"/>
      <c r="G42" s="25"/>
      <c r="H42" s="51"/>
      <c r="I42" s="195"/>
      <c r="J42" s="3"/>
    </row>
    <row r="43" spans="1:10" ht="17.25" customHeight="1" x14ac:dyDescent="0.3">
      <c r="A43" s="322"/>
      <c r="B43" s="178" t="s">
        <v>112</v>
      </c>
      <c r="C43" s="185"/>
      <c r="D43" s="29"/>
      <c r="E43" s="50"/>
      <c r="F43" s="51"/>
      <c r="G43" s="25"/>
      <c r="H43" s="206"/>
      <c r="I43" s="195"/>
      <c r="J43" s="3"/>
    </row>
    <row r="44" spans="1:10" ht="17.25" customHeight="1" x14ac:dyDescent="0.3">
      <c r="A44" s="322"/>
      <c r="B44" s="178" t="s">
        <v>124</v>
      </c>
      <c r="C44" s="185"/>
      <c r="D44" s="29"/>
      <c r="E44" s="50"/>
      <c r="F44" s="51"/>
      <c r="G44" s="25"/>
      <c r="H44" s="206"/>
      <c r="I44" s="195"/>
      <c r="J44" s="3"/>
    </row>
    <row r="45" spans="1:10" ht="17.25" customHeight="1" x14ac:dyDescent="0.3">
      <c r="A45" s="322"/>
      <c r="B45" s="164" t="s">
        <v>114</v>
      </c>
      <c r="C45" s="186"/>
      <c r="D45" s="60"/>
      <c r="E45" s="61"/>
      <c r="F45" s="62"/>
      <c r="G45" s="113"/>
      <c r="H45" s="205"/>
      <c r="I45" s="204"/>
      <c r="J45" s="3"/>
    </row>
    <row r="46" spans="1:10" ht="17.25" customHeight="1" x14ac:dyDescent="0.3">
      <c r="A46" s="322"/>
      <c r="B46" s="120" t="s">
        <v>89</v>
      </c>
      <c r="C46" s="154"/>
      <c r="D46" s="23"/>
      <c r="E46" s="47"/>
      <c r="F46" s="48"/>
      <c r="G46" s="116"/>
      <c r="H46" s="48"/>
      <c r="I46" s="49">
        <f t="shared" ref="I46:I48" si="2">C46-D46-E46+F46-H46</f>
        <v>0</v>
      </c>
      <c r="J46" s="3"/>
    </row>
    <row r="47" spans="1:10" ht="17.25" customHeight="1" x14ac:dyDescent="0.3">
      <c r="A47" s="322"/>
      <c r="B47" s="120" t="s">
        <v>88</v>
      </c>
      <c r="C47" s="121"/>
      <c r="D47" s="122"/>
      <c r="E47" s="123"/>
      <c r="F47" s="124"/>
      <c r="G47" s="112"/>
      <c r="H47" s="124"/>
      <c r="I47" s="52">
        <f t="shared" si="2"/>
        <v>0</v>
      </c>
      <c r="J47" s="3"/>
    </row>
    <row r="48" spans="1:10" ht="17.25" customHeight="1" x14ac:dyDescent="0.3">
      <c r="A48" s="322"/>
      <c r="B48" s="56" t="s">
        <v>122</v>
      </c>
      <c r="C48" s="117"/>
      <c r="D48" s="29"/>
      <c r="E48" s="50"/>
      <c r="F48" s="51"/>
      <c r="G48" s="25"/>
      <c r="H48" s="51"/>
      <c r="I48" s="52">
        <f t="shared" si="2"/>
        <v>0</v>
      </c>
      <c r="J48" s="3"/>
    </row>
    <row r="49" spans="1:11" ht="17.25" customHeight="1" x14ac:dyDescent="0.3">
      <c r="A49" s="322"/>
      <c r="B49" s="179" t="s">
        <v>126</v>
      </c>
      <c r="C49" s="192"/>
      <c r="D49" s="180"/>
      <c r="E49" s="181"/>
      <c r="F49" s="182"/>
      <c r="G49" s="183"/>
      <c r="H49" s="208"/>
      <c r="I49" s="195"/>
      <c r="J49" s="3"/>
    </row>
    <row r="50" spans="1:11" ht="17.25" customHeight="1" x14ac:dyDescent="0.3">
      <c r="A50" s="322"/>
      <c r="B50" s="58" t="s">
        <v>128</v>
      </c>
      <c r="C50" s="59"/>
      <c r="D50" s="60"/>
      <c r="E50" s="61"/>
      <c r="F50" s="62"/>
      <c r="G50" s="113"/>
      <c r="H50" s="205"/>
      <c r="I50" s="63">
        <v>1</v>
      </c>
      <c r="J50" s="3"/>
    </row>
    <row r="51" spans="1:11" ht="17.25" customHeight="1" thickBot="1" x14ac:dyDescent="0.35">
      <c r="A51" s="323"/>
      <c r="B51" s="64" t="s">
        <v>42</v>
      </c>
      <c r="C51" s="256">
        <f>SUM(C13:C50)</f>
        <v>335</v>
      </c>
      <c r="D51" s="257">
        <f>SUM(D13:D46)</f>
        <v>3</v>
      </c>
      <c r="E51" s="258">
        <f>SUM(E13:E49)</f>
        <v>8</v>
      </c>
      <c r="F51" s="258">
        <f>SUM(F13:F46)</f>
        <v>0</v>
      </c>
      <c r="G51" s="259" t="s">
        <v>22</v>
      </c>
      <c r="H51" s="260">
        <f>SUM(H13:H46)</f>
        <v>80</v>
      </c>
      <c r="I51" s="261" t="e">
        <f>SUM(I13:I46)</f>
        <v>#VALUE!</v>
      </c>
      <c r="J51" s="3"/>
    </row>
    <row r="52" spans="1:11" s="76" customFormat="1" ht="17.25" customHeight="1" x14ac:dyDescent="0.3">
      <c r="A52" s="326" t="s">
        <v>72</v>
      </c>
      <c r="B52" s="327"/>
      <c r="C52" s="71"/>
      <c r="D52" s="72" t="s">
        <v>163</v>
      </c>
      <c r="E52" s="73" t="s">
        <v>90</v>
      </c>
      <c r="F52" s="74" t="s">
        <v>91</v>
      </c>
      <c r="G52" s="74" t="s">
        <v>44</v>
      </c>
      <c r="H52" s="74" t="s">
        <v>103</v>
      </c>
      <c r="I52" s="75" t="s">
        <v>104</v>
      </c>
      <c r="J52" s="3"/>
    </row>
    <row r="53" spans="1:11" s="76" customFormat="1" ht="17.25" customHeight="1" x14ac:dyDescent="0.3">
      <c r="A53" s="328"/>
      <c r="B53" s="329"/>
      <c r="C53" s="332" t="s">
        <v>74</v>
      </c>
      <c r="D53" s="334"/>
      <c r="E53" s="336">
        <v>2</v>
      </c>
      <c r="F53" s="336">
        <v>2</v>
      </c>
      <c r="G53" s="336">
        <v>1</v>
      </c>
      <c r="H53" s="336"/>
      <c r="I53" s="339"/>
      <c r="J53" s="173"/>
      <c r="K53" s="2"/>
    </row>
    <row r="54" spans="1:11" s="76" customFormat="1" ht="17.25" customHeight="1" x14ac:dyDescent="0.3">
      <c r="A54" s="328"/>
      <c r="B54" s="329"/>
      <c r="C54" s="333"/>
      <c r="D54" s="335"/>
      <c r="E54" s="337"/>
      <c r="F54" s="337"/>
      <c r="G54" s="337"/>
      <c r="H54" s="338"/>
      <c r="I54" s="340"/>
      <c r="J54" s="3"/>
      <c r="K54" s="2"/>
    </row>
    <row r="55" spans="1:11" s="76" customFormat="1" ht="17.25" customHeight="1" x14ac:dyDescent="0.3">
      <c r="A55" s="328"/>
      <c r="B55" s="329"/>
      <c r="C55" s="332" t="s">
        <v>75</v>
      </c>
      <c r="D55" s="334"/>
      <c r="E55" s="343">
        <v>46700</v>
      </c>
      <c r="F55" s="343">
        <v>53700</v>
      </c>
      <c r="G55" s="343">
        <v>10000</v>
      </c>
      <c r="H55" s="336"/>
      <c r="I55" s="347"/>
      <c r="J55" s="3"/>
      <c r="K55" s="2"/>
    </row>
    <row r="56" spans="1:11" s="76" customFormat="1" ht="17.25" customHeight="1" thickBot="1" x14ac:dyDescent="0.35">
      <c r="A56" s="330"/>
      <c r="B56" s="331"/>
      <c r="C56" s="341"/>
      <c r="D56" s="342"/>
      <c r="E56" s="344"/>
      <c r="F56" s="344"/>
      <c r="G56" s="344"/>
      <c r="H56" s="344"/>
      <c r="I56" s="348"/>
      <c r="J56" s="3"/>
      <c r="K56" s="2"/>
    </row>
    <row r="57" spans="1:11" s="76" customFormat="1" ht="17.25" customHeight="1" x14ac:dyDescent="0.3">
      <c r="A57" s="326" t="s">
        <v>45</v>
      </c>
      <c r="B57" s="327"/>
      <c r="C57" s="349" t="s">
        <v>183</v>
      </c>
      <c r="D57" s="350"/>
      <c r="E57" s="350"/>
      <c r="F57" s="350"/>
      <c r="G57" s="350"/>
      <c r="H57" s="350"/>
      <c r="I57" s="351"/>
      <c r="J57" s="3"/>
      <c r="K57" s="2"/>
    </row>
    <row r="58" spans="1:11" s="76" customFormat="1" ht="17.25" customHeight="1" x14ac:dyDescent="0.3">
      <c r="A58" s="328"/>
      <c r="B58" s="329"/>
      <c r="C58" s="352" t="s">
        <v>184</v>
      </c>
      <c r="D58" s="352"/>
      <c r="E58" s="352"/>
      <c r="F58" s="352"/>
      <c r="G58" s="352"/>
      <c r="H58" s="352"/>
      <c r="I58" s="353"/>
      <c r="J58" s="77"/>
      <c r="K58" s="2"/>
    </row>
    <row r="59" spans="1:11" s="76" customFormat="1" ht="17.25" customHeight="1" x14ac:dyDescent="0.3">
      <c r="A59" s="328"/>
      <c r="B59" s="329"/>
      <c r="C59" s="354" t="s">
        <v>185</v>
      </c>
      <c r="D59" s="352"/>
      <c r="E59" s="352"/>
      <c r="F59" s="352"/>
      <c r="G59" s="352"/>
      <c r="H59" s="352"/>
      <c r="I59" s="353"/>
      <c r="J59" s="3"/>
      <c r="K59" s="2"/>
    </row>
    <row r="60" spans="1:11" s="76" customFormat="1" ht="17.25" customHeight="1" thickBot="1" x14ac:dyDescent="0.35">
      <c r="A60" s="330"/>
      <c r="B60" s="331"/>
      <c r="C60" s="345" t="s">
        <v>186</v>
      </c>
      <c r="D60" s="345"/>
      <c r="E60" s="345"/>
      <c r="F60" s="345"/>
      <c r="G60" s="345"/>
      <c r="H60" s="345"/>
      <c r="I60" s="346"/>
      <c r="J60" s="3"/>
      <c r="K60" s="2"/>
    </row>
    <row r="61" spans="1:11" s="76" customFormat="1" ht="17.25" customHeight="1" x14ac:dyDescent="0.3">
      <c r="A61" s="326" t="s">
        <v>73</v>
      </c>
      <c r="B61" s="327"/>
      <c r="C61" s="356" t="s">
        <v>173</v>
      </c>
      <c r="D61" s="357"/>
      <c r="E61" s="357"/>
      <c r="F61" s="357"/>
      <c r="G61" s="357"/>
      <c r="H61" s="357"/>
      <c r="I61" s="358"/>
      <c r="J61" s="3"/>
      <c r="K61" s="2"/>
    </row>
    <row r="62" spans="1:11" s="76" customFormat="1" ht="17.25" customHeight="1" x14ac:dyDescent="0.3">
      <c r="A62" s="328"/>
      <c r="B62" s="329"/>
      <c r="C62" s="359"/>
      <c r="D62" s="360"/>
      <c r="E62" s="360"/>
      <c r="F62" s="360"/>
      <c r="G62" s="360"/>
      <c r="H62" s="360"/>
      <c r="I62" s="361"/>
      <c r="J62" s="3"/>
      <c r="K62" s="2"/>
    </row>
    <row r="63" spans="1:11" s="76" customFormat="1" ht="33" customHeight="1" x14ac:dyDescent="0.3">
      <c r="A63" s="328"/>
      <c r="B63" s="329"/>
      <c r="C63" s="355" t="s">
        <v>181</v>
      </c>
      <c r="D63" s="352"/>
      <c r="E63" s="352"/>
      <c r="F63" s="352"/>
      <c r="G63" s="352"/>
      <c r="H63" s="352"/>
      <c r="I63" s="353"/>
      <c r="J63" s="3"/>
      <c r="K63" s="2"/>
    </row>
    <row r="64" spans="1:11" s="76" customFormat="1" ht="17.25" customHeight="1" thickBot="1" x14ac:dyDescent="0.35">
      <c r="A64" s="330"/>
      <c r="B64" s="331"/>
      <c r="C64" s="345" t="s">
        <v>187</v>
      </c>
      <c r="D64" s="345"/>
      <c r="E64" s="345"/>
      <c r="F64" s="345"/>
      <c r="G64" s="345"/>
      <c r="H64" s="345"/>
      <c r="I64" s="346"/>
      <c r="J64" s="3"/>
      <c r="K64" s="2"/>
    </row>
    <row r="65" spans="1:11" s="76" customFormat="1" ht="17.25" customHeight="1" x14ac:dyDescent="0.3">
      <c r="A65" s="363" t="s">
        <v>46</v>
      </c>
      <c r="B65" s="366" t="s">
        <v>47</v>
      </c>
      <c r="C65" s="368" t="s">
        <v>182</v>
      </c>
      <c r="D65" s="368"/>
      <c r="E65" s="368"/>
      <c r="F65" s="368"/>
      <c r="G65" s="368"/>
      <c r="H65" s="368"/>
      <c r="I65" s="369"/>
      <c r="J65" s="3"/>
      <c r="K65" s="2"/>
    </row>
    <row r="66" spans="1:11" s="76" customFormat="1" ht="17.25" customHeight="1" x14ac:dyDescent="0.3">
      <c r="A66" s="364"/>
      <c r="B66" s="367"/>
      <c r="C66" s="350"/>
      <c r="D66" s="350"/>
      <c r="E66" s="350"/>
      <c r="F66" s="350"/>
      <c r="G66" s="350"/>
      <c r="H66" s="350"/>
      <c r="I66" s="351"/>
      <c r="J66" s="3"/>
      <c r="K66" s="2"/>
    </row>
    <row r="67" spans="1:11" s="76" customFormat="1" ht="17.25" customHeight="1" x14ac:dyDescent="0.3">
      <c r="A67" s="364"/>
      <c r="B67" s="370" t="s">
        <v>48</v>
      </c>
      <c r="C67" s="352" t="s">
        <v>188</v>
      </c>
      <c r="D67" s="352"/>
      <c r="E67" s="352"/>
      <c r="F67" s="352"/>
      <c r="G67" s="352"/>
      <c r="H67" s="352"/>
      <c r="I67" s="353"/>
      <c r="J67" s="3"/>
      <c r="K67" s="2"/>
    </row>
    <row r="68" spans="1:11" s="76" customFormat="1" ht="17.25" customHeight="1" x14ac:dyDescent="0.3">
      <c r="A68" s="364"/>
      <c r="B68" s="367"/>
      <c r="C68" s="350" t="s">
        <v>189</v>
      </c>
      <c r="D68" s="350"/>
      <c r="E68" s="350"/>
      <c r="F68" s="350"/>
      <c r="G68" s="350"/>
      <c r="H68" s="350"/>
      <c r="I68" s="351"/>
      <c r="J68" s="3"/>
      <c r="K68" s="2"/>
    </row>
    <row r="69" spans="1:11" s="76" customFormat="1" ht="17.25" customHeight="1" thickBot="1" x14ac:dyDescent="0.35">
      <c r="A69" s="365"/>
      <c r="B69" s="371"/>
      <c r="C69" s="362" t="s">
        <v>190</v>
      </c>
      <c r="D69" s="345"/>
      <c r="E69" s="345"/>
      <c r="F69" s="345"/>
      <c r="G69" s="345"/>
      <c r="H69" s="345"/>
      <c r="I69" s="346"/>
      <c r="J69" s="3"/>
      <c r="K69" s="2"/>
    </row>
    <row r="70" spans="1:11" s="76" customFormat="1" ht="17.25" customHeight="1" x14ac:dyDescent="0.3">
      <c r="A70" s="326" t="s">
        <v>49</v>
      </c>
      <c r="B70" s="327"/>
      <c r="C70" s="350"/>
      <c r="D70" s="350"/>
      <c r="E70" s="350"/>
      <c r="F70" s="350"/>
      <c r="G70" s="350"/>
      <c r="H70" s="350"/>
      <c r="I70" s="351"/>
      <c r="J70" s="3"/>
      <c r="K70" s="2"/>
    </row>
    <row r="71" spans="1:11" s="76" customFormat="1" ht="17.25" customHeight="1" x14ac:dyDescent="0.3">
      <c r="A71" s="328"/>
      <c r="B71" s="329"/>
      <c r="C71" s="350"/>
      <c r="D71" s="350"/>
      <c r="E71" s="350"/>
      <c r="F71" s="350"/>
      <c r="G71" s="350"/>
      <c r="H71" s="350"/>
      <c r="I71" s="351"/>
      <c r="J71" s="3"/>
      <c r="K71" s="2"/>
    </row>
    <row r="72" spans="1:11" s="76" customFormat="1" ht="17.25" customHeight="1" thickBot="1" x14ac:dyDescent="0.35">
      <c r="A72" s="330"/>
      <c r="B72" s="331"/>
      <c r="C72" s="362"/>
      <c r="D72" s="345"/>
      <c r="E72" s="345"/>
      <c r="F72" s="345"/>
      <c r="G72" s="345"/>
      <c r="H72" s="345"/>
      <c r="I72" s="346"/>
      <c r="J72" s="3"/>
      <c r="K72" s="2"/>
    </row>
    <row r="73" spans="1:11" s="76" customFormat="1" ht="17.25" customHeight="1" x14ac:dyDescent="0.3">
      <c r="A73" s="326" t="s">
        <v>50</v>
      </c>
      <c r="B73" s="327"/>
      <c r="C73" s="389" t="s">
        <v>174</v>
      </c>
      <c r="D73" s="368"/>
      <c r="E73" s="368"/>
      <c r="F73" s="368"/>
      <c r="G73" s="368"/>
      <c r="H73" s="368"/>
      <c r="I73" s="369"/>
      <c r="J73" s="3"/>
      <c r="K73" s="2"/>
    </row>
    <row r="74" spans="1:11" s="76" customFormat="1" ht="17.25" customHeight="1" thickBot="1" x14ac:dyDescent="0.35">
      <c r="A74" s="330"/>
      <c r="B74" s="331"/>
      <c r="C74" s="354" t="s">
        <v>175</v>
      </c>
      <c r="D74" s="352"/>
      <c r="E74" s="352"/>
      <c r="F74" s="352"/>
      <c r="G74" s="352"/>
      <c r="H74" s="352"/>
      <c r="I74" s="353"/>
      <c r="J74" s="3"/>
      <c r="K74" s="2"/>
    </row>
    <row r="75" spans="1:11" s="76" customFormat="1" ht="17.25" customHeight="1" x14ac:dyDescent="0.3">
      <c r="A75" s="326" t="s">
        <v>51</v>
      </c>
      <c r="B75" s="327"/>
      <c r="C75" s="78" t="s">
        <v>94</v>
      </c>
      <c r="D75" s="79" t="s">
        <v>95</v>
      </c>
      <c r="E75" s="79" t="s">
        <v>96</v>
      </c>
      <c r="F75" s="79" t="s">
        <v>97</v>
      </c>
      <c r="G75" s="79" t="s">
        <v>98</v>
      </c>
      <c r="H75" s="79" t="s">
        <v>99</v>
      </c>
      <c r="I75" s="80" t="s">
        <v>100</v>
      </c>
      <c r="J75" s="3"/>
      <c r="K75" s="2"/>
    </row>
    <row r="76" spans="1:11" s="76" customFormat="1" ht="17.25" customHeight="1" x14ac:dyDescent="0.3">
      <c r="A76" s="81"/>
      <c r="B76" s="82" t="s">
        <v>59</v>
      </c>
      <c r="C76" s="83" t="s">
        <v>176</v>
      </c>
      <c r="D76" s="136"/>
      <c r="E76" s="136"/>
      <c r="F76" s="136"/>
      <c r="G76" s="136"/>
      <c r="H76" s="136"/>
      <c r="I76" s="137"/>
      <c r="J76" s="84"/>
      <c r="K76" s="2"/>
    </row>
    <row r="77" spans="1:11" s="76" customFormat="1" ht="17.25" customHeight="1" thickBot="1" x14ac:dyDescent="0.35">
      <c r="A77" s="85"/>
      <c r="B77" s="86" t="s">
        <v>60</v>
      </c>
      <c r="C77" s="87" t="s">
        <v>177</v>
      </c>
      <c r="D77" s="88"/>
      <c r="E77" s="88"/>
      <c r="F77" s="88"/>
      <c r="G77" s="88"/>
      <c r="H77" s="88"/>
      <c r="I77" s="89"/>
      <c r="J77" s="84"/>
      <c r="K77" s="2"/>
    </row>
    <row r="78" spans="1:11" s="76" customFormat="1" ht="17.25" customHeight="1" x14ac:dyDescent="0.3">
      <c r="A78" s="375" t="s">
        <v>61</v>
      </c>
      <c r="B78" s="376"/>
      <c r="C78" s="382" t="s">
        <v>62</v>
      </c>
      <c r="D78" s="383"/>
      <c r="E78" s="384" t="s">
        <v>63</v>
      </c>
      <c r="F78" s="383"/>
      <c r="G78" s="385" t="s">
        <v>101</v>
      </c>
      <c r="H78" s="386"/>
      <c r="I78" s="90" t="s">
        <v>65</v>
      </c>
      <c r="J78" s="91"/>
    </row>
    <row r="79" spans="1:11" s="76" customFormat="1" ht="17.25" customHeight="1" thickBot="1" x14ac:dyDescent="0.35">
      <c r="A79" s="377"/>
      <c r="B79" s="378"/>
      <c r="C79" s="92">
        <v>0.25</v>
      </c>
      <c r="D79" s="93" t="s">
        <v>178</v>
      </c>
      <c r="E79" s="94">
        <v>0.77083333333333337</v>
      </c>
      <c r="F79" s="93" t="s">
        <v>179</v>
      </c>
      <c r="G79" s="387" t="s">
        <v>180</v>
      </c>
      <c r="H79" s="388"/>
      <c r="I79" s="95" t="s">
        <v>180</v>
      </c>
      <c r="J79" s="96"/>
    </row>
    <row r="80" spans="1:11" s="76" customFormat="1" ht="17.25" customHeight="1" x14ac:dyDescent="0.3">
      <c r="A80" s="2"/>
      <c r="B80" s="2"/>
      <c r="C80" s="2"/>
      <c r="D80" s="2"/>
      <c r="E80" s="2"/>
      <c r="F80" s="2"/>
      <c r="G80" s="97"/>
      <c r="H80" s="372" t="s">
        <v>66</v>
      </c>
      <c r="I80" s="372"/>
      <c r="J80" s="2"/>
    </row>
    <row r="81" spans="11:11" ht="17.25" customHeight="1" x14ac:dyDescent="0.3">
      <c r="K81" s="76"/>
    </row>
    <row r="82" spans="11:11" ht="17.25" customHeight="1" x14ac:dyDescent="0.3">
      <c r="K82" s="130"/>
    </row>
    <row r="83" spans="11:11" ht="17.25" customHeight="1" x14ac:dyDescent="0.3">
      <c r="K83" s="130"/>
    </row>
    <row r="84" spans="11:11" ht="17.25" customHeight="1" x14ac:dyDescent="0.3"/>
    <row r="85" spans="11:11" ht="17.25" customHeight="1" x14ac:dyDescent="0.3"/>
    <row r="86" spans="11:11" ht="17.25" customHeight="1" x14ac:dyDescent="0.3">
      <c r="K86" s="129"/>
    </row>
  </sheetData>
  <mergeCells count="65">
    <mergeCell ref="H80:I80"/>
    <mergeCell ref="I9:I10"/>
    <mergeCell ref="A78:B79"/>
    <mergeCell ref="A70:B72"/>
    <mergeCell ref="A61:B64"/>
    <mergeCell ref="A57:B60"/>
    <mergeCell ref="A9:A11"/>
    <mergeCell ref="C78:D78"/>
    <mergeCell ref="E78:F78"/>
    <mergeCell ref="G78:H78"/>
    <mergeCell ref="G79:H79"/>
    <mergeCell ref="A73:B74"/>
    <mergeCell ref="C73:I73"/>
    <mergeCell ref="C74:I74"/>
    <mergeCell ref="A75:B75"/>
    <mergeCell ref="C69:I69"/>
    <mergeCell ref="C70:I70"/>
    <mergeCell ref="C71:I71"/>
    <mergeCell ref="C72:I72"/>
    <mergeCell ref="A65:A69"/>
    <mergeCell ref="B65:B66"/>
    <mergeCell ref="C65:I65"/>
    <mergeCell ref="C66:I66"/>
    <mergeCell ref="B67:B69"/>
    <mergeCell ref="C67:I67"/>
    <mergeCell ref="C68:I68"/>
    <mergeCell ref="C60:I60"/>
    <mergeCell ref="C64:I64"/>
    <mergeCell ref="I55:I56"/>
    <mergeCell ref="C57:I57"/>
    <mergeCell ref="C58:I58"/>
    <mergeCell ref="C59:I59"/>
    <mergeCell ref="C63:I63"/>
    <mergeCell ref="C61:I62"/>
    <mergeCell ref="H53:H54"/>
    <mergeCell ref="I53:I54"/>
    <mergeCell ref="C55:C56"/>
    <mergeCell ref="D55:D56"/>
    <mergeCell ref="E55:E56"/>
    <mergeCell ref="F55:F56"/>
    <mergeCell ref="G55:G56"/>
    <mergeCell ref="H55:H56"/>
    <mergeCell ref="A12:A51"/>
    <mergeCell ref="F12:G12"/>
    <mergeCell ref="A52:B56"/>
    <mergeCell ref="C53:C54"/>
    <mergeCell ref="D53:D54"/>
    <mergeCell ref="E53:E54"/>
    <mergeCell ref="F53:F54"/>
    <mergeCell ref="G53:G54"/>
    <mergeCell ref="A4:H4"/>
    <mergeCell ref="A7:H7"/>
    <mergeCell ref="B9:B11"/>
    <mergeCell ref="C9:D9"/>
    <mergeCell ref="E9:F9"/>
    <mergeCell ref="G9:H9"/>
    <mergeCell ref="A1:I1"/>
    <mergeCell ref="A2:B2"/>
    <mergeCell ref="C2:D2"/>
    <mergeCell ref="E2:E3"/>
    <mergeCell ref="F2:G2"/>
    <mergeCell ref="H2:I2"/>
    <mergeCell ref="A3:B3"/>
    <mergeCell ref="F3:G3"/>
    <mergeCell ref="H3:I3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colBreaks count="1" manualBreakCount="1">
    <brk id="8" max="58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6"/>
  <sheetViews>
    <sheetView topLeftCell="A40" zoomScale="90" zoomScaleNormal="90" workbookViewId="0">
      <selection activeCell="H55" sqref="H55:H56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296" t="s">
        <v>0</v>
      </c>
      <c r="B1" s="297"/>
      <c r="C1" s="297"/>
      <c r="D1" s="297"/>
      <c r="E1" s="297"/>
      <c r="F1" s="297"/>
      <c r="G1" s="297"/>
      <c r="H1" s="297"/>
      <c r="I1" s="298"/>
    </row>
    <row r="2" spans="1:9" x14ac:dyDescent="0.3">
      <c r="A2" s="299" t="s">
        <v>1</v>
      </c>
      <c r="B2" s="300"/>
      <c r="C2" s="301" t="s">
        <v>192</v>
      </c>
      <c r="D2" s="302"/>
      <c r="E2" s="303" t="s">
        <v>77</v>
      </c>
      <c r="F2" s="305" t="s">
        <v>2</v>
      </c>
      <c r="G2" s="306"/>
      <c r="H2" s="307" t="s">
        <v>76</v>
      </c>
      <c r="I2" s="308"/>
    </row>
    <row r="3" spans="1:9" x14ac:dyDescent="0.3">
      <c r="A3" s="309" t="s">
        <v>3</v>
      </c>
      <c r="B3" s="310"/>
      <c r="C3" s="4"/>
      <c r="D3" s="5" t="s">
        <v>207</v>
      </c>
      <c r="E3" s="304"/>
      <c r="F3" s="311" t="s">
        <v>193</v>
      </c>
      <c r="G3" s="312"/>
      <c r="H3" s="313">
        <f>G11+'1일'!H3:I3</f>
        <v>3475400</v>
      </c>
      <c r="I3" s="314"/>
    </row>
    <row r="4" spans="1:9" ht="7.5" customHeight="1" x14ac:dyDescent="0.3">
      <c r="A4" s="315"/>
      <c r="B4" s="316"/>
      <c r="C4" s="316"/>
      <c r="D4" s="316"/>
      <c r="E4" s="316"/>
      <c r="F4" s="316"/>
      <c r="G4" s="316"/>
      <c r="H4" s="316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194</v>
      </c>
      <c r="F6" s="15" t="s">
        <v>195</v>
      </c>
      <c r="G6" s="16" t="s">
        <v>196</v>
      </c>
      <c r="H6" s="17">
        <v>0.39</v>
      </c>
      <c r="I6" s="18">
        <v>0.26</v>
      </c>
    </row>
    <row r="7" spans="1:9" ht="7.5" customHeight="1" x14ac:dyDescent="0.3">
      <c r="A7" s="315"/>
      <c r="B7" s="316"/>
      <c r="C7" s="316"/>
      <c r="D7" s="316"/>
      <c r="E7" s="316"/>
      <c r="F7" s="316"/>
      <c r="G7" s="316"/>
      <c r="H7" s="316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79" t="s">
        <v>10</v>
      </c>
      <c r="B9" s="317" t="s">
        <v>11</v>
      </c>
      <c r="C9" s="320" t="s">
        <v>68</v>
      </c>
      <c r="D9" s="303"/>
      <c r="E9" s="303" t="s">
        <v>67</v>
      </c>
      <c r="F9" s="303"/>
      <c r="G9" s="303" t="s">
        <v>69</v>
      </c>
      <c r="H9" s="303"/>
      <c r="I9" s="373" t="s">
        <v>78</v>
      </c>
    </row>
    <row r="10" spans="1:9" ht="18" customHeight="1" x14ac:dyDescent="0.3">
      <c r="A10" s="380"/>
      <c r="B10" s="318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74"/>
    </row>
    <row r="11" spans="1:9" ht="17.25" thickBot="1" x14ac:dyDescent="0.35">
      <c r="A11" s="381"/>
      <c r="B11" s="319"/>
      <c r="C11" s="101">
        <v>1826500</v>
      </c>
      <c r="D11" s="102">
        <v>139</v>
      </c>
      <c r="E11" s="109">
        <f>SUM(E55:I56)</f>
        <v>230700</v>
      </c>
      <c r="F11" s="109">
        <f>SUM(E53:I54)</f>
        <v>11</v>
      </c>
      <c r="G11" s="110">
        <f>C11+E11</f>
        <v>2057200</v>
      </c>
      <c r="H11" s="110">
        <f>D11+F11</f>
        <v>150</v>
      </c>
      <c r="I11" s="111">
        <f>G11/H11</f>
        <v>13714.666666666666</v>
      </c>
    </row>
    <row r="12" spans="1:9" ht="30" customHeight="1" x14ac:dyDescent="0.3">
      <c r="A12" s="321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24" t="s">
        <v>19</v>
      </c>
      <c r="G12" s="325"/>
      <c r="H12" s="158" t="s">
        <v>20</v>
      </c>
      <c r="I12" s="100" t="s">
        <v>21</v>
      </c>
    </row>
    <row r="13" spans="1:9" ht="17.25" customHeight="1" x14ac:dyDescent="0.3">
      <c r="A13" s="322"/>
      <c r="B13" s="21" t="s">
        <v>23</v>
      </c>
      <c r="C13" s="22">
        <v>17</v>
      </c>
      <c r="D13" s="23"/>
      <c r="E13" s="22"/>
      <c r="F13" s="24"/>
      <c r="G13" s="25"/>
      <c r="H13" s="23"/>
      <c r="I13" s="26">
        <f>C13-D13-D14*1/2-E13-E14*1/2+F13-H13-H14*1/2-I14*1/2</f>
        <v>17</v>
      </c>
    </row>
    <row r="14" spans="1:9" ht="17.25" customHeight="1" x14ac:dyDescent="0.3">
      <c r="A14" s="322"/>
      <c r="B14" s="27" t="s">
        <v>24</v>
      </c>
      <c r="C14" s="28"/>
      <c r="D14" s="29"/>
      <c r="E14" s="30"/>
      <c r="F14" s="31"/>
      <c r="G14" s="25"/>
      <c r="H14" s="29"/>
      <c r="I14" s="32"/>
    </row>
    <row r="15" spans="1:9" ht="17.25" customHeight="1" x14ac:dyDescent="0.3">
      <c r="A15" s="322"/>
      <c r="B15" s="27" t="s">
        <v>25</v>
      </c>
      <c r="C15" s="33">
        <v>14</v>
      </c>
      <c r="D15" s="29"/>
      <c r="E15" s="30"/>
      <c r="F15" s="34"/>
      <c r="G15" s="25"/>
      <c r="H15" s="29"/>
      <c r="I15" s="35">
        <f>C15-D15-D16*1/2-E15-E16*1/2+F15-H15-H16*1/2-I16*1/2</f>
        <v>14</v>
      </c>
    </row>
    <row r="16" spans="1:9" ht="17.25" customHeight="1" x14ac:dyDescent="0.3">
      <c r="A16" s="322"/>
      <c r="B16" s="27" t="s">
        <v>26</v>
      </c>
      <c r="C16" s="28"/>
      <c r="D16" s="29"/>
      <c r="E16" s="30"/>
      <c r="F16" s="31"/>
      <c r="G16" s="25"/>
      <c r="H16" s="29"/>
      <c r="I16" s="36"/>
    </row>
    <row r="17" spans="1:9" ht="17.25" customHeight="1" x14ac:dyDescent="0.3">
      <c r="A17" s="322"/>
      <c r="B17" s="27" t="s">
        <v>27</v>
      </c>
      <c r="C17" s="33">
        <v>16</v>
      </c>
      <c r="D17" s="29"/>
      <c r="E17" s="30"/>
      <c r="F17" s="34"/>
      <c r="G17" s="118"/>
      <c r="H17" s="29">
        <v>2</v>
      </c>
      <c r="I17" s="37">
        <f>C17-D17-D18*1/2-E17-E18*1/2+F17-H17-H18*1/2-I18*1/2</f>
        <v>13.5</v>
      </c>
    </row>
    <row r="18" spans="1:9" ht="17.25" customHeight="1" x14ac:dyDescent="0.3">
      <c r="A18" s="322"/>
      <c r="B18" s="27" t="s">
        <v>28</v>
      </c>
      <c r="C18" s="28"/>
      <c r="D18" s="29"/>
      <c r="E18" s="30">
        <v>1</v>
      </c>
      <c r="F18" s="31"/>
      <c r="G18" s="25"/>
      <c r="H18" s="29"/>
      <c r="I18" s="36"/>
    </row>
    <row r="19" spans="1:9" ht="17.25" customHeight="1" x14ac:dyDescent="0.3">
      <c r="A19" s="322"/>
      <c r="B19" s="27" t="s">
        <v>29</v>
      </c>
      <c r="C19" s="33">
        <v>11</v>
      </c>
      <c r="D19" s="29">
        <v>1</v>
      </c>
      <c r="E19" s="30"/>
      <c r="F19" s="34"/>
      <c r="G19" s="25"/>
      <c r="H19" s="29"/>
      <c r="I19" s="35">
        <f>C19-D19-D20*1/2-E19-E20*1/2+F19-H19-H20*1/2-I20*1/2</f>
        <v>10</v>
      </c>
    </row>
    <row r="20" spans="1:9" ht="17.25" customHeight="1" x14ac:dyDescent="0.3">
      <c r="A20" s="322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22"/>
      <c r="B21" s="39" t="s">
        <v>31</v>
      </c>
      <c r="C21" s="40">
        <v>58</v>
      </c>
      <c r="D21" s="41"/>
      <c r="E21" s="42">
        <v>1</v>
      </c>
      <c r="F21" s="43"/>
      <c r="G21" s="44"/>
      <c r="H21" s="43">
        <v>8</v>
      </c>
      <c r="I21" s="45">
        <f t="shared" ref="I21:I48" si="0">C21-D21-E21+F21-H21</f>
        <v>49</v>
      </c>
    </row>
    <row r="22" spans="1:9" ht="17.25" customHeight="1" x14ac:dyDescent="0.3">
      <c r="A22" s="322"/>
      <c r="B22" s="21" t="s">
        <v>32</v>
      </c>
      <c r="C22" s="46">
        <v>46</v>
      </c>
      <c r="D22" s="23"/>
      <c r="E22" s="47">
        <v>1</v>
      </c>
      <c r="F22" s="48"/>
      <c r="G22" s="25"/>
      <c r="H22" s="48">
        <v>6</v>
      </c>
      <c r="I22" s="49">
        <f t="shared" si="0"/>
        <v>39</v>
      </c>
    </row>
    <row r="23" spans="1:9" ht="17.25" customHeight="1" x14ac:dyDescent="0.3">
      <c r="A23" s="322"/>
      <c r="B23" s="27" t="s">
        <v>33</v>
      </c>
      <c r="C23" s="33">
        <v>109</v>
      </c>
      <c r="D23" s="29"/>
      <c r="E23" s="50">
        <v>1</v>
      </c>
      <c r="F23" s="51"/>
      <c r="G23" s="25"/>
      <c r="H23" s="51"/>
      <c r="I23" s="52">
        <f>C23-D23-D24-E23-E24+F23+F24-H23-H24-I24</f>
        <v>101</v>
      </c>
    </row>
    <row r="24" spans="1:9" ht="17.25" customHeight="1" x14ac:dyDescent="0.3">
      <c r="A24" s="322"/>
      <c r="B24" s="160" t="s">
        <v>34</v>
      </c>
      <c r="C24" s="53"/>
      <c r="D24" s="41"/>
      <c r="E24" s="42">
        <v>1</v>
      </c>
      <c r="F24" s="43"/>
      <c r="G24" s="113"/>
      <c r="H24" s="43">
        <v>6</v>
      </c>
      <c r="I24" s="54"/>
    </row>
    <row r="25" spans="1:9" ht="17.25" customHeight="1" x14ac:dyDescent="0.3">
      <c r="A25" s="322"/>
      <c r="B25" s="21" t="s">
        <v>35</v>
      </c>
      <c r="C25" s="46">
        <v>26</v>
      </c>
      <c r="D25" s="23">
        <v>2</v>
      </c>
      <c r="E25" s="47">
        <v>1</v>
      </c>
      <c r="F25" s="48"/>
      <c r="G25" s="112"/>
      <c r="H25" s="48">
        <v>4</v>
      </c>
      <c r="I25" s="49">
        <f t="shared" si="0"/>
        <v>19</v>
      </c>
    </row>
    <row r="26" spans="1:9" ht="17.25" customHeight="1" x14ac:dyDescent="0.3">
      <c r="A26" s="322"/>
      <c r="B26" s="160" t="s">
        <v>36</v>
      </c>
      <c r="C26" s="55">
        <v>20</v>
      </c>
      <c r="D26" s="41"/>
      <c r="E26" s="42"/>
      <c r="F26" s="43"/>
      <c r="G26" s="113"/>
      <c r="H26" s="43"/>
      <c r="I26" s="45">
        <f t="shared" si="0"/>
        <v>20</v>
      </c>
    </row>
    <row r="27" spans="1:9" ht="17.25" customHeight="1" x14ac:dyDescent="0.3">
      <c r="A27" s="322"/>
      <c r="B27" s="21" t="s">
        <v>37</v>
      </c>
      <c r="C27" s="46">
        <v>22</v>
      </c>
      <c r="D27" s="23"/>
      <c r="E27" s="47"/>
      <c r="F27" s="48"/>
      <c r="G27" s="112"/>
      <c r="H27" s="48">
        <v>3</v>
      </c>
      <c r="I27" s="49">
        <f t="shared" si="0"/>
        <v>19</v>
      </c>
    </row>
    <row r="28" spans="1:9" ht="17.25" customHeight="1" x14ac:dyDescent="0.3">
      <c r="A28" s="322"/>
      <c r="B28" s="160" t="s">
        <v>38</v>
      </c>
      <c r="C28" s="55">
        <v>28</v>
      </c>
      <c r="D28" s="41"/>
      <c r="E28" s="42"/>
      <c r="F28" s="43"/>
      <c r="G28" s="113"/>
      <c r="H28" s="43">
        <v>8</v>
      </c>
      <c r="I28" s="45">
        <f t="shared" si="0"/>
        <v>20</v>
      </c>
    </row>
    <row r="29" spans="1:9" ht="17.25" customHeight="1" x14ac:dyDescent="0.3">
      <c r="A29" s="322"/>
      <c r="B29" s="21" t="s">
        <v>39</v>
      </c>
      <c r="C29" s="46">
        <v>5</v>
      </c>
      <c r="D29" s="23"/>
      <c r="E29" s="47"/>
      <c r="F29" s="48"/>
      <c r="G29" s="25"/>
      <c r="H29" s="48"/>
      <c r="I29" s="49">
        <f t="shared" si="0"/>
        <v>5</v>
      </c>
    </row>
    <row r="30" spans="1:9" ht="17.25" customHeight="1" x14ac:dyDescent="0.3">
      <c r="A30" s="322"/>
      <c r="B30" s="56" t="s">
        <v>40</v>
      </c>
      <c r="C30" s="57">
        <v>79</v>
      </c>
      <c r="D30" s="29"/>
      <c r="E30" s="50">
        <v>2</v>
      </c>
      <c r="F30" s="51"/>
      <c r="G30" s="25"/>
      <c r="H30" s="51">
        <v>3</v>
      </c>
      <c r="I30" s="52">
        <f>C30-D30-D31-E30-E31+F30+F31-H30-H31-I31</f>
        <v>74</v>
      </c>
    </row>
    <row r="31" spans="1:9" ht="17.25" customHeight="1" x14ac:dyDescent="0.3">
      <c r="A31" s="322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22"/>
      <c r="B32" s="179" t="s">
        <v>117</v>
      </c>
      <c r="C32" s="184"/>
      <c r="D32" s="23"/>
      <c r="E32" s="47"/>
      <c r="F32" s="48"/>
      <c r="G32" s="116"/>
      <c r="H32" s="48"/>
      <c r="I32" s="187">
        <v>2</v>
      </c>
    </row>
    <row r="33" spans="1:9" ht="17.25" customHeight="1" x14ac:dyDescent="0.3">
      <c r="A33" s="322"/>
      <c r="B33" s="179" t="s">
        <v>119</v>
      </c>
      <c r="C33" s="185"/>
      <c r="D33" s="29"/>
      <c r="E33" s="50"/>
      <c r="F33" s="51"/>
      <c r="G33" s="25"/>
      <c r="H33" s="51"/>
      <c r="I33" s="188"/>
    </row>
    <row r="34" spans="1:9" ht="17.25" customHeight="1" x14ac:dyDescent="0.3">
      <c r="A34" s="322"/>
      <c r="B34" s="179" t="s">
        <v>121</v>
      </c>
      <c r="C34" s="186"/>
      <c r="D34" s="60"/>
      <c r="E34" s="61"/>
      <c r="F34" s="62"/>
      <c r="G34" s="113"/>
      <c r="H34" s="62"/>
      <c r="I34" s="189">
        <v>2</v>
      </c>
    </row>
    <row r="35" spans="1:9" ht="17.25" customHeight="1" x14ac:dyDescent="0.3">
      <c r="A35" s="322"/>
      <c r="B35" s="191" t="s">
        <v>79</v>
      </c>
      <c r="C35" s="281"/>
      <c r="D35" s="23"/>
      <c r="E35" s="47">
        <v>2</v>
      </c>
      <c r="F35" s="48"/>
      <c r="G35" s="116"/>
      <c r="H35" s="48"/>
      <c r="I35" s="282">
        <v>16</v>
      </c>
    </row>
    <row r="36" spans="1:9" ht="17.25" customHeight="1" x14ac:dyDescent="0.3">
      <c r="A36" s="322"/>
      <c r="B36" s="153" t="s">
        <v>80</v>
      </c>
      <c r="C36" s="121">
        <v>15</v>
      </c>
      <c r="D36" s="122"/>
      <c r="E36" s="123"/>
      <c r="F36" s="124"/>
      <c r="G36" s="112"/>
      <c r="H36" s="124">
        <v>10</v>
      </c>
      <c r="I36" s="52">
        <f>C36-D36-E36+F36-H36</f>
        <v>5</v>
      </c>
    </row>
    <row r="37" spans="1:9" ht="17.25" customHeight="1" x14ac:dyDescent="0.3">
      <c r="A37" s="322"/>
      <c r="B37" s="163" t="s">
        <v>107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22"/>
      <c r="B38" s="178" t="s">
        <v>131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22"/>
      <c r="B39" s="178" t="s">
        <v>109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22"/>
      <c r="B40" s="178" t="s">
        <v>133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22"/>
      <c r="B41" s="178" t="s">
        <v>111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22"/>
      <c r="B42" s="178" t="s">
        <v>135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22"/>
      <c r="B43" s="178" t="s">
        <v>113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22"/>
      <c r="B44" s="178" t="s">
        <v>125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22"/>
      <c r="B45" s="164" t="s">
        <v>115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22"/>
      <c r="B46" s="120" t="s">
        <v>89</v>
      </c>
      <c r="C46" s="154">
        <v>12</v>
      </c>
      <c r="D46" s="23"/>
      <c r="E46" s="47"/>
      <c r="F46" s="48"/>
      <c r="G46" s="116"/>
      <c r="H46" s="48"/>
      <c r="I46" s="49">
        <f t="shared" si="0"/>
        <v>12</v>
      </c>
    </row>
    <row r="47" spans="1:9" ht="17.25" customHeight="1" x14ac:dyDescent="0.3">
      <c r="A47" s="322"/>
      <c r="B47" s="120" t="s">
        <v>88</v>
      </c>
      <c r="C47" s="121">
        <v>8</v>
      </c>
      <c r="D47" s="122"/>
      <c r="E47" s="123"/>
      <c r="F47" s="124"/>
      <c r="G47" s="112"/>
      <c r="H47" s="124"/>
      <c r="I47" s="52">
        <f t="shared" si="0"/>
        <v>8</v>
      </c>
    </row>
    <row r="48" spans="1:9" ht="17.25" customHeight="1" x14ac:dyDescent="0.3">
      <c r="A48" s="322"/>
      <c r="B48" s="56" t="s">
        <v>123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22"/>
      <c r="B49" s="179" t="s">
        <v>127</v>
      </c>
      <c r="C49" s="192"/>
      <c r="D49" s="180"/>
      <c r="E49" s="181"/>
      <c r="F49" s="182"/>
      <c r="G49" s="183"/>
      <c r="H49" s="182"/>
      <c r="I49" s="195">
        <v>1</v>
      </c>
    </row>
    <row r="50" spans="1:10" ht="17.25" customHeight="1" x14ac:dyDescent="0.3">
      <c r="A50" s="322"/>
      <c r="B50" s="58" t="s">
        <v>129</v>
      </c>
      <c r="C50" s="59"/>
      <c r="D50" s="60"/>
      <c r="E50" s="61"/>
      <c r="F50" s="62"/>
      <c r="G50" s="113"/>
      <c r="H50" s="62"/>
      <c r="I50" s="63">
        <v>2</v>
      </c>
    </row>
    <row r="51" spans="1:10" ht="17.25" customHeight="1" thickBot="1" x14ac:dyDescent="0.35">
      <c r="A51" s="323"/>
      <c r="B51" s="64" t="s">
        <v>42</v>
      </c>
      <c r="C51" s="65">
        <f>SUM(C13:C50)</f>
        <v>486</v>
      </c>
      <c r="D51" s="66">
        <f>SUM(D13:D46)</f>
        <v>3</v>
      </c>
      <c r="E51" s="67">
        <f>SUM(E13:E46)</f>
        <v>10</v>
      </c>
      <c r="F51" s="67">
        <f>SUM(F13:F46)</f>
        <v>0</v>
      </c>
      <c r="G51" s="68" t="s">
        <v>22</v>
      </c>
      <c r="H51" s="69">
        <f>SUM(H13:H46)</f>
        <v>50</v>
      </c>
      <c r="I51" s="70">
        <f>SUM(I13:I46)</f>
        <v>437.5</v>
      </c>
    </row>
    <row r="52" spans="1:10" s="76" customFormat="1" ht="17.25" customHeight="1" x14ac:dyDescent="0.3">
      <c r="A52" s="326" t="s">
        <v>72</v>
      </c>
      <c r="B52" s="327"/>
      <c r="C52" s="71"/>
      <c r="D52" s="72" t="s">
        <v>163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s="76" customFormat="1" ht="17.25" customHeight="1" x14ac:dyDescent="0.3">
      <c r="A53" s="328"/>
      <c r="B53" s="329"/>
      <c r="C53" s="332" t="s">
        <v>74</v>
      </c>
      <c r="D53" s="334"/>
      <c r="E53" s="336">
        <v>6</v>
      </c>
      <c r="F53" s="336">
        <v>1</v>
      </c>
      <c r="G53" s="336">
        <v>3</v>
      </c>
      <c r="H53" s="336"/>
      <c r="I53" s="339">
        <v>1</v>
      </c>
      <c r="J53" s="175"/>
    </row>
    <row r="54" spans="1:10" s="76" customFormat="1" ht="17.25" customHeight="1" x14ac:dyDescent="0.3">
      <c r="A54" s="328"/>
      <c r="B54" s="329"/>
      <c r="C54" s="333"/>
      <c r="D54" s="335"/>
      <c r="E54" s="337"/>
      <c r="F54" s="337"/>
      <c r="G54" s="337"/>
      <c r="H54" s="338"/>
      <c r="I54" s="340"/>
    </row>
    <row r="55" spans="1:10" s="76" customFormat="1" ht="17.25" customHeight="1" x14ac:dyDescent="0.3">
      <c r="A55" s="328"/>
      <c r="B55" s="329"/>
      <c r="C55" s="332" t="s">
        <v>75</v>
      </c>
      <c r="D55" s="334"/>
      <c r="E55" s="343">
        <v>147700</v>
      </c>
      <c r="F55" s="343">
        <v>18400</v>
      </c>
      <c r="G55" s="343">
        <v>26400</v>
      </c>
      <c r="H55" s="336"/>
      <c r="I55" s="347">
        <v>38200</v>
      </c>
    </row>
    <row r="56" spans="1:10" s="76" customFormat="1" ht="17.25" customHeight="1" thickBot="1" x14ac:dyDescent="0.35">
      <c r="A56" s="330"/>
      <c r="B56" s="331"/>
      <c r="C56" s="341"/>
      <c r="D56" s="342"/>
      <c r="E56" s="344"/>
      <c r="F56" s="344"/>
      <c r="G56" s="344"/>
      <c r="H56" s="344"/>
      <c r="I56" s="348"/>
    </row>
    <row r="57" spans="1:10" s="76" customFormat="1" ht="17.25" customHeight="1" x14ac:dyDescent="0.3">
      <c r="A57" s="326" t="s">
        <v>45</v>
      </c>
      <c r="B57" s="327"/>
      <c r="C57" s="349" t="s">
        <v>211</v>
      </c>
      <c r="D57" s="350"/>
      <c r="E57" s="350"/>
      <c r="F57" s="350"/>
      <c r="G57" s="350"/>
      <c r="H57" s="350"/>
      <c r="I57" s="351"/>
    </row>
    <row r="58" spans="1:10" s="76" customFormat="1" ht="17.25" customHeight="1" x14ac:dyDescent="0.3">
      <c r="A58" s="328"/>
      <c r="B58" s="329"/>
      <c r="C58" s="352" t="s">
        <v>213</v>
      </c>
      <c r="D58" s="352"/>
      <c r="E58" s="352"/>
      <c r="F58" s="352"/>
      <c r="G58" s="352"/>
      <c r="H58" s="352"/>
      <c r="I58" s="353"/>
    </row>
    <row r="59" spans="1:10" s="76" customFormat="1" ht="17.25" customHeight="1" x14ac:dyDescent="0.3">
      <c r="A59" s="328"/>
      <c r="B59" s="329"/>
      <c r="C59" s="354" t="s">
        <v>214</v>
      </c>
      <c r="D59" s="352"/>
      <c r="E59" s="352"/>
      <c r="F59" s="352"/>
      <c r="G59" s="352"/>
      <c r="H59" s="352"/>
      <c r="I59" s="353"/>
    </row>
    <row r="60" spans="1:10" s="76" customFormat="1" ht="17.25" customHeight="1" thickBot="1" x14ac:dyDescent="0.35">
      <c r="A60" s="330"/>
      <c r="B60" s="331"/>
      <c r="C60" s="345" t="s">
        <v>212</v>
      </c>
      <c r="D60" s="345"/>
      <c r="E60" s="345"/>
      <c r="F60" s="345"/>
      <c r="G60" s="345"/>
      <c r="H60" s="345"/>
      <c r="I60" s="346"/>
    </row>
    <row r="61" spans="1:10" s="76" customFormat="1" ht="37.5" customHeight="1" x14ac:dyDescent="0.3">
      <c r="A61" s="326" t="s">
        <v>73</v>
      </c>
      <c r="B61" s="327"/>
      <c r="C61" s="390" t="s">
        <v>205</v>
      </c>
      <c r="D61" s="368"/>
      <c r="E61" s="368"/>
      <c r="F61" s="368"/>
      <c r="G61" s="368"/>
      <c r="H61" s="368"/>
      <c r="I61" s="369"/>
    </row>
    <row r="62" spans="1:10" s="76" customFormat="1" ht="29.25" customHeight="1" x14ac:dyDescent="0.3">
      <c r="A62" s="328"/>
      <c r="B62" s="329"/>
      <c r="C62" s="355" t="s">
        <v>206</v>
      </c>
      <c r="D62" s="391"/>
      <c r="E62" s="391"/>
      <c r="F62" s="391"/>
      <c r="G62" s="391"/>
      <c r="H62" s="391"/>
      <c r="I62" s="392"/>
    </row>
    <row r="63" spans="1:10" s="76" customFormat="1" ht="17.25" customHeight="1" x14ac:dyDescent="0.3">
      <c r="A63" s="328"/>
      <c r="B63" s="329"/>
      <c r="C63" s="354" t="s">
        <v>209</v>
      </c>
      <c r="D63" s="352"/>
      <c r="E63" s="352"/>
      <c r="F63" s="352"/>
      <c r="G63" s="352"/>
      <c r="H63" s="352"/>
      <c r="I63" s="353"/>
    </row>
    <row r="64" spans="1:10" s="76" customFormat="1" ht="17.25" customHeight="1" thickBot="1" x14ac:dyDescent="0.35">
      <c r="A64" s="330"/>
      <c r="B64" s="331"/>
      <c r="C64" s="345" t="s">
        <v>210</v>
      </c>
      <c r="D64" s="345"/>
      <c r="E64" s="345"/>
      <c r="F64" s="345"/>
      <c r="G64" s="345"/>
      <c r="H64" s="345"/>
      <c r="I64" s="346"/>
    </row>
    <row r="65" spans="1:9" s="76" customFormat="1" ht="17.25" customHeight="1" x14ac:dyDescent="0.3">
      <c r="A65" s="363" t="s">
        <v>46</v>
      </c>
      <c r="B65" s="366" t="s">
        <v>47</v>
      </c>
      <c r="C65" s="368" t="s">
        <v>203</v>
      </c>
      <c r="D65" s="368"/>
      <c r="E65" s="368"/>
      <c r="F65" s="368"/>
      <c r="G65" s="368"/>
      <c r="H65" s="368"/>
      <c r="I65" s="369"/>
    </row>
    <row r="66" spans="1:9" s="76" customFormat="1" ht="17.25" customHeight="1" x14ac:dyDescent="0.3">
      <c r="A66" s="364"/>
      <c r="B66" s="367"/>
      <c r="C66" s="350"/>
      <c r="D66" s="350"/>
      <c r="E66" s="350"/>
      <c r="F66" s="350"/>
      <c r="G66" s="350"/>
      <c r="H66" s="350"/>
      <c r="I66" s="351"/>
    </row>
    <row r="67" spans="1:9" s="76" customFormat="1" ht="17.25" customHeight="1" x14ac:dyDescent="0.3">
      <c r="A67" s="364"/>
      <c r="B67" s="370" t="s">
        <v>48</v>
      </c>
      <c r="C67" s="352" t="s">
        <v>204</v>
      </c>
      <c r="D67" s="352"/>
      <c r="E67" s="352"/>
      <c r="F67" s="352"/>
      <c r="G67" s="352"/>
      <c r="H67" s="352"/>
      <c r="I67" s="353"/>
    </row>
    <row r="68" spans="1:9" s="76" customFormat="1" ht="17.25" customHeight="1" x14ac:dyDescent="0.3">
      <c r="A68" s="364"/>
      <c r="B68" s="367"/>
      <c r="C68" s="350"/>
      <c r="D68" s="350"/>
      <c r="E68" s="350"/>
      <c r="F68" s="350"/>
      <c r="G68" s="350"/>
      <c r="H68" s="350"/>
      <c r="I68" s="351"/>
    </row>
    <row r="69" spans="1:9" s="76" customFormat="1" ht="17.25" customHeight="1" thickBot="1" x14ac:dyDescent="0.35">
      <c r="A69" s="365"/>
      <c r="B69" s="371"/>
      <c r="C69" s="362"/>
      <c r="D69" s="345"/>
      <c r="E69" s="345"/>
      <c r="F69" s="345"/>
      <c r="G69" s="345"/>
      <c r="H69" s="345"/>
      <c r="I69" s="346"/>
    </row>
    <row r="70" spans="1:9" s="76" customFormat="1" ht="17.25" customHeight="1" x14ac:dyDescent="0.3">
      <c r="A70" s="326" t="s">
        <v>49</v>
      </c>
      <c r="B70" s="327"/>
      <c r="C70" s="350"/>
      <c r="D70" s="350"/>
      <c r="E70" s="350"/>
      <c r="F70" s="350"/>
      <c r="G70" s="350"/>
      <c r="H70" s="350"/>
      <c r="I70" s="351"/>
    </row>
    <row r="71" spans="1:9" s="76" customFormat="1" ht="17.25" customHeight="1" x14ac:dyDescent="0.3">
      <c r="A71" s="328"/>
      <c r="B71" s="329"/>
      <c r="C71" s="350"/>
      <c r="D71" s="350"/>
      <c r="E71" s="350"/>
      <c r="F71" s="350"/>
      <c r="G71" s="350"/>
      <c r="H71" s="350"/>
      <c r="I71" s="351"/>
    </row>
    <row r="72" spans="1:9" s="76" customFormat="1" ht="17.25" customHeight="1" thickBot="1" x14ac:dyDescent="0.35">
      <c r="A72" s="330"/>
      <c r="B72" s="331"/>
      <c r="C72" s="362"/>
      <c r="D72" s="345"/>
      <c r="E72" s="345"/>
      <c r="F72" s="345"/>
      <c r="G72" s="345"/>
      <c r="H72" s="345"/>
      <c r="I72" s="346"/>
    </row>
    <row r="73" spans="1:9" s="76" customFormat="1" ht="17.25" customHeight="1" x14ac:dyDescent="0.3">
      <c r="A73" s="326" t="s">
        <v>50</v>
      </c>
      <c r="B73" s="327"/>
      <c r="C73" s="389" t="s">
        <v>202</v>
      </c>
      <c r="D73" s="368"/>
      <c r="E73" s="368"/>
      <c r="F73" s="368"/>
      <c r="G73" s="368"/>
      <c r="H73" s="368"/>
      <c r="I73" s="369"/>
    </row>
    <row r="74" spans="1:9" s="76" customFormat="1" ht="17.25" customHeight="1" thickBot="1" x14ac:dyDescent="0.35">
      <c r="A74" s="330"/>
      <c r="B74" s="331"/>
      <c r="C74" s="354"/>
      <c r="D74" s="352"/>
      <c r="E74" s="352"/>
      <c r="F74" s="352"/>
      <c r="G74" s="352"/>
      <c r="H74" s="352"/>
      <c r="I74" s="353"/>
    </row>
    <row r="75" spans="1:9" s="76" customFormat="1" ht="17.25" customHeight="1" x14ac:dyDescent="0.3">
      <c r="A75" s="326" t="s">
        <v>51</v>
      </c>
      <c r="B75" s="327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197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208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375" t="s">
        <v>61</v>
      </c>
      <c r="B78" s="376"/>
      <c r="C78" s="382" t="s">
        <v>62</v>
      </c>
      <c r="D78" s="383"/>
      <c r="E78" s="384" t="s">
        <v>63</v>
      </c>
      <c r="F78" s="383"/>
      <c r="G78" s="385" t="s">
        <v>64</v>
      </c>
      <c r="H78" s="386"/>
      <c r="I78" s="90" t="s">
        <v>65</v>
      </c>
    </row>
    <row r="79" spans="1:9" s="76" customFormat="1" ht="17.25" customHeight="1" thickBot="1" x14ac:dyDescent="0.35">
      <c r="A79" s="377"/>
      <c r="B79" s="378"/>
      <c r="C79" s="92">
        <v>0.25</v>
      </c>
      <c r="D79" s="93" t="s">
        <v>198</v>
      </c>
      <c r="E79" s="94">
        <v>0.8125</v>
      </c>
      <c r="F79" s="93" t="s">
        <v>199</v>
      </c>
      <c r="G79" s="387" t="s">
        <v>200</v>
      </c>
      <c r="H79" s="388"/>
      <c r="I79" s="95" t="s">
        <v>201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372" t="s">
        <v>66</v>
      </c>
      <c r="I80" s="372"/>
    </row>
    <row r="81" ht="17.25" customHeight="1" x14ac:dyDescent="0.3"/>
    <row r="82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</sheetData>
  <mergeCells count="66">
    <mergeCell ref="A4:H4"/>
    <mergeCell ref="A7:H7"/>
    <mergeCell ref="A9:A11"/>
    <mergeCell ref="B9:B11"/>
    <mergeCell ref="C9:D9"/>
    <mergeCell ref="E9:F9"/>
    <mergeCell ref="G9:H9"/>
    <mergeCell ref="A1:I1"/>
    <mergeCell ref="A2:B2"/>
    <mergeCell ref="C2:D2"/>
    <mergeCell ref="E2:E3"/>
    <mergeCell ref="F2:G2"/>
    <mergeCell ref="H2:I2"/>
    <mergeCell ref="A3:B3"/>
    <mergeCell ref="F3:G3"/>
    <mergeCell ref="H3:I3"/>
    <mergeCell ref="I9:I10"/>
    <mergeCell ref="A12:A51"/>
    <mergeCell ref="F12:G12"/>
    <mergeCell ref="A52:B56"/>
    <mergeCell ref="C53:C54"/>
    <mergeCell ref="D53:D54"/>
    <mergeCell ref="E53:E54"/>
    <mergeCell ref="F53:F54"/>
    <mergeCell ref="G53:G54"/>
    <mergeCell ref="H53:H54"/>
    <mergeCell ref="A57:B60"/>
    <mergeCell ref="C57:I57"/>
    <mergeCell ref="C58:I58"/>
    <mergeCell ref="C59:I59"/>
    <mergeCell ref="C60:I60"/>
    <mergeCell ref="C69:I69"/>
    <mergeCell ref="C64:I64"/>
    <mergeCell ref="I53:I54"/>
    <mergeCell ref="C55:C56"/>
    <mergeCell ref="D55:D56"/>
    <mergeCell ref="E55:E56"/>
    <mergeCell ref="F55:F56"/>
    <mergeCell ref="G55:G56"/>
    <mergeCell ref="H55:H56"/>
    <mergeCell ref="I55:I56"/>
    <mergeCell ref="C62:I62"/>
    <mergeCell ref="C63:I63"/>
    <mergeCell ref="A61:B64"/>
    <mergeCell ref="C61:I61"/>
    <mergeCell ref="A73:B74"/>
    <mergeCell ref="C73:I73"/>
    <mergeCell ref="C74:I74"/>
    <mergeCell ref="A70:B72"/>
    <mergeCell ref="C70:I70"/>
    <mergeCell ref="C71:I71"/>
    <mergeCell ref="C72:I72"/>
    <mergeCell ref="A65:A69"/>
    <mergeCell ref="B65:B66"/>
    <mergeCell ref="C65:I65"/>
    <mergeCell ref="C66:I66"/>
    <mergeCell ref="B67:B69"/>
    <mergeCell ref="C67:I67"/>
    <mergeCell ref="C68:I68"/>
    <mergeCell ref="H80:I80"/>
    <mergeCell ref="A75:B75"/>
    <mergeCell ref="A78:B79"/>
    <mergeCell ref="C78:D78"/>
    <mergeCell ref="E78:F78"/>
    <mergeCell ref="G78:H78"/>
    <mergeCell ref="G79:H79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6"/>
  <sheetViews>
    <sheetView topLeftCell="A64" zoomScale="90" zoomScaleNormal="90" workbookViewId="0">
      <selection activeCell="D11" sqref="D11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296" t="s">
        <v>0</v>
      </c>
      <c r="B1" s="297"/>
      <c r="C1" s="297"/>
      <c r="D1" s="297"/>
      <c r="E1" s="297"/>
      <c r="F1" s="297"/>
      <c r="G1" s="297"/>
      <c r="H1" s="297"/>
      <c r="I1" s="298"/>
    </row>
    <row r="2" spans="1:9" x14ac:dyDescent="0.3">
      <c r="A2" s="299" t="s">
        <v>1</v>
      </c>
      <c r="B2" s="300"/>
      <c r="C2" s="301" t="s">
        <v>222</v>
      </c>
      <c r="D2" s="302"/>
      <c r="E2" s="303" t="s">
        <v>77</v>
      </c>
      <c r="F2" s="305" t="s">
        <v>2</v>
      </c>
      <c r="G2" s="306"/>
      <c r="H2" s="307" t="s">
        <v>76</v>
      </c>
      <c r="I2" s="308"/>
    </row>
    <row r="3" spans="1:9" x14ac:dyDescent="0.3">
      <c r="A3" s="309" t="s">
        <v>3</v>
      </c>
      <c r="B3" s="310"/>
      <c r="C3" s="4" t="s">
        <v>232</v>
      </c>
      <c r="D3" s="5" t="s">
        <v>4</v>
      </c>
      <c r="E3" s="304"/>
      <c r="F3" s="311" t="s">
        <v>223</v>
      </c>
      <c r="G3" s="312"/>
      <c r="H3" s="313">
        <f>G11+'2일'!H3:I3</f>
        <v>5451100</v>
      </c>
      <c r="I3" s="314"/>
    </row>
    <row r="4" spans="1:9" ht="7.5" customHeight="1" x14ac:dyDescent="0.3">
      <c r="A4" s="315"/>
      <c r="B4" s="316"/>
      <c r="C4" s="316"/>
      <c r="D4" s="316"/>
      <c r="E4" s="316"/>
      <c r="F4" s="316"/>
      <c r="G4" s="316"/>
      <c r="H4" s="316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224</v>
      </c>
      <c r="F6" s="15" t="s">
        <v>226</v>
      </c>
      <c r="G6" s="16" t="s">
        <v>225</v>
      </c>
      <c r="H6" s="17">
        <v>0.45</v>
      </c>
      <c r="I6" s="18">
        <v>0.25</v>
      </c>
    </row>
    <row r="7" spans="1:9" ht="7.5" customHeight="1" x14ac:dyDescent="0.3">
      <c r="A7" s="315"/>
      <c r="B7" s="316"/>
      <c r="C7" s="316"/>
      <c r="D7" s="316"/>
      <c r="E7" s="316"/>
      <c r="F7" s="316"/>
      <c r="G7" s="316"/>
      <c r="H7" s="316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79" t="s">
        <v>10</v>
      </c>
      <c r="B9" s="317" t="s">
        <v>11</v>
      </c>
      <c r="C9" s="320" t="s">
        <v>68</v>
      </c>
      <c r="D9" s="303"/>
      <c r="E9" s="303" t="s">
        <v>67</v>
      </c>
      <c r="F9" s="303"/>
      <c r="G9" s="303" t="s">
        <v>69</v>
      </c>
      <c r="H9" s="303"/>
      <c r="I9" s="373" t="s">
        <v>78</v>
      </c>
    </row>
    <row r="10" spans="1:9" ht="18" customHeight="1" x14ac:dyDescent="0.3">
      <c r="A10" s="380"/>
      <c r="B10" s="318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74"/>
    </row>
    <row r="11" spans="1:9" ht="17.25" thickBot="1" x14ac:dyDescent="0.35">
      <c r="A11" s="381"/>
      <c r="B11" s="319"/>
      <c r="C11" s="101">
        <v>1636100</v>
      </c>
      <c r="D11" s="102">
        <v>134</v>
      </c>
      <c r="E11" s="109">
        <f>SUM(E55:I56)</f>
        <v>339600</v>
      </c>
      <c r="F11" s="109">
        <f>SUM(E53:I54)</f>
        <v>12</v>
      </c>
      <c r="G11" s="110">
        <f>C11+E11</f>
        <v>1975700</v>
      </c>
      <c r="H11" s="110">
        <f>D11+F11</f>
        <v>146</v>
      </c>
      <c r="I11" s="111">
        <f>G11/H11</f>
        <v>13532.191780821919</v>
      </c>
    </row>
    <row r="12" spans="1:9" ht="30" customHeight="1" x14ac:dyDescent="0.3">
      <c r="A12" s="321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24" t="s">
        <v>19</v>
      </c>
      <c r="G12" s="325"/>
      <c r="H12" s="158" t="s">
        <v>20</v>
      </c>
      <c r="I12" s="100" t="s">
        <v>21</v>
      </c>
    </row>
    <row r="13" spans="1:9" ht="17.25" customHeight="1" x14ac:dyDescent="0.3">
      <c r="A13" s="322"/>
      <c r="B13" s="21" t="s">
        <v>23</v>
      </c>
      <c r="C13" s="22">
        <v>20</v>
      </c>
      <c r="D13" s="23"/>
      <c r="E13" s="22"/>
      <c r="F13" s="24"/>
      <c r="G13" s="25"/>
      <c r="H13" s="23">
        <v>3</v>
      </c>
      <c r="I13" s="26">
        <f>C13-D13-D14*1/2-E13-E14*1/2+F13-H13-H14*1/2-I14*1/2</f>
        <v>16.5</v>
      </c>
    </row>
    <row r="14" spans="1:9" ht="17.25" customHeight="1" x14ac:dyDescent="0.3">
      <c r="A14" s="322"/>
      <c r="B14" s="27" t="s">
        <v>24</v>
      </c>
      <c r="C14" s="28"/>
      <c r="D14" s="29"/>
      <c r="E14" s="30"/>
      <c r="F14" s="31"/>
      <c r="G14" s="25"/>
      <c r="H14" s="29">
        <v>1</v>
      </c>
      <c r="I14" s="32"/>
    </row>
    <row r="15" spans="1:9" ht="17.25" customHeight="1" x14ac:dyDescent="0.3">
      <c r="A15" s="322"/>
      <c r="B15" s="27" t="s">
        <v>25</v>
      </c>
      <c r="C15" s="33">
        <v>17</v>
      </c>
      <c r="D15" s="29"/>
      <c r="E15" s="30"/>
      <c r="F15" s="34"/>
      <c r="G15" s="25"/>
      <c r="H15" s="29">
        <v>5</v>
      </c>
      <c r="I15" s="35">
        <f>C15-D15-D16*1/2-E15-E16*1/2+F15-H15-H16*1/2-I16*1/2</f>
        <v>11</v>
      </c>
    </row>
    <row r="16" spans="1:9" ht="17.25" customHeight="1" x14ac:dyDescent="0.3">
      <c r="A16" s="322"/>
      <c r="B16" s="27" t="s">
        <v>26</v>
      </c>
      <c r="C16" s="28"/>
      <c r="D16" s="29"/>
      <c r="E16" s="30">
        <v>1</v>
      </c>
      <c r="F16" s="31"/>
      <c r="G16" s="25"/>
      <c r="H16" s="29">
        <v>1</v>
      </c>
      <c r="I16" s="36"/>
    </row>
    <row r="17" spans="1:9" ht="17.25" customHeight="1" x14ac:dyDescent="0.3">
      <c r="A17" s="322"/>
      <c r="B17" s="27" t="s">
        <v>27</v>
      </c>
      <c r="C17" s="33">
        <v>16</v>
      </c>
      <c r="D17" s="29"/>
      <c r="E17" s="30"/>
      <c r="F17" s="34"/>
      <c r="G17" s="118"/>
      <c r="H17" s="29">
        <v>7</v>
      </c>
      <c r="I17" s="37">
        <f>C17-D17-D18*1/2-E17-E18*1/2+F17-H17-H18*1/2-I18*1/2</f>
        <v>9</v>
      </c>
    </row>
    <row r="18" spans="1:9" ht="17.25" customHeight="1" x14ac:dyDescent="0.3">
      <c r="A18" s="322"/>
      <c r="B18" s="27" t="s">
        <v>28</v>
      </c>
      <c r="C18" s="28"/>
      <c r="D18" s="29"/>
      <c r="E18" s="30"/>
      <c r="F18" s="31"/>
      <c r="G18" s="25"/>
      <c r="H18" s="29"/>
      <c r="I18" s="36"/>
    </row>
    <row r="19" spans="1:9" ht="17.25" customHeight="1" x14ac:dyDescent="0.3">
      <c r="A19" s="322"/>
      <c r="B19" s="27" t="s">
        <v>29</v>
      </c>
      <c r="C19" s="33">
        <v>13</v>
      </c>
      <c r="D19" s="29"/>
      <c r="E19" s="30"/>
      <c r="F19" s="34"/>
      <c r="G19" s="25"/>
      <c r="H19" s="29">
        <v>3</v>
      </c>
      <c r="I19" s="35">
        <f>C19-D19-D20*1/2-E19-E20*1/2+F19-H19-H20*1/2-I20*1/2</f>
        <v>9.5</v>
      </c>
    </row>
    <row r="20" spans="1:9" ht="17.25" customHeight="1" x14ac:dyDescent="0.3">
      <c r="A20" s="322"/>
      <c r="B20" s="27" t="s">
        <v>30</v>
      </c>
      <c r="C20" s="28"/>
      <c r="D20" s="29"/>
      <c r="E20" s="30"/>
      <c r="F20" s="31"/>
      <c r="G20" s="25"/>
      <c r="H20" s="29">
        <v>1</v>
      </c>
      <c r="I20" s="38"/>
    </row>
    <row r="21" spans="1:9" ht="17.25" customHeight="1" x14ac:dyDescent="0.3">
      <c r="A21" s="322"/>
      <c r="B21" s="39" t="s">
        <v>31</v>
      </c>
      <c r="C21" s="40">
        <v>37</v>
      </c>
      <c r="D21" s="41"/>
      <c r="E21" s="42">
        <v>1</v>
      </c>
      <c r="F21" s="43"/>
      <c r="G21" s="44"/>
      <c r="H21" s="43">
        <v>5</v>
      </c>
      <c r="I21" s="45">
        <f t="shared" ref="I21:I48" si="0">C21-D21-E21+F21-H21</f>
        <v>31</v>
      </c>
    </row>
    <row r="22" spans="1:9" ht="17.25" customHeight="1" x14ac:dyDescent="0.3">
      <c r="A22" s="322"/>
      <c r="B22" s="21" t="s">
        <v>32</v>
      </c>
      <c r="C22" s="46">
        <v>32</v>
      </c>
      <c r="D22" s="23"/>
      <c r="E22" s="47"/>
      <c r="F22" s="48"/>
      <c r="G22" s="25"/>
      <c r="H22" s="48">
        <v>12</v>
      </c>
      <c r="I22" s="49">
        <f t="shared" si="0"/>
        <v>20</v>
      </c>
    </row>
    <row r="23" spans="1:9" ht="17.25" customHeight="1" x14ac:dyDescent="0.3">
      <c r="A23" s="322"/>
      <c r="B23" s="27" t="s">
        <v>33</v>
      </c>
      <c r="C23" s="33">
        <v>118</v>
      </c>
      <c r="D23" s="29"/>
      <c r="E23" s="50">
        <v>2</v>
      </c>
      <c r="F23" s="51"/>
      <c r="G23" s="25"/>
      <c r="H23" s="51">
        <v>15</v>
      </c>
      <c r="I23" s="52">
        <f>C23-D23-D24-E23-E24+F23+F24-H23-H24-I24</f>
        <v>88</v>
      </c>
    </row>
    <row r="24" spans="1:9" ht="17.25" customHeight="1" x14ac:dyDescent="0.3">
      <c r="A24" s="322"/>
      <c r="B24" s="160" t="s">
        <v>34</v>
      </c>
      <c r="C24" s="53"/>
      <c r="D24" s="41">
        <v>1</v>
      </c>
      <c r="E24" s="42"/>
      <c r="F24" s="43"/>
      <c r="G24" s="113"/>
      <c r="H24" s="43">
        <v>12</v>
      </c>
      <c r="I24" s="54"/>
    </row>
    <row r="25" spans="1:9" ht="17.25" customHeight="1" x14ac:dyDescent="0.3">
      <c r="A25" s="322"/>
      <c r="B25" s="21" t="s">
        <v>35</v>
      </c>
      <c r="C25" s="46">
        <v>22</v>
      </c>
      <c r="D25" s="23">
        <v>1</v>
      </c>
      <c r="E25" s="47"/>
      <c r="F25" s="48"/>
      <c r="G25" s="112"/>
      <c r="H25" s="48">
        <v>3</v>
      </c>
      <c r="I25" s="49">
        <f t="shared" si="0"/>
        <v>18</v>
      </c>
    </row>
    <row r="26" spans="1:9" ht="17.25" customHeight="1" x14ac:dyDescent="0.3">
      <c r="A26" s="322"/>
      <c r="B26" s="160" t="s">
        <v>36</v>
      </c>
      <c r="C26" s="55">
        <v>44</v>
      </c>
      <c r="D26" s="41"/>
      <c r="E26" s="42"/>
      <c r="F26" s="43"/>
      <c r="G26" s="113"/>
      <c r="H26" s="43">
        <v>8</v>
      </c>
      <c r="I26" s="45">
        <f t="shared" si="0"/>
        <v>36</v>
      </c>
    </row>
    <row r="27" spans="1:9" ht="17.25" customHeight="1" x14ac:dyDescent="0.3">
      <c r="A27" s="322"/>
      <c r="B27" s="21" t="s">
        <v>37</v>
      </c>
      <c r="C27" s="46">
        <v>36</v>
      </c>
      <c r="D27" s="23"/>
      <c r="E27" s="47"/>
      <c r="F27" s="48"/>
      <c r="G27" s="112"/>
      <c r="H27" s="48">
        <v>16</v>
      </c>
      <c r="I27" s="49">
        <f t="shared" si="0"/>
        <v>20</v>
      </c>
    </row>
    <row r="28" spans="1:9" ht="17.25" customHeight="1" x14ac:dyDescent="0.3">
      <c r="A28" s="322"/>
      <c r="B28" s="160" t="s">
        <v>38</v>
      </c>
      <c r="C28" s="55">
        <v>29</v>
      </c>
      <c r="D28" s="41"/>
      <c r="E28" s="42"/>
      <c r="F28" s="43"/>
      <c r="G28" s="113"/>
      <c r="H28" s="43">
        <v>3</v>
      </c>
      <c r="I28" s="45">
        <f t="shared" si="0"/>
        <v>26</v>
      </c>
    </row>
    <row r="29" spans="1:9" ht="17.25" customHeight="1" x14ac:dyDescent="0.3">
      <c r="A29" s="322"/>
      <c r="B29" s="21" t="s">
        <v>39</v>
      </c>
      <c r="C29" s="46">
        <v>5</v>
      </c>
      <c r="D29" s="23"/>
      <c r="E29" s="47"/>
      <c r="F29" s="48"/>
      <c r="G29" s="25"/>
      <c r="H29" s="48"/>
      <c r="I29" s="49">
        <f t="shared" si="0"/>
        <v>5</v>
      </c>
    </row>
    <row r="30" spans="1:9" ht="17.25" customHeight="1" x14ac:dyDescent="0.3">
      <c r="A30" s="322"/>
      <c r="B30" s="56" t="s">
        <v>40</v>
      </c>
      <c r="C30" s="57">
        <v>78</v>
      </c>
      <c r="D30" s="29"/>
      <c r="E30" s="50">
        <v>2</v>
      </c>
      <c r="F30" s="51"/>
      <c r="G30" s="25"/>
      <c r="H30" s="51">
        <v>16</v>
      </c>
      <c r="I30" s="52">
        <f>C30-D30-D31-E30-E31+F30+F31-H30-H31-I31</f>
        <v>60</v>
      </c>
    </row>
    <row r="31" spans="1:9" ht="17.25" customHeight="1" x14ac:dyDescent="0.3">
      <c r="A31" s="322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22"/>
      <c r="B32" s="179" t="s">
        <v>117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22"/>
      <c r="B33" s="179" t="s">
        <v>119</v>
      </c>
      <c r="C33" s="185"/>
      <c r="D33" s="29"/>
      <c r="E33" s="50"/>
      <c r="F33" s="51"/>
      <c r="G33" s="25"/>
      <c r="H33" s="51"/>
      <c r="I33" s="188"/>
    </row>
    <row r="34" spans="1:9" ht="17.25" customHeight="1" x14ac:dyDescent="0.3">
      <c r="A34" s="322"/>
      <c r="B34" s="179" t="s">
        <v>121</v>
      </c>
      <c r="C34" s="186"/>
      <c r="D34" s="60"/>
      <c r="E34" s="61"/>
      <c r="F34" s="62"/>
      <c r="G34" s="113"/>
      <c r="H34" s="62"/>
      <c r="I34" s="189">
        <v>1</v>
      </c>
    </row>
    <row r="35" spans="1:9" ht="17.25" customHeight="1" x14ac:dyDescent="0.3">
      <c r="A35" s="322"/>
      <c r="B35" s="191" t="s">
        <v>79</v>
      </c>
      <c r="C35" s="281"/>
      <c r="D35" s="23"/>
      <c r="E35" s="47"/>
      <c r="F35" s="48"/>
      <c r="G35" s="116"/>
      <c r="H35" s="48"/>
      <c r="I35" s="282">
        <v>20</v>
      </c>
    </row>
    <row r="36" spans="1:9" ht="17.25" customHeight="1" x14ac:dyDescent="0.3">
      <c r="A36" s="322"/>
      <c r="B36" s="153" t="s">
        <v>80</v>
      </c>
      <c r="C36" s="121">
        <v>20</v>
      </c>
      <c r="D36" s="122"/>
      <c r="E36" s="123"/>
      <c r="F36" s="124"/>
      <c r="G36" s="112"/>
      <c r="H36" s="124"/>
      <c r="I36" s="52">
        <f>C36-D36-E36+F36-H36</f>
        <v>20</v>
      </c>
    </row>
    <row r="37" spans="1:9" ht="17.25" customHeight="1" x14ac:dyDescent="0.3">
      <c r="A37" s="322"/>
      <c r="B37" s="163" t="s">
        <v>107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22"/>
      <c r="B38" s="178" t="s">
        <v>131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22"/>
      <c r="B39" s="178" t="s">
        <v>109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22"/>
      <c r="B40" s="178" t="s">
        <v>133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22"/>
      <c r="B41" s="178" t="s">
        <v>111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22"/>
      <c r="B42" s="178" t="s">
        <v>135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22"/>
      <c r="B43" s="178" t="s">
        <v>113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22"/>
      <c r="B44" s="178" t="s">
        <v>125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22"/>
      <c r="B45" s="164" t="s">
        <v>115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22"/>
      <c r="B46" s="120" t="s">
        <v>89</v>
      </c>
      <c r="C46" s="154">
        <v>24</v>
      </c>
      <c r="D46" s="23"/>
      <c r="E46" s="47"/>
      <c r="F46" s="48"/>
      <c r="G46" s="116"/>
      <c r="H46" s="48"/>
      <c r="I46" s="49">
        <f t="shared" si="0"/>
        <v>24</v>
      </c>
    </row>
    <row r="47" spans="1:9" ht="17.25" customHeight="1" x14ac:dyDescent="0.3">
      <c r="A47" s="322"/>
      <c r="B47" s="120" t="s">
        <v>88</v>
      </c>
      <c r="C47" s="121">
        <v>10</v>
      </c>
      <c r="D47" s="122"/>
      <c r="E47" s="123"/>
      <c r="F47" s="124"/>
      <c r="G47" s="112"/>
      <c r="H47" s="124"/>
      <c r="I47" s="52">
        <f t="shared" si="0"/>
        <v>10</v>
      </c>
    </row>
    <row r="48" spans="1:9" ht="17.25" customHeight="1" x14ac:dyDescent="0.3">
      <c r="A48" s="322"/>
      <c r="B48" s="56" t="s">
        <v>123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22"/>
      <c r="B49" s="179" t="s">
        <v>127</v>
      </c>
      <c r="C49" s="192"/>
      <c r="D49" s="180"/>
      <c r="E49" s="181"/>
      <c r="F49" s="182"/>
      <c r="G49" s="183"/>
      <c r="H49" s="182"/>
      <c r="I49" s="195">
        <v>1</v>
      </c>
    </row>
    <row r="50" spans="1:10" ht="17.25" customHeight="1" x14ac:dyDescent="0.3">
      <c r="A50" s="322"/>
      <c r="B50" s="58" t="s">
        <v>129</v>
      </c>
      <c r="C50" s="59"/>
      <c r="D50" s="60"/>
      <c r="E50" s="61"/>
      <c r="F50" s="62"/>
      <c r="G50" s="113"/>
      <c r="H50" s="62"/>
      <c r="I50" s="63">
        <v>3</v>
      </c>
    </row>
    <row r="51" spans="1:10" ht="17.25" customHeight="1" thickBot="1" x14ac:dyDescent="0.35">
      <c r="A51" s="323"/>
      <c r="B51" s="64" t="s">
        <v>42</v>
      </c>
      <c r="C51" s="65">
        <f>SUM(C13:C50)</f>
        <v>521</v>
      </c>
      <c r="D51" s="66">
        <f>SUM(D13:D46)</f>
        <v>2</v>
      </c>
      <c r="E51" s="67">
        <f>SUM(E13:E46)</f>
        <v>6</v>
      </c>
      <c r="F51" s="67">
        <f>SUM(F13:F46)</f>
        <v>0</v>
      </c>
      <c r="G51" s="68" t="s">
        <v>22</v>
      </c>
      <c r="H51" s="69">
        <f>SUM(H13:H46)</f>
        <v>111</v>
      </c>
      <c r="I51" s="70">
        <f>SUM(I13:I46)</f>
        <v>415</v>
      </c>
    </row>
    <row r="52" spans="1:10" s="76" customFormat="1" ht="17.25" customHeight="1" x14ac:dyDescent="0.3">
      <c r="A52" s="326" t="s">
        <v>72</v>
      </c>
      <c r="B52" s="327"/>
      <c r="C52" s="71"/>
      <c r="D52" s="72" t="s">
        <v>163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s="76" customFormat="1" ht="17.25" customHeight="1" x14ac:dyDescent="0.3">
      <c r="A53" s="328"/>
      <c r="B53" s="329"/>
      <c r="C53" s="332" t="s">
        <v>74</v>
      </c>
      <c r="D53" s="334"/>
      <c r="E53" s="336">
        <v>4</v>
      </c>
      <c r="F53" s="336">
        <v>1</v>
      </c>
      <c r="G53" s="336">
        <v>6</v>
      </c>
      <c r="H53" s="336"/>
      <c r="I53" s="339">
        <v>1</v>
      </c>
      <c r="J53" s="175"/>
    </row>
    <row r="54" spans="1:10" s="76" customFormat="1" ht="17.25" customHeight="1" x14ac:dyDescent="0.3">
      <c r="A54" s="328"/>
      <c r="B54" s="329"/>
      <c r="C54" s="333"/>
      <c r="D54" s="335"/>
      <c r="E54" s="337"/>
      <c r="F54" s="337"/>
      <c r="G54" s="337"/>
      <c r="H54" s="338"/>
      <c r="I54" s="340"/>
    </row>
    <row r="55" spans="1:10" s="76" customFormat="1" ht="17.25" customHeight="1" x14ac:dyDescent="0.3">
      <c r="A55" s="328"/>
      <c r="B55" s="329"/>
      <c r="C55" s="332" t="s">
        <v>75</v>
      </c>
      <c r="D55" s="334"/>
      <c r="E55" s="343">
        <v>77800</v>
      </c>
      <c r="F55" s="343">
        <v>19100</v>
      </c>
      <c r="G55" s="343">
        <v>91500</v>
      </c>
      <c r="H55" s="336"/>
      <c r="I55" s="347">
        <v>151200</v>
      </c>
    </row>
    <row r="56" spans="1:10" s="76" customFormat="1" ht="17.25" customHeight="1" thickBot="1" x14ac:dyDescent="0.35">
      <c r="A56" s="330"/>
      <c r="B56" s="331"/>
      <c r="C56" s="341"/>
      <c r="D56" s="342"/>
      <c r="E56" s="344"/>
      <c r="F56" s="344"/>
      <c r="G56" s="344"/>
      <c r="H56" s="344"/>
      <c r="I56" s="348"/>
    </row>
    <row r="57" spans="1:10" s="76" customFormat="1" ht="17.25" customHeight="1" x14ac:dyDescent="0.3">
      <c r="A57" s="326" t="s">
        <v>45</v>
      </c>
      <c r="B57" s="327"/>
      <c r="C57" s="349" t="s">
        <v>234</v>
      </c>
      <c r="D57" s="350"/>
      <c r="E57" s="350"/>
      <c r="F57" s="350"/>
      <c r="G57" s="350"/>
      <c r="H57" s="350"/>
      <c r="I57" s="351"/>
    </row>
    <row r="58" spans="1:10" s="76" customFormat="1" ht="17.25" customHeight="1" x14ac:dyDescent="0.3">
      <c r="A58" s="328"/>
      <c r="B58" s="329"/>
      <c r="C58" s="352" t="s">
        <v>235</v>
      </c>
      <c r="D58" s="352"/>
      <c r="E58" s="352"/>
      <c r="F58" s="352"/>
      <c r="G58" s="352"/>
      <c r="H58" s="352"/>
      <c r="I58" s="353"/>
    </row>
    <row r="59" spans="1:10" s="76" customFormat="1" ht="17.25" customHeight="1" x14ac:dyDescent="0.3">
      <c r="A59" s="328"/>
      <c r="B59" s="329"/>
      <c r="C59" s="354" t="s">
        <v>236</v>
      </c>
      <c r="D59" s="352"/>
      <c r="E59" s="352"/>
      <c r="F59" s="352"/>
      <c r="G59" s="352"/>
      <c r="H59" s="352"/>
      <c r="I59" s="353"/>
    </row>
    <row r="60" spans="1:10" s="76" customFormat="1" ht="17.25" customHeight="1" thickBot="1" x14ac:dyDescent="0.35">
      <c r="A60" s="330"/>
      <c r="B60" s="331"/>
      <c r="C60" s="345" t="s">
        <v>237</v>
      </c>
      <c r="D60" s="345"/>
      <c r="E60" s="345"/>
      <c r="F60" s="345"/>
      <c r="G60" s="345"/>
      <c r="H60" s="345"/>
      <c r="I60" s="346"/>
    </row>
    <row r="61" spans="1:10" s="76" customFormat="1" ht="37.5" customHeight="1" x14ac:dyDescent="0.3">
      <c r="A61" s="326" t="s">
        <v>73</v>
      </c>
      <c r="B61" s="327"/>
      <c r="C61" s="390" t="s">
        <v>215</v>
      </c>
      <c r="D61" s="368"/>
      <c r="E61" s="368"/>
      <c r="F61" s="368"/>
      <c r="G61" s="368"/>
      <c r="H61" s="368"/>
      <c r="I61" s="369"/>
    </row>
    <row r="62" spans="1:10" s="76" customFormat="1" ht="17.25" customHeight="1" x14ac:dyDescent="0.3">
      <c r="A62" s="328"/>
      <c r="B62" s="329"/>
      <c r="C62" s="354" t="s">
        <v>227</v>
      </c>
      <c r="D62" s="352"/>
      <c r="E62" s="352"/>
      <c r="F62" s="352"/>
      <c r="G62" s="352"/>
      <c r="H62" s="352"/>
      <c r="I62" s="353"/>
    </row>
    <row r="63" spans="1:10" s="76" customFormat="1" ht="17.25" customHeight="1" x14ac:dyDescent="0.3">
      <c r="A63" s="328"/>
      <c r="B63" s="329"/>
      <c r="C63" s="354" t="s">
        <v>228</v>
      </c>
      <c r="D63" s="352"/>
      <c r="E63" s="352"/>
      <c r="F63" s="352"/>
      <c r="G63" s="352"/>
      <c r="H63" s="352"/>
      <c r="I63" s="353"/>
    </row>
    <row r="64" spans="1:10" s="76" customFormat="1" ht="17.25" customHeight="1" thickBot="1" x14ac:dyDescent="0.35">
      <c r="A64" s="330"/>
      <c r="B64" s="331"/>
      <c r="C64" s="345" t="s">
        <v>233</v>
      </c>
      <c r="D64" s="345"/>
      <c r="E64" s="345"/>
      <c r="F64" s="345"/>
      <c r="G64" s="345"/>
      <c r="H64" s="345"/>
      <c r="I64" s="346"/>
    </row>
    <row r="65" spans="1:9" s="76" customFormat="1" ht="17.25" customHeight="1" x14ac:dyDescent="0.3">
      <c r="A65" s="363" t="s">
        <v>46</v>
      </c>
      <c r="B65" s="366" t="s">
        <v>47</v>
      </c>
      <c r="C65" s="368"/>
      <c r="D65" s="368"/>
      <c r="E65" s="368"/>
      <c r="F65" s="368"/>
      <c r="G65" s="368"/>
      <c r="H65" s="368"/>
      <c r="I65" s="369"/>
    </row>
    <row r="66" spans="1:9" s="76" customFormat="1" ht="17.25" customHeight="1" x14ac:dyDescent="0.3">
      <c r="A66" s="364"/>
      <c r="B66" s="367"/>
      <c r="C66" s="350"/>
      <c r="D66" s="350"/>
      <c r="E66" s="350"/>
      <c r="F66" s="350"/>
      <c r="G66" s="350"/>
      <c r="H66" s="350"/>
      <c r="I66" s="351"/>
    </row>
    <row r="67" spans="1:9" s="76" customFormat="1" ht="17.25" customHeight="1" x14ac:dyDescent="0.3">
      <c r="A67" s="364"/>
      <c r="B67" s="370" t="s">
        <v>48</v>
      </c>
      <c r="C67" s="352" t="s">
        <v>238</v>
      </c>
      <c r="D67" s="352"/>
      <c r="E67" s="352"/>
      <c r="F67" s="352"/>
      <c r="G67" s="352"/>
      <c r="H67" s="352"/>
      <c r="I67" s="353"/>
    </row>
    <row r="68" spans="1:9" s="76" customFormat="1" ht="17.25" customHeight="1" x14ac:dyDescent="0.3">
      <c r="A68" s="364"/>
      <c r="B68" s="367"/>
      <c r="C68" s="350"/>
      <c r="D68" s="350"/>
      <c r="E68" s="350"/>
      <c r="F68" s="350"/>
      <c r="G68" s="350"/>
      <c r="H68" s="350"/>
      <c r="I68" s="351"/>
    </row>
    <row r="69" spans="1:9" s="76" customFormat="1" ht="17.25" customHeight="1" thickBot="1" x14ac:dyDescent="0.35">
      <c r="A69" s="365"/>
      <c r="B69" s="371"/>
      <c r="C69" s="362"/>
      <c r="D69" s="345"/>
      <c r="E69" s="345"/>
      <c r="F69" s="345"/>
      <c r="G69" s="345"/>
      <c r="H69" s="345"/>
      <c r="I69" s="346"/>
    </row>
    <row r="70" spans="1:9" s="76" customFormat="1" ht="17.25" customHeight="1" x14ac:dyDescent="0.3">
      <c r="A70" s="326" t="s">
        <v>49</v>
      </c>
      <c r="B70" s="327"/>
      <c r="C70" s="350" t="s">
        <v>231</v>
      </c>
      <c r="D70" s="350"/>
      <c r="E70" s="350"/>
      <c r="F70" s="350"/>
      <c r="G70" s="350"/>
      <c r="H70" s="350"/>
      <c r="I70" s="351"/>
    </row>
    <row r="71" spans="1:9" s="76" customFormat="1" ht="17.25" customHeight="1" x14ac:dyDescent="0.3">
      <c r="A71" s="328"/>
      <c r="B71" s="329"/>
      <c r="C71" s="350"/>
      <c r="D71" s="350"/>
      <c r="E71" s="350"/>
      <c r="F71" s="350"/>
      <c r="G71" s="350"/>
      <c r="H71" s="350"/>
      <c r="I71" s="351"/>
    </row>
    <row r="72" spans="1:9" s="76" customFormat="1" ht="17.25" customHeight="1" thickBot="1" x14ac:dyDescent="0.35">
      <c r="A72" s="330"/>
      <c r="B72" s="331"/>
      <c r="C72" s="362"/>
      <c r="D72" s="345"/>
      <c r="E72" s="345"/>
      <c r="F72" s="345"/>
      <c r="G72" s="345"/>
      <c r="H72" s="345"/>
      <c r="I72" s="346"/>
    </row>
    <row r="73" spans="1:9" s="76" customFormat="1" ht="17.25" customHeight="1" x14ac:dyDescent="0.3">
      <c r="A73" s="326" t="s">
        <v>50</v>
      </c>
      <c r="B73" s="327"/>
      <c r="C73" s="389" t="s">
        <v>229</v>
      </c>
      <c r="D73" s="368"/>
      <c r="E73" s="368"/>
      <c r="F73" s="368"/>
      <c r="G73" s="368"/>
      <c r="H73" s="368"/>
      <c r="I73" s="369"/>
    </row>
    <row r="74" spans="1:9" s="76" customFormat="1" ht="17.25" customHeight="1" thickBot="1" x14ac:dyDescent="0.35">
      <c r="A74" s="330"/>
      <c r="B74" s="331"/>
      <c r="C74" s="354" t="s">
        <v>230</v>
      </c>
      <c r="D74" s="352"/>
      <c r="E74" s="352"/>
      <c r="F74" s="352"/>
      <c r="G74" s="352"/>
      <c r="H74" s="352"/>
      <c r="I74" s="353"/>
    </row>
    <row r="75" spans="1:9" s="76" customFormat="1" ht="17.25" customHeight="1" x14ac:dyDescent="0.3">
      <c r="A75" s="326" t="s">
        <v>51</v>
      </c>
      <c r="B75" s="327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216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217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375" t="s">
        <v>61</v>
      </c>
      <c r="B78" s="376"/>
      <c r="C78" s="382" t="s">
        <v>62</v>
      </c>
      <c r="D78" s="383"/>
      <c r="E78" s="384" t="s">
        <v>63</v>
      </c>
      <c r="F78" s="383"/>
      <c r="G78" s="385" t="s">
        <v>64</v>
      </c>
      <c r="H78" s="386"/>
      <c r="I78" s="90" t="s">
        <v>65</v>
      </c>
    </row>
    <row r="79" spans="1:9" s="76" customFormat="1" ht="17.25" customHeight="1" thickBot="1" x14ac:dyDescent="0.35">
      <c r="A79" s="377"/>
      <c r="B79" s="378"/>
      <c r="C79" s="92">
        <v>0.25</v>
      </c>
      <c r="D79" s="93" t="s">
        <v>218</v>
      </c>
      <c r="E79" s="94">
        <v>0.8125</v>
      </c>
      <c r="F79" s="93" t="s">
        <v>219</v>
      </c>
      <c r="G79" s="387" t="s">
        <v>220</v>
      </c>
      <c r="H79" s="388"/>
      <c r="I79" s="95" t="s">
        <v>221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372" t="s">
        <v>66</v>
      </c>
      <c r="I80" s="372"/>
    </row>
    <row r="81" ht="17.25" customHeight="1" x14ac:dyDescent="0.3"/>
    <row r="82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</sheetData>
  <mergeCells count="66">
    <mergeCell ref="C62:I62"/>
    <mergeCell ref="C63:I63"/>
    <mergeCell ref="A1:I1"/>
    <mergeCell ref="A2:B2"/>
    <mergeCell ref="C2:D2"/>
    <mergeCell ref="E2:E3"/>
    <mergeCell ref="F2:G2"/>
    <mergeCell ref="H2:I2"/>
    <mergeCell ref="A3:B3"/>
    <mergeCell ref="F3:G3"/>
    <mergeCell ref="H3:I3"/>
    <mergeCell ref="A4:H4"/>
    <mergeCell ref="A7:H7"/>
    <mergeCell ref="A9:A11"/>
    <mergeCell ref="B9:B11"/>
    <mergeCell ref="C9:D9"/>
    <mergeCell ref="E9:F9"/>
    <mergeCell ref="G9:H9"/>
    <mergeCell ref="I9:I10"/>
    <mergeCell ref="F12:G12"/>
    <mergeCell ref="A52:B56"/>
    <mergeCell ref="C53:C54"/>
    <mergeCell ref="D53:D54"/>
    <mergeCell ref="E53:E54"/>
    <mergeCell ref="F53:F54"/>
    <mergeCell ref="G53:G54"/>
    <mergeCell ref="H53:H54"/>
    <mergeCell ref="A12:A51"/>
    <mergeCell ref="A61:B64"/>
    <mergeCell ref="C61:I61"/>
    <mergeCell ref="C64:I64"/>
    <mergeCell ref="I53:I54"/>
    <mergeCell ref="C55:C56"/>
    <mergeCell ref="D55:D56"/>
    <mergeCell ref="E55:E56"/>
    <mergeCell ref="F55:F56"/>
    <mergeCell ref="G55:G56"/>
    <mergeCell ref="H55:H56"/>
    <mergeCell ref="I55:I56"/>
    <mergeCell ref="A57:B60"/>
    <mergeCell ref="C57:I57"/>
    <mergeCell ref="C58:I58"/>
    <mergeCell ref="C59:I59"/>
    <mergeCell ref="C60:I60"/>
    <mergeCell ref="A65:A69"/>
    <mergeCell ref="B65:B66"/>
    <mergeCell ref="C65:I65"/>
    <mergeCell ref="C66:I66"/>
    <mergeCell ref="B67:B69"/>
    <mergeCell ref="C67:I67"/>
    <mergeCell ref="C68:I68"/>
    <mergeCell ref="C69:I69"/>
    <mergeCell ref="A70:B72"/>
    <mergeCell ref="C70:I70"/>
    <mergeCell ref="C71:I71"/>
    <mergeCell ref="C72:I72"/>
    <mergeCell ref="A73:B74"/>
    <mergeCell ref="C73:I73"/>
    <mergeCell ref="C74:I74"/>
    <mergeCell ref="H80:I80"/>
    <mergeCell ref="A75:B75"/>
    <mergeCell ref="A78:B79"/>
    <mergeCell ref="C78:D78"/>
    <mergeCell ref="E78:F78"/>
    <mergeCell ref="G78:H78"/>
    <mergeCell ref="G79:H79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opLeftCell="A25" zoomScale="90" zoomScaleNormal="90" workbookViewId="0">
      <selection activeCell="C35" sqref="C35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296" t="s">
        <v>0</v>
      </c>
      <c r="B1" s="297"/>
      <c r="C1" s="297"/>
      <c r="D1" s="297"/>
      <c r="E1" s="297"/>
      <c r="F1" s="297"/>
      <c r="G1" s="297"/>
      <c r="H1" s="297"/>
      <c r="I1" s="298"/>
    </row>
    <row r="2" spans="1:9" x14ac:dyDescent="0.3">
      <c r="A2" s="299" t="s">
        <v>1</v>
      </c>
      <c r="B2" s="300"/>
      <c r="C2" s="301" t="s">
        <v>239</v>
      </c>
      <c r="D2" s="302"/>
      <c r="E2" s="303" t="s">
        <v>77</v>
      </c>
      <c r="F2" s="305" t="s">
        <v>2</v>
      </c>
      <c r="G2" s="306"/>
      <c r="H2" s="307" t="s">
        <v>76</v>
      </c>
      <c r="I2" s="308"/>
    </row>
    <row r="3" spans="1:9" x14ac:dyDescent="0.3">
      <c r="A3" s="309" t="s">
        <v>3</v>
      </c>
      <c r="B3" s="310"/>
      <c r="C3" s="4" t="s">
        <v>240</v>
      </c>
      <c r="D3" s="5" t="s">
        <v>4</v>
      </c>
      <c r="E3" s="304"/>
      <c r="F3" s="311" t="s">
        <v>241</v>
      </c>
      <c r="G3" s="312"/>
      <c r="H3" s="313">
        <f>G11+'3일'!H3:I3</f>
        <v>7988100</v>
      </c>
      <c r="I3" s="314"/>
    </row>
    <row r="4" spans="1:9" ht="7.5" customHeight="1" x14ac:dyDescent="0.3">
      <c r="A4" s="315"/>
      <c r="B4" s="316"/>
      <c r="C4" s="316"/>
      <c r="D4" s="316"/>
      <c r="E4" s="316"/>
      <c r="F4" s="316"/>
      <c r="G4" s="316"/>
      <c r="H4" s="316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242</v>
      </c>
      <c r="F6" s="15" t="s">
        <v>243</v>
      </c>
      <c r="G6" s="16" t="s">
        <v>244</v>
      </c>
      <c r="H6" s="17">
        <v>0.25</v>
      </c>
      <c r="I6" s="18">
        <v>0.25</v>
      </c>
    </row>
    <row r="7" spans="1:9" ht="7.5" customHeight="1" x14ac:dyDescent="0.3">
      <c r="A7" s="315"/>
      <c r="B7" s="316"/>
      <c r="C7" s="316"/>
      <c r="D7" s="316"/>
      <c r="E7" s="316"/>
      <c r="F7" s="316"/>
      <c r="G7" s="316"/>
      <c r="H7" s="316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79" t="s">
        <v>10</v>
      </c>
      <c r="B9" s="317" t="s">
        <v>11</v>
      </c>
      <c r="C9" s="320" t="s">
        <v>68</v>
      </c>
      <c r="D9" s="303"/>
      <c r="E9" s="303" t="s">
        <v>67</v>
      </c>
      <c r="F9" s="303"/>
      <c r="G9" s="303" t="s">
        <v>69</v>
      </c>
      <c r="H9" s="303"/>
      <c r="I9" s="373" t="s">
        <v>78</v>
      </c>
    </row>
    <row r="10" spans="1:9" ht="18" customHeight="1" x14ac:dyDescent="0.3">
      <c r="A10" s="380"/>
      <c r="B10" s="318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74"/>
    </row>
    <row r="11" spans="1:9" ht="17.25" thickBot="1" x14ac:dyDescent="0.35">
      <c r="A11" s="381"/>
      <c r="B11" s="319"/>
      <c r="C11" s="101">
        <v>1955600</v>
      </c>
      <c r="D11" s="102">
        <v>146</v>
      </c>
      <c r="E11" s="109">
        <f>SUM(E55:I56)</f>
        <v>581400</v>
      </c>
      <c r="F11" s="109">
        <f>SUM(E53:I54)</f>
        <v>8</v>
      </c>
      <c r="G11" s="110">
        <f>C11+E11</f>
        <v>2537000</v>
      </c>
      <c r="H11" s="110">
        <f>D11+F11</f>
        <v>154</v>
      </c>
      <c r="I11" s="111">
        <f>G11/H11</f>
        <v>16474.025974025975</v>
      </c>
    </row>
    <row r="12" spans="1:9" ht="30" customHeight="1" x14ac:dyDescent="0.3">
      <c r="A12" s="321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24" t="s">
        <v>19</v>
      </c>
      <c r="G12" s="325"/>
      <c r="H12" s="158" t="s">
        <v>20</v>
      </c>
      <c r="I12" s="100" t="s">
        <v>21</v>
      </c>
    </row>
    <row r="13" spans="1:9" ht="17.25" customHeight="1" x14ac:dyDescent="0.3">
      <c r="A13" s="322"/>
      <c r="B13" s="21" t="s">
        <v>23</v>
      </c>
      <c r="C13" s="22">
        <v>43</v>
      </c>
      <c r="D13" s="23">
        <v>1</v>
      </c>
      <c r="E13" s="22"/>
      <c r="F13" s="24"/>
      <c r="G13" s="25"/>
      <c r="H13" s="23"/>
      <c r="I13" s="26">
        <f>C13-D13-D14*1/2-E13-E14*1/2+F13-H13-H14*1/2-I14*1/2</f>
        <v>41</v>
      </c>
    </row>
    <row r="14" spans="1:9" ht="17.25" customHeight="1" x14ac:dyDescent="0.3">
      <c r="A14" s="322"/>
      <c r="B14" s="27" t="s">
        <v>24</v>
      </c>
      <c r="C14" s="28"/>
      <c r="D14" s="29"/>
      <c r="E14" s="30">
        <v>1</v>
      </c>
      <c r="F14" s="31"/>
      <c r="G14" s="25"/>
      <c r="H14" s="29">
        <v>1</v>
      </c>
      <c r="I14" s="32"/>
    </row>
    <row r="15" spans="1:9" ht="17.25" customHeight="1" x14ac:dyDescent="0.3">
      <c r="A15" s="322"/>
      <c r="B15" s="27" t="s">
        <v>25</v>
      </c>
      <c r="C15" s="33">
        <v>17</v>
      </c>
      <c r="D15" s="29"/>
      <c r="E15" s="30"/>
      <c r="F15" s="34"/>
      <c r="G15" s="25"/>
      <c r="H15" s="29"/>
      <c r="I15" s="35">
        <f>C15-D15-D16*1/2-E15-E16*1/2+F15-H15-H16*1/2-I16*1/2</f>
        <v>16.5</v>
      </c>
    </row>
    <row r="16" spans="1:9" ht="17.25" customHeight="1" x14ac:dyDescent="0.3">
      <c r="A16" s="322"/>
      <c r="B16" s="27" t="s">
        <v>26</v>
      </c>
      <c r="C16" s="28"/>
      <c r="D16" s="29"/>
      <c r="E16" s="30"/>
      <c r="F16" s="31"/>
      <c r="G16" s="25"/>
      <c r="H16" s="29">
        <v>1</v>
      </c>
      <c r="I16" s="36"/>
    </row>
    <row r="17" spans="1:9" ht="17.25" customHeight="1" x14ac:dyDescent="0.3">
      <c r="A17" s="322"/>
      <c r="B17" s="27" t="s">
        <v>27</v>
      </c>
      <c r="C17" s="33">
        <v>20</v>
      </c>
      <c r="D17" s="29"/>
      <c r="E17" s="30"/>
      <c r="F17" s="34"/>
      <c r="G17" s="118"/>
      <c r="H17" s="29"/>
      <c r="I17" s="37">
        <f>C17-D17-D18*1/2-E17-E18*1/2+F17-H17-H18*1/2-I18*1/2</f>
        <v>19.5</v>
      </c>
    </row>
    <row r="18" spans="1:9" ht="17.25" customHeight="1" x14ac:dyDescent="0.3">
      <c r="A18" s="322"/>
      <c r="B18" s="27" t="s">
        <v>28</v>
      </c>
      <c r="C18" s="28"/>
      <c r="D18" s="29"/>
      <c r="E18" s="30">
        <v>1</v>
      </c>
      <c r="F18" s="31"/>
      <c r="G18" s="25"/>
      <c r="H18" s="29"/>
      <c r="I18" s="36"/>
    </row>
    <row r="19" spans="1:9" ht="17.25" customHeight="1" x14ac:dyDescent="0.3">
      <c r="A19" s="322"/>
      <c r="B19" s="27" t="s">
        <v>29</v>
      </c>
      <c r="C19" s="33">
        <v>13</v>
      </c>
      <c r="D19" s="29">
        <v>5</v>
      </c>
      <c r="E19" s="30"/>
      <c r="F19" s="34"/>
      <c r="G19" s="25"/>
      <c r="H19" s="29"/>
      <c r="I19" s="35">
        <f>C19-D19-D20*1/2-E19-E20*1/2+F19-H19-H20*1/2-I20*1/2</f>
        <v>8</v>
      </c>
    </row>
    <row r="20" spans="1:9" ht="17.25" customHeight="1" x14ac:dyDescent="0.3">
      <c r="A20" s="322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22"/>
      <c r="B21" s="39" t="s">
        <v>31</v>
      </c>
      <c r="C21" s="40">
        <v>90</v>
      </c>
      <c r="D21" s="41"/>
      <c r="E21" s="42">
        <v>2</v>
      </c>
      <c r="F21" s="43"/>
      <c r="G21" s="44"/>
      <c r="H21" s="43">
        <v>1</v>
      </c>
      <c r="I21" s="45">
        <f t="shared" ref="I21:I48" si="0">C21-D21-E21+F21-H21</f>
        <v>87</v>
      </c>
    </row>
    <row r="22" spans="1:9" ht="17.25" customHeight="1" x14ac:dyDescent="0.3">
      <c r="A22" s="322"/>
      <c r="B22" s="21" t="s">
        <v>32</v>
      </c>
      <c r="C22" s="46">
        <v>35</v>
      </c>
      <c r="D22" s="23">
        <v>2</v>
      </c>
      <c r="E22" s="47">
        <v>1</v>
      </c>
      <c r="F22" s="48"/>
      <c r="G22" s="25"/>
      <c r="H22" s="48">
        <v>10</v>
      </c>
      <c r="I22" s="49">
        <f t="shared" si="0"/>
        <v>22</v>
      </c>
    </row>
    <row r="23" spans="1:9" ht="17.25" customHeight="1" x14ac:dyDescent="0.3">
      <c r="A23" s="322"/>
      <c r="B23" s="27" t="s">
        <v>33</v>
      </c>
      <c r="C23" s="33">
        <v>122</v>
      </c>
      <c r="D23" s="29">
        <v>4</v>
      </c>
      <c r="E23" s="50">
        <v>3</v>
      </c>
      <c r="F23" s="51"/>
      <c r="G23" s="25"/>
      <c r="H23" s="51">
        <v>11</v>
      </c>
      <c r="I23" s="52">
        <f>C23-D23-D24-E23-E24+F23+F24-H23-H24-I24</f>
        <v>103</v>
      </c>
    </row>
    <row r="24" spans="1:9" ht="17.25" customHeight="1" x14ac:dyDescent="0.3">
      <c r="A24" s="322"/>
      <c r="B24" s="160" t="s">
        <v>34</v>
      </c>
      <c r="C24" s="53"/>
      <c r="D24" s="41"/>
      <c r="E24" s="42">
        <v>1</v>
      </c>
      <c r="F24" s="43"/>
      <c r="G24" s="113"/>
      <c r="H24" s="43"/>
      <c r="I24" s="54"/>
    </row>
    <row r="25" spans="1:9" ht="17.25" customHeight="1" x14ac:dyDescent="0.3">
      <c r="A25" s="322"/>
      <c r="B25" s="21" t="s">
        <v>35</v>
      </c>
      <c r="C25" s="46">
        <v>25</v>
      </c>
      <c r="D25" s="23">
        <v>2</v>
      </c>
      <c r="E25" s="47"/>
      <c r="F25" s="48"/>
      <c r="G25" s="112"/>
      <c r="H25" s="48"/>
      <c r="I25" s="49">
        <f t="shared" si="0"/>
        <v>23</v>
      </c>
    </row>
    <row r="26" spans="1:9" ht="17.25" customHeight="1" x14ac:dyDescent="0.3">
      <c r="A26" s="322"/>
      <c r="B26" s="160" t="s">
        <v>36</v>
      </c>
      <c r="C26" s="55">
        <v>22</v>
      </c>
      <c r="D26" s="41">
        <v>1</v>
      </c>
      <c r="E26" s="42"/>
      <c r="F26" s="43"/>
      <c r="G26" s="113"/>
      <c r="H26" s="43"/>
      <c r="I26" s="45">
        <f t="shared" si="0"/>
        <v>21</v>
      </c>
    </row>
    <row r="27" spans="1:9" ht="17.25" customHeight="1" x14ac:dyDescent="0.3">
      <c r="A27" s="322"/>
      <c r="B27" s="21" t="s">
        <v>37</v>
      </c>
      <c r="C27" s="46">
        <v>37</v>
      </c>
      <c r="D27" s="23"/>
      <c r="E27" s="47">
        <v>2</v>
      </c>
      <c r="F27" s="48"/>
      <c r="G27" s="112"/>
      <c r="H27" s="48">
        <v>7</v>
      </c>
      <c r="I27" s="49">
        <f t="shared" si="0"/>
        <v>28</v>
      </c>
    </row>
    <row r="28" spans="1:9" ht="17.25" customHeight="1" x14ac:dyDescent="0.3">
      <c r="A28" s="322"/>
      <c r="B28" s="160" t="s">
        <v>38</v>
      </c>
      <c r="C28" s="55">
        <v>27</v>
      </c>
      <c r="D28" s="41">
        <v>2</v>
      </c>
      <c r="E28" s="42">
        <v>1</v>
      </c>
      <c r="F28" s="43"/>
      <c r="G28" s="113"/>
      <c r="H28" s="43"/>
      <c r="I28" s="45">
        <f t="shared" si="0"/>
        <v>24</v>
      </c>
    </row>
    <row r="29" spans="1:9" ht="17.25" customHeight="1" x14ac:dyDescent="0.3">
      <c r="A29" s="322"/>
      <c r="B29" s="21" t="s">
        <v>39</v>
      </c>
      <c r="C29" s="46">
        <v>5</v>
      </c>
      <c r="D29" s="23"/>
      <c r="E29" s="47"/>
      <c r="F29" s="48"/>
      <c r="G29" s="25"/>
      <c r="H29" s="48"/>
      <c r="I29" s="49">
        <f t="shared" si="0"/>
        <v>5</v>
      </c>
    </row>
    <row r="30" spans="1:9" ht="17.25" customHeight="1" x14ac:dyDescent="0.3">
      <c r="A30" s="322"/>
      <c r="B30" s="56" t="s">
        <v>40</v>
      </c>
      <c r="C30" s="57">
        <v>61</v>
      </c>
      <c r="D30" s="29">
        <v>1</v>
      </c>
      <c r="E30" s="50"/>
      <c r="F30" s="51"/>
      <c r="G30" s="25"/>
      <c r="H30" s="51"/>
      <c r="I30" s="52">
        <f>C30-D30-D31-E30-E31+F30+F31-H30-H31-I31</f>
        <v>60</v>
      </c>
    </row>
    <row r="31" spans="1:9" ht="17.25" customHeight="1" x14ac:dyDescent="0.3">
      <c r="A31" s="322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22"/>
      <c r="B32" s="179" t="s">
        <v>117</v>
      </c>
      <c r="C32" s="184"/>
      <c r="D32" s="23"/>
      <c r="E32" s="47"/>
      <c r="F32" s="48"/>
      <c r="G32" s="116"/>
      <c r="H32" s="48"/>
      <c r="I32" s="187">
        <v>2</v>
      </c>
    </row>
    <row r="33" spans="1:9" ht="17.25" customHeight="1" x14ac:dyDescent="0.3">
      <c r="A33" s="322"/>
      <c r="B33" s="179" t="s">
        <v>119</v>
      </c>
      <c r="C33" s="185"/>
      <c r="D33" s="29"/>
      <c r="E33" s="50"/>
      <c r="F33" s="51"/>
      <c r="G33" s="25"/>
      <c r="H33" s="51"/>
      <c r="I33" s="188">
        <v>4</v>
      </c>
    </row>
    <row r="34" spans="1:9" ht="17.25" customHeight="1" x14ac:dyDescent="0.3">
      <c r="A34" s="322"/>
      <c r="B34" s="179" t="s">
        <v>121</v>
      </c>
      <c r="C34" s="186"/>
      <c r="D34" s="60"/>
      <c r="E34" s="61"/>
      <c r="F34" s="62"/>
      <c r="G34" s="113"/>
      <c r="H34" s="62">
        <v>1</v>
      </c>
      <c r="I34" s="189">
        <v>1</v>
      </c>
    </row>
    <row r="35" spans="1:9" ht="17.25" customHeight="1" x14ac:dyDescent="0.3">
      <c r="A35" s="322"/>
      <c r="B35" s="191" t="s">
        <v>79</v>
      </c>
      <c r="C35" s="284"/>
      <c r="D35" s="23"/>
      <c r="E35" s="47">
        <v>3</v>
      </c>
      <c r="F35" s="48"/>
      <c r="G35" s="116"/>
      <c r="H35" s="48"/>
      <c r="I35" s="282">
        <v>29</v>
      </c>
    </row>
    <row r="36" spans="1:9" ht="17.25" customHeight="1" x14ac:dyDescent="0.3">
      <c r="A36" s="322"/>
      <c r="B36" s="153" t="s">
        <v>80</v>
      </c>
      <c r="C36" s="121">
        <v>15</v>
      </c>
      <c r="D36" s="122"/>
      <c r="E36" s="123"/>
      <c r="F36" s="124"/>
      <c r="G36" s="112"/>
      <c r="H36" s="124"/>
      <c r="I36" s="52">
        <f>C36-D36-E36+F36-H36</f>
        <v>15</v>
      </c>
    </row>
    <row r="37" spans="1:9" ht="17.25" customHeight="1" x14ac:dyDescent="0.3">
      <c r="A37" s="322"/>
      <c r="B37" s="163" t="s">
        <v>107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22"/>
      <c r="B38" s="178" t="s">
        <v>131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22"/>
      <c r="B39" s="178" t="s">
        <v>109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22"/>
      <c r="B40" s="178" t="s">
        <v>133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22"/>
      <c r="B41" s="178" t="s">
        <v>111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22"/>
      <c r="B42" s="178" t="s">
        <v>135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22"/>
      <c r="B43" s="178" t="s">
        <v>113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22"/>
      <c r="B44" s="178" t="s">
        <v>125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22"/>
      <c r="B45" s="164" t="s">
        <v>115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22"/>
      <c r="B46" s="120" t="s">
        <v>89</v>
      </c>
      <c r="C46" s="154">
        <v>14</v>
      </c>
      <c r="D46" s="23"/>
      <c r="E46" s="47"/>
      <c r="F46" s="48"/>
      <c r="G46" s="116"/>
      <c r="H46" s="48"/>
      <c r="I46" s="49">
        <f t="shared" si="0"/>
        <v>14</v>
      </c>
    </row>
    <row r="47" spans="1:9" ht="17.25" customHeight="1" x14ac:dyDescent="0.3">
      <c r="A47" s="322"/>
      <c r="B47" s="120" t="s">
        <v>88</v>
      </c>
      <c r="C47" s="121">
        <v>8</v>
      </c>
      <c r="D47" s="122"/>
      <c r="E47" s="123"/>
      <c r="F47" s="124"/>
      <c r="G47" s="112"/>
      <c r="H47" s="124"/>
      <c r="I47" s="52">
        <f t="shared" si="0"/>
        <v>8</v>
      </c>
    </row>
    <row r="48" spans="1:9" ht="17.25" customHeight="1" x14ac:dyDescent="0.3">
      <c r="A48" s="322"/>
      <c r="B48" s="56" t="s">
        <v>123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22"/>
      <c r="B49" s="179" t="s">
        <v>127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22"/>
      <c r="B50" s="58" t="s">
        <v>129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23"/>
      <c r="B51" s="64" t="s">
        <v>42</v>
      </c>
      <c r="C51" s="65">
        <f>SUM(C13:C50)</f>
        <v>554</v>
      </c>
      <c r="D51" s="66">
        <f>SUM(D13:D46)</f>
        <v>18</v>
      </c>
      <c r="E51" s="67">
        <f>SUM(E13:E46)</f>
        <v>15</v>
      </c>
      <c r="F51" s="67">
        <f>SUM(F13:F46)</f>
        <v>0</v>
      </c>
      <c r="G51" s="68" t="s">
        <v>22</v>
      </c>
      <c r="H51" s="69">
        <f>SUM(H13:H46)</f>
        <v>32</v>
      </c>
      <c r="I51" s="70">
        <f>SUM(I13:I46)</f>
        <v>523</v>
      </c>
    </row>
    <row r="52" spans="1:10" ht="17.25" customHeight="1" x14ac:dyDescent="0.3">
      <c r="A52" s="326" t="s">
        <v>72</v>
      </c>
      <c r="B52" s="327"/>
      <c r="C52" s="71"/>
      <c r="D52" s="72" t="s">
        <v>163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28"/>
      <c r="B53" s="329"/>
      <c r="C53" s="332" t="s">
        <v>74</v>
      </c>
      <c r="D53" s="334">
        <v>1</v>
      </c>
      <c r="E53" s="336">
        <v>1</v>
      </c>
      <c r="F53" s="336">
        <v>1</v>
      </c>
      <c r="G53" s="336">
        <v>4</v>
      </c>
      <c r="H53" s="336"/>
      <c r="I53" s="339">
        <v>2</v>
      </c>
      <c r="J53" s="174"/>
    </row>
    <row r="54" spans="1:10" s="76" customFormat="1" ht="17.25" customHeight="1" x14ac:dyDescent="0.3">
      <c r="A54" s="328"/>
      <c r="B54" s="329"/>
      <c r="C54" s="333"/>
      <c r="D54" s="335"/>
      <c r="E54" s="337"/>
      <c r="F54" s="337"/>
      <c r="G54" s="337"/>
      <c r="H54" s="338"/>
      <c r="I54" s="340"/>
    </row>
    <row r="55" spans="1:10" s="76" customFormat="1" ht="17.25" customHeight="1" x14ac:dyDescent="0.3">
      <c r="A55" s="328"/>
      <c r="B55" s="329"/>
      <c r="C55" s="332" t="s">
        <v>75</v>
      </c>
      <c r="D55" s="334">
        <v>46000</v>
      </c>
      <c r="E55" s="343">
        <v>23800</v>
      </c>
      <c r="F55" s="343">
        <v>25100</v>
      </c>
      <c r="G55" s="343">
        <v>47100</v>
      </c>
      <c r="H55" s="336"/>
      <c r="I55" s="347">
        <v>485400</v>
      </c>
    </row>
    <row r="56" spans="1:10" s="76" customFormat="1" ht="17.25" customHeight="1" thickBot="1" x14ac:dyDescent="0.35">
      <c r="A56" s="330"/>
      <c r="B56" s="331"/>
      <c r="C56" s="341"/>
      <c r="D56" s="342"/>
      <c r="E56" s="344"/>
      <c r="F56" s="344"/>
      <c r="G56" s="344"/>
      <c r="H56" s="344"/>
      <c r="I56" s="348"/>
    </row>
    <row r="57" spans="1:10" s="76" customFormat="1" ht="17.25" customHeight="1" x14ac:dyDescent="0.3">
      <c r="A57" s="326" t="s">
        <v>45</v>
      </c>
      <c r="B57" s="327"/>
      <c r="C57" s="349" t="s">
        <v>254</v>
      </c>
      <c r="D57" s="350"/>
      <c r="E57" s="350"/>
      <c r="F57" s="350"/>
      <c r="G57" s="350"/>
      <c r="H57" s="350"/>
      <c r="I57" s="351"/>
    </row>
    <row r="58" spans="1:10" s="76" customFormat="1" ht="17.25" customHeight="1" x14ac:dyDescent="0.3">
      <c r="A58" s="328"/>
      <c r="B58" s="329"/>
      <c r="C58" s="352"/>
      <c r="D58" s="352"/>
      <c r="E58" s="352"/>
      <c r="F58" s="352"/>
      <c r="G58" s="352"/>
      <c r="H58" s="352"/>
      <c r="I58" s="353"/>
    </row>
    <row r="59" spans="1:10" s="76" customFormat="1" ht="17.25" customHeight="1" x14ac:dyDescent="0.3">
      <c r="A59" s="328"/>
      <c r="B59" s="329"/>
      <c r="C59" s="354"/>
      <c r="D59" s="352"/>
      <c r="E59" s="352"/>
      <c r="F59" s="352"/>
      <c r="G59" s="352"/>
      <c r="H59" s="352"/>
      <c r="I59" s="353"/>
    </row>
    <row r="60" spans="1:10" s="76" customFormat="1" ht="17.25" customHeight="1" thickBot="1" x14ac:dyDescent="0.35">
      <c r="A60" s="330"/>
      <c r="B60" s="331"/>
      <c r="C60" s="345"/>
      <c r="D60" s="345"/>
      <c r="E60" s="345"/>
      <c r="F60" s="345"/>
      <c r="G60" s="345"/>
      <c r="H60" s="345"/>
      <c r="I60" s="346"/>
    </row>
    <row r="61" spans="1:10" s="76" customFormat="1" ht="17.25" customHeight="1" x14ac:dyDescent="0.3">
      <c r="A61" s="326" t="s">
        <v>73</v>
      </c>
      <c r="B61" s="327"/>
      <c r="C61" s="389" t="s">
        <v>245</v>
      </c>
      <c r="D61" s="368"/>
      <c r="E61" s="368"/>
      <c r="F61" s="368"/>
      <c r="G61" s="368"/>
      <c r="H61" s="368"/>
      <c r="I61" s="369"/>
    </row>
    <row r="62" spans="1:10" s="76" customFormat="1" ht="17.25" customHeight="1" x14ac:dyDescent="0.3">
      <c r="A62" s="328"/>
      <c r="B62" s="329"/>
      <c r="C62" s="354" t="s">
        <v>255</v>
      </c>
      <c r="D62" s="352"/>
      <c r="E62" s="352"/>
      <c r="F62" s="352"/>
      <c r="G62" s="352"/>
      <c r="H62" s="352"/>
      <c r="I62" s="353"/>
    </row>
    <row r="63" spans="1:10" s="76" customFormat="1" ht="17.25" customHeight="1" x14ac:dyDescent="0.3">
      <c r="A63" s="328"/>
      <c r="B63" s="329"/>
      <c r="C63" s="393" t="s">
        <v>256</v>
      </c>
      <c r="D63" s="394"/>
      <c r="E63" s="394"/>
      <c r="F63" s="394"/>
      <c r="G63" s="394"/>
      <c r="H63" s="394"/>
      <c r="I63" s="395"/>
    </row>
    <row r="64" spans="1:10" s="76" customFormat="1" ht="17.25" customHeight="1" thickBot="1" x14ac:dyDescent="0.35">
      <c r="A64" s="330"/>
      <c r="B64" s="331"/>
      <c r="C64" s="345"/>
      <c r="D64" s="345"/>
      <c r="E64" s="345"/>
      <c r="F64" s="345"/>
      <c r="G64" s="345"/>
      <c r="H64" s="345"/>
      <c r="I64" s="346"/>
    </row>
    <row r="65" spans="1:9" s="76" customFormat="1" ht="17.25" customHeight="1" x14ac:dyDescent="0.3">
      <c r="A65" s="363" t="s">
        <v>46</v>
      </c>
      <c r="B65" s="366" t="s">
        <v>47</v>
      </c>
      <c r="C65" s="368"/>
      <c r="D65" s="368"/>
      <c r="E65" s="368"/>
      <c r="F65" s="368"/>
      <c r="G65" s="368"/>
      <c r="H65" s="368"/>
      <c r="I65" s="369"/>
    </row>
    <row r="66" spans="1:9" s="76" customFormat="1" ht="17.25" customHeight="1" x14ac:dyDescent="0.3">
      <c r="A66" s="364"/>
      <c r="B66" s="367"/>
      <c r="C66" s="350"/>
      <c r="D66" s="350"/>
      <c r="E66" s="350"/>
      <c r="F66" s="350"/>
      <c r="G66" s="350"/>
      <c r="H66" s="350"/>
      <c r="I66" s="351"/>
    </row>
    <row r="67" spans="1:9" s="76" customFormat="1" ht="17.25" customHeight="1" x14ac:dyDescent="0.3">
      <c r="A67" s="364"/>
      <c r="B67" s="370" t="s">
        <v>48</v>
      </c>
      <c r="C67" s="352"/>
      <c r="D67" s="352"/>
      <c r="E67" s="352"/>
      <c r="F67" s="352"/>
      <c r="G67" s="352"/>
      <c r="H67" s="352"/>
      <c r="I67" s="353"/>
    </row>
    <row r="68" spans="1:9" s="76" customFormat="1" ht="17.25" customHeight="1" x14ac:dyDescent="0.3">
      <c r="A68" s="364"/>
      <c r="B68" s="367"/>
      <c r="C68" s="350"/>
      <c r="D68" s="350"/>
      <c r="E68" s="350"/>
      <c r="F68" s="350"/>
      <c r="G68" s="350"/>
      <c r="H68" s="350"/>
      <c r="I68" s="351"/>
    </row>
    <row r="69" spans="1:9" s="76" customFormat="1" ht="17.25" customHeight="1" thickBot="1" x14ac:dyDescent="0.35">
      <c r="A69" s="365"/>
      <c r="B69" s="371"/>
      <c r="C69" s="362"/>
      <c r="D69" s="345"/>
      <c r="E69" s="345"/>
      <c r="F69" s="345"/>
      <c r="G69" s="345"/>
      <c r="H69" s="345"/>
      <c r="I69" s="346"/>
    </row>
    <row r="70" spans="1:9" s="76" customFormat="1" ht="17.25" customHeight="1" x14ac:dyDescent="0.3">
      <c r="A70" s="326" t="s">
        <v>49</v>
      </c>
      <c r="B70" s="327"/>
      <c r="C70" s="350" t="s">
        <v>246</v>
      </c>
      <c r="D70" s="350"/>
      <c r="E70" s="350"/>
      <c r="F70" s="350"/>
      <c r="G70" s="350"/>
      <c r="H70" s="350"/>
      <c r="I70" s="351"/>
    </row>
    <row r="71" spans="1:9" s="76" customFormat="1" ht="17.25" customHeight="1" x14ac:dyDescent="0.3">
      <c r="A71" s="328"/>
      <c r="B71" s="329"/>
      <c r="C71" s="350" t="s">
        <v>253</v>
      </c>
      <c r="D71" s="350"/>
      <c r="E71" s="350"/>
      <c r="F71" s="350"/>
      <c r="G71" s="350"/>
      <c r="H71" s="350"/>
      <c r="I71" s="351"/>
    </row>
    <row r="72" spans="1:9" s="76" customFormat="1" ht="17.25" customHeight="1" thickBot="1" x14ac:dyDescent="0.35">
      <c r="A72" s="330"/>
      <c r="B72" s="331"/>
      <c r="C72" s="362"/>
      <c r="D72" s="345"/>
      <c r="E72" s="345"/>
      <c r="F72" s="345"/>
      <c r="G72" s="345"/>
      <c r="H72" s="345"/>
      <c r="I72" s="346"/>
    </row>
    <row r="73" spans="1:9" s="76" customFormat="1" ht="17.25" customHeight="1" x14ac:dyDescent="0.3">
      <c r="A73" s="326" t="s">
        <v>50</v>
      </c>
      <c r="B73" s="327"/>
      <c r="C73" s="389" t="s">
        <v>174</v>
      </c>
      <c r="D73" s="368"/>
      <c r="E73" s="368"/>
      <c r="F73" s="368"/>
      <c r="G73" s="368"/>
      <c r="H73" s="368"/>
      <c r="I73" s="369"/>
    </row>
    <row r="74" spans="1:9" s="76" customFormat="1" ht="17.25" customHeight="1" thickBot="1" x14ac:dyDescent="0.35">
      <c r="A74" s="330"/>
      <c r="B74" s="331"/>
      <c r="C74" s="354"/>
      <c r="D74" s="352"/>
      <c r="E74" s="352"/>
      <c r="F74" s="352"/>
      <c r="G74" s="352"/>
      <c r="H74" s="352"/>
      <c r="I74" s="353"/>
    </row>
    <row r="75" spans="1:9" s="76" customFormat="1" ht="17.25" customHeight="1" x14ac:dyDescent="0.3">
      <c r="A75" s="326" t="s">
        <v>51</v>
      </c>
      <c r="B75" s="327"/>
      <c r="C75" s="78" t="s">
        <v>52</v>
      </c>
      <c r="D75" s="79"/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247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248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375" t="s">
        <v>61</v>
      </c>
      <c r="B78" s="376"/>
      <c r="C78" s="382" t="s">
        <v>62</v>
      </c>
      <c r="D78" s="383"/>
      <c r="E78" s="384" t="s">
        <v>63</v>
      </c>
      <c r="F78" s="383"/>
      <c r="G78" s="385" t="s">
        <v>64</v>
      </c>
      <c r="H78" s="386"/>
      <c r="I78" s="90" t="s">
        <v>65</v>
      </c>
    </row>
    <row r="79" spans="1:9" s="76" customFormat="1" ht="17.25" customHeight="1" thickBot="1" x14ac:dyDescent="0.35">
      <c r="A79" s="377"/>
      <c r="B79" s="378"/>
      <c r="C79" s="92">
        <v>0.25</v>
      </c>
      <c r="D79" s="93" t="s">
        <v>249</v>
      </c>
      <c r="E79" s="94">
        <v>0.8125</v>
      </c>
      <c r="F79" s="93" t="s">
        <v>250</v>
      </c>
      <c r="G79" s="387" t="s">
        <v>251</v>
      </c>
      <c r="H79" s="388"/>
      <c r="I79" s="95" t="s">
        <v>252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372" t="s">
        <v>66</v>
      </c>
      <c r="I80" s="372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1:I1"/>
    <mergeCell ref="A2:B2"/>
    <mergeCell ref="C2:D2"/>
    <mergeCell ref="E2:E3"/>
    <mergeCell ref="F2:G2"/>
    <mergeCell ref="H2:I2"/>
    <mergeCell ref="A3:B3"/>
    <mergeCell ref="F3:G3"/>
    <mergeCell ref="H3:I3"/>
    <mergeCell ref="A4:H4"/>
    <mergeCell ref="A7:H7"/>
    <mergeCell ref="A9:A11"/>
    <mergeCell ref="B9:B11"/>
    <mergeCell ref="C9:D9"/>
    <mergeCell ref="E9:F9"/>
    <mergeCell ref="G9:H9"/>
    <mergeCell ref="A12:A51"/>
    <mergeCell ref="A52:B56"/>
    <mergeCell ref="C53:C54"/>
    <mergeCell ref="D53:D54"/>
    <mergeCell ref="E53:E54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zoomScale="90" zoomScaleNormal="90" workbookViewId="0">
      <selection activeCell="L51" sqref="L51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296" t="s">
        <v>0</v>
      </c>
      <c r="B1" s="297"/>
      <c r="C1" s="297"/>
      <c r="D1" s="297"/>
      <c r="E1" s="297"/>
      <c r="F1" s="297"/>
      <c r="G1" s="297"/>
      <c r="H1" s="297"/>
      <c r="I1" s="298"/>
    </row>
    <row r="2" spans="1:9" x14ac:dyDescent="0.3">
      <c r="A2" s="299" t="s">
        <v>1</v>
      </c>
      <c r="B2" s="300"/>
      <c r="C2" s="301" t="s">
        <v>257</v>
      </c>
      <c r="D2" s="302"/>
      <c r="E2" s="303" t="s">
        <v>77</v>
      </c>
      <c r="F2" s="305" t="s">
        <v>2</v>
      </c>
      <c r="G2" s="306"/>
      <c r="H2" s="307" t="s">
        <v>76</v>
      </c>
      <c r="I2" s="308"/>
    </row>
    <row r="3" spans="1:9" x14ac:dyDescent="0.3">
      <c r="A3" s="309" t="s">
        <v>3</v>
      </c>
      <c r="B3" s="310"/>
      <c r="C3" s="4" t="s">
        <v>272</v>
      </c>
      <c r="D3" s="5" t="s">
        <v>4</v>
      </c>
      <c r="E3" s="304"/>
      <c r="F3" s="311" t="s">
        <v>258</v>
      </c>
      <c r="G3" s="312"/>
      <c r="H3" s="313">
        <f>G11+'4일'!H3:I3</f>
        <v>10153300</v>
      </c>
      <c r="I3" s="314"/>
    </row>
    <row r="4" spans="1:9" ht="7.5" customHeight="1" x14ac:dyDescent="0.3">
      <c r="A4" s="315"/>
      <c r="B4" s="316"/>
      <c r="C4" s="316"/>
      <c r="D4" s="316"/>
      <c r="E4" s="316"/>
      <c r="F4" s="316"/>
      <c r="G4" s="316"/>
      <c r="H4" s="316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259</v>
      </c>
      <c r="F6" s="15" t="s">
        <v>260</v>
      </c>
      <c r="G6" s="16" t="s">
        <v>261</v>
      </c>
      <c r="H6" s="17">
        <v>0.26</v>
      </c>
      <c r="I6" s="18">
        <v>0.25</v>
      </c>
    </row>
    <row r="7" spans="1:9" ht="7.5" customHeight="1" x14ac:dyDescent="0.3">
      <c r="A7" s="315"/>
      <c r="B7" s="316"/>
      <c r="C7" s="316"/>
      <c r="D7" s="316"/>
      <c r="E7" s="316"/>
      <c r="F7" s="316"/>
      <c r="G7" s="316"/>
      <c r="H7" s="316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79" t="s">
        <v>10</v>
      </c>
      <c r="B9" s="317" t="s">
        <v>11</v>
      </c>
      <c r="C9" s="320" t="s">
        <v>68</v>
      </c>
      <c r="D9" s="303"/>
      <c r="E9" s="303" t="s">
        <v>67</v>
      </c>
      <c r="F9" s="303"/>
      <c r="G9" s="303" t="s">
        <v>69</v>
      </c>
      <c r="H9" s="303"/>
      <c r="I9" s="373" t="s">
        <v>78</v>
      </c>
    </row>
    <row r="10" spans="1:9" ht="18" customHeight="1" x14ac:dyDescent="0.3">
      <c r="A10" s="380"/>
      <c r="B10" s="318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74"/>
    </row>
    <row r="11" spans="1:9" ht="17.25" thickBot="1" x14ac:dyDescent="0.35">
      <c r="A11" s="381"/>
      <c r="B11" s="319"/>
      <c r="C11" s="101">
        <v>1903400</v>
      </c>
      <c r="D11" s="102">
        <v>151</v>
      </c>
      <c r="E11" s="109">
        <f>SUM(E55:I56)</f>
        <v>261800</v>
      </c>
      <c r="F11" s="109">
        <f>SUM(E53:I54)</f>
        <v>8</v>
      </c>
      <c r="G11" s="110">
        <f>C11+E11</f>
        <v>2165200</v>
      </c>
      <c r="H11" s="110">
        <f>D11+F11</f>
        <v>159</v>
      </c>
      <c r="I11" s="111">
        <f>G11/H11</f>
        <v>13617.610062893082</v>
      </c>
    </row>
    <row r="12" spans="1:9" ht="30" customHeight="1" x14ac:dyDescent="0.3">
      <c r="A12" s="321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24" t="s">
        <v>19</v>
      </c>
      <c r="G12" s="325"/>
      <c r="H12" s="158" t="s">
        <v>20</v>
      </c>
      <c r="I12" s="100" t="s">
        <v>21</v>
      </c>
    </row>
    <row r="13" spans="1:9" ht="17.25" customHeight="1" x14ac:dyDescent="0.3">
      <c r="A13" s="322"/>
      <c r="B13" s="21" t="s">
        <v>23</v>
      </c>
      <c r="C13" s="22">
        <v>19</v>
      </c>
      <c r="D13" s="23">
        <v>1</v>
      </c>
      <c r="E13" s="22"/>
      <c r="F13" s="24"/>
      <c r="G13" s="25"/>
      <c r="H13" s="23"/>
      <c r="I13" s="26">
        <f>C13-D13-D14*1/2-E13-E14*1/2+F13-H13-H14*1/2-I14*1/2</f>
        <v>17.5</v>
      </c>
    </row>
    <row r="14" spans="1:9" ht="17.25" customHeight="1" x14ac:dyDescent="0.3">
      <c r="A14" s="322"/>
      <c r="B14" s="27" t="s">
        <v>24</v>
      </c>
      <c r="C14" s="28"/>
      <c r="D14" s="29"/>
      <c r="E14" s="30">
        <v>1</v>
      </c>
      <c r="F14" s="31"/>
      <c r="G14" s="25"/>
      <c r="H14" s="29"/>
      <c r="I14" s="32"/>
    </row>
    <row r="15" spans="1:9" ht="17.25" customHeight="1" x14ac:dyDescent="0.3">
      <c r="A15" s="322"/>
      <c r="B15" s="27" t="s">
        <v>25</v>
      </c>
      <c r="C15" s="33">
        <v>11</v>
      </c>
      <c r="D15" s="29">
        <v>1</v>
      </c>
      <c r="E15" s="30"/>
      <c r="F15" s="34"/>
      <c r="G15" s="25"/>
      <c r="H15" s="29"/>
      <c r="I15" s="35">
        <f>C15-D15-D16*1/2-E15-E16*1/2+F15-H15-H16*1/2-I16*1/2</f>
        <v>9.5</v>
      </c>
    </row>
    <row r="16" spans="1:9" ht="17.25" customHeight="1" x14ac:dyDescent="0.3">
      <c r="A16" s="322"/>
      <c r="B16" s="27" t="s">
        <v>26</v>
      </c>
      <c r="C16" s="28"/>
      <c r="D16" s="29"/>
      <c r="E16" s="30">
        <v>1</v>
      </c>
      <c r="F16" s="31"/>
      <c r="G16" s="25"/>
      <c r="H16" s="29"/>
      <c r="I16" s="36"/>
    </row>
    <row r="17" spans="1:9" ht="17.25" customHeight="1" x14ac:dyDescent="0.3">
      <c r="A17" s="322"/>
      <c r="B17" s="27" t="s">
        <v>27</v>
      </c>
      <c r="C17" s="33">
        <v>18</v>
      </c>
      <c r="D17" s="29"/>
      <c r="E17" s="30"/>
      <c r="F17" s="34"/>
      <c r="G17" s="118"/>
      <c r="H17" s="29">
        <v>4</v>
      </c>
      <c r="I17" s="37">
        <f>C17-D17-D18*1/2-E17-E18*1/2+F17-H17-H18*1/2-I18*1/2</f>
        <v>11.5</v>
      </c>
    </row>
    <row r="18" spans="1:9" ht="17.25" customHeight="1" x14ac:dyDescent="0.3">
      <c r="A18" s="322"/>
      <c r="B18" s="27" t="s">
        <v>28</v>
      </c>
      <c r="C18" s="28"/>
      <c r="D18" s="29"/>
      <c r="E18" s="30">
        <v>5</v>
      </c>
      <c r="F18" s="31"/>
      <c r="G18" s="25"/>
      <c r="H18" s="29"/>
      <c r="I18" s="36"/>
    </row>
    <row r="19" spans="1:9" ht="17.25" customHeight="1" x14ac:dyDescent="0.3">
      <c r="A19" s="322"/>
      <c r="B19" s="27" t="s">
        <v>29</v>
      </c>
      <c r="C19" s="33">
        <v>12</v>
      </c>
      <c r="D19" s="29"/>
      <c r="E19" s="30"/>
      <c r="F19" s="34"/>
      <c r="G19" s="25"/>
      <c r="H19" s="29"/>
      <c r="I19" s="35">
        <f>C19-D19-D20*1/2-E19-E20*1/2+F19-H19-H20*1/2-I20*1/2</f>
        <v>12</v>
      </c>
    </row>
    <row r="20" spans="1:9" ht="17.25" customHeight="1" x14ac:dyDescent="0.3">
      <c r="A20" s="322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22"/>
      <c r="B21" s="39" t="s">
        <v>31</v>
      </c>
      <c r="C21" s="40">
        <v>71</v>
      </c>
      <c r="D21" s="41"/>
      <c r="E21" s="42"/>
      <c r="F21" s="43"/>
      <c r="G21" s="44"/>
      <c r="H21" s="43">
        <v>11</v>
      </c>
      <c r="I21" s="45">
        <f t="shared" ref="I21:I48" si="0">C21-D21-E21+F21-H21</f>
        <v>60</v>
      </c>
    </row>
    <row r="22" spans="1:9" ht="17.25" customHeight="1" x14ac:dyDescent="0.3">
      <c r="A22" s="322"/>
      <c r="B22" s="21" t="s">
        <v>32</v>
      </c>
      <c r="C22" s="46">
        <v>35</v>
      </c>
      <c r="D22" s="23"/>
      <c r="E22" s="47">
        <v>3</v>
      </c>
      <c r="F22" s="48"/>
      <c r="G22" s="25"/>
      <c r="H22" s="48">
        <v>5</v>
      </c>
      <c r="I22" s="49">
        <f t="shared" si="0"/>
        <v>27</v>
      </c>
    </row>
    <row r="23" spans="1:9" ht="17.25" customHeight="1" x14ac:dyDescent="0.3">
      <c r="A23" s="322"/>
      <c r="B23" s="27" t="s">
        <v>33</v>
      </c>
      <c r="C23" s="33">
        <v>114</v>
      </c>
      <c r="D23" s="29">
        <v>3</v>
      </c>
      <c r="E23" s="50">
        <v>4</v>
      </c>
      <c r="F23" s="51"/>
      <c r="G23" s="25"/>
      <c r="H23" s="51">
        <v>12</v>
      </c>
      <c r="I23" s="52">
        <f>C23-D23-D24-E23-E24+F23+F24-H23-H24-I24</f>
        <v>94</v>
      </c>
    </row>
    <row r="24" spans="1:9" ht="17.25" customHeight="1" x14ac:dyDescent="0.3">
      <c r="A24" s="322"/>
      <c r="B24" s="160" t="s">
        <v>34</v>
      </c>
      <c r="C24" s="53"/>
      <c r="D24" s="41"/>
      <c r="E24" s="42">
        <v>1</v>
      </c>
      <c r="F24" s="43"/>
      <c r="G24" s="113"/>
      <c r="H24" s="43"/>
      <c r="I24" s="54"/>
    </row>
    <row r="25" spans="1:9" ht="17.25" customHeight="1" x14ac:dyDescent="0.3">
      <c r="A25" s="322"/>
      <c r="B25" s="21" t="s">
        <v>35</v>
      </c>
      <c r="C25" s="46">
        <v>26</v>
      </c>
      <c r="D25" s="23">
        <v>2</v>
      </c>
      <c r="E25" s="47"/>
      <c r="F25" s="48"/>
      <c r="G25" s="112"/>
      <c r="H25" s="48">
        <v>14</v>
      </c>
      <c r="I25" s="49">
        <f t="shared" si="0"/>
        <v>10</v>
      </c>
    </row>
    <row r="26" spans="1:9" ht="17.25" customHeight="1" x14ac:dyDescent="0.3">
      <c r="A26" s="322"/>
      <c r="B26" s="160" t="s">
        <v>36</v>
      </c>
      <c r="C26" s="55">
        <v>21</v>
      </c>
      <c r="D26" s="41">
        <v>1</v>
      </c>
      <c r="E26" s="42"/>
      <c r="F26" s="43"/>
      <c r="G26" s="113"/>
      <c r="H26" s="43"/>
      <c r="I26" s="45">
        <f t="shared" si="0"/>
        <v>20</v>
      </c>
    </row>
    <row r="27" spans="1:9" ht="17.25" customHeight="1" x14ac:dyDescent="0.3">
      <c r="A27" s="322"/>
      <c r="B27" s="21" t="s">
        <v>37</v>
      </c>
      <c r="C27" s="46">
        <v>37</v>
      </c>
      <c r="D27" s="23"/>
      <c r="E27" s="47">
        <v>2</v>
      </c>
      <c r="F27" s="48"/>
      <c r="G27" s="112"/>
      <c r="H27" s="48">
        <v>11</v>
      </c>
      <c r="I27" s="49">
        <f t="shared" si="0"/>
        <v>24</v>
      </c>
    </row>
    <row r="28" spans="1:9" ht="17.25" customHeight="1" x14ac:dyDescent="0.3">
      <c r="A28" s="322"/>
      <c r="B28" s="160" t="s">
        <v>38</v>
      </c>
      <c r="C28" s="55">
        <v>28</v>
      </c>
      <c r="D28" s="41"/>
      <c r="E28" s="42">
        <v>3</v>
      </c>
      <c r="F28" s="43"/>
      <c r="G28" s="113"/>
      <c r="H28" s="43">
        <v>5</v>
      </c>
      <c r="I28" s="45">
        <f t="shared" si="0"/>
        <v>20</v>
      </c>
    </row>
    <row r="29" spans="1:9" ht="17.25" customHeight="1" x14ac:dyDescent="0.3">
      <c r="A29" s="322"/>
      <c r="B29" s="21" t="s">
        <v>39</v>
      </c>
      <c r="C29" s="46">
        <v>5</v>
      </c>
      <c r="D29" s="23"/>
      <c r="E29" s="47"/>
      <c r="F29" s="48"/>
      <c r="G29" s="25"/>
      <c r="H29" s="48">
        <v>2</v>
      </c>
      <c r="I29" s="49">
        <f t="shared" si="0"/>
        <v>3</v>
      </c>
    </row>
    <row r="30" spans="1:9" ht="17.25" customHeight="1" x14ac:dyDescent="0.3">
      <c r="A30" s="322"/>
      <c r="B30" s="56" t="s">
        <v>40</v>
      </c>
      <c r="C30" s="57">
        <v>76</v>
      </c>
      <c r="D30" s="29"/>
      <c r="E30" s="50"/>
      <c r="F30" s="51"/>
      <c r="G30" s="25"/>
      <c r="H30" s="51">
        <v>4</v>
      </c>
      <c r="I30" s="52">
        <f>C30-D30-D31-E30-E31+F30+F31-H30-H31-I31</f>
        <v>72</v>
      </c>
    </row>
    <row r="31" spans="1:9" ht="17.25" customHeight="1" x14ac:dyDescent="0.3">
      <c r="A31" s="322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22"/>
      <c r="B32" s="179" t="s">
        <v>117</v>
      </c>
      <c r="C32" s="184"/>
      <c r="D32" s="23"/>
      <c r="E32" s="47"/>
      <c r="F32" s="48"/>
      <c r="G32" s="116"/>
      <c r="H32" s="48"/>
      <c r="I32" s="187">
        <v>2</v>
      </c>
    </row>
    <row r="33" spans="1:9" ht="17.25" customHeight="1" x14ac:dyDescent="0.3">
      <c r="A33" s="322"/>
      <c r="B33" s="179" t="s">
        <v>119</v>
      </c>
      <c r="C33" s="185"/>
      <c r="D33" s="29"/>
      <c r="E33" s="50"/>
      <c r="F33" s="51"/>
      <c r="G33" s="25"/>
      <c r="H33" s="51">
        <v>1</v>
      </c>
      <c r="I33" s="188">
        <v>1</v>
      </c>
    </row>
    <row r="34" spans="1:9" ht="17.25" customHeight="1" x14ac:dyDescent="0.3">
      <c r="A34" s="322"/>
      <c r="B34" s="179" t="s">
        <v>121</v>
      </c>
      <c r="C34" s="186"/>
      <c r="D34" s="60"/>
      <c r="E34" s="61"/>
      <c r="F34" s="62"/>
      <c r="G34" s="113"/>
      <c r="H34" s="62"/>
      <c r="I34" s="189">
        <v>2</v>
      </c>
    </row>
    <row r="35" spans="1:9" ht="17.25" customHeight="1" x14ac:dyDescent="0.3">
      <c r="A35" s="322"/>
      <c r="B35" s="191" t="s">
        <v>79</v>
      </c>
      <c r="C35" s="281"/>
      <c r="D35" s="23"/>
      <c r="E35" s="47"/>
      <c r="F35" s="48"/>
      <c r="G35" s="116"/>
      <c r="H35" s="48"/>
      <c r="I35" s="282">
        <v>23</v>
      </c>
    </row>
    <row r="36" spans="1:9" ht="17.25" customHeight="1" x14ac:dyDescent="0.3">
      <c r="A36" s="322"/>
      <c r="B36" s="153" t="s">
        <v>80</v>
      </c>
      <c r="C36" s="121">
        <v>10</v>
      </c>
      <c r="D36" s="122"/>
      <c r="E36" s="123"/>
      <c r="F36" s="124"/>
      <c r="G36" s="112"/>
      <c r="H36" s="124"/>
      <c r="I36" s="52">
        <f>C36-D36-E36+F36-H36</f>
        <v>10</v>
      </c>
    </row>
    <row r="37" spans="1:9" ht="17.25" customHeight="1" x14ac:dyDescent="0.3">
      <c r="A37" s="322"/>
      <c r="B37" s="163" t="s">
        <v>107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22"/>
      <c r="B38" s="178" t="s">
        <v>131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22"/>
      <c r="B39" s="178" t="s">
        <v>109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22"/>
      <c r="B40" s="178" t="s">
        <v>133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22"/>
      <c r="B41" s="178" t="s">
        <v>111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22"/>
      <c r="B42" s="178" t="s">
        <v>135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22"/>
      <c r="B43" s="178" t="s">
        <v>113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22"/>
      <c r="B44" s="178" t="s">
        <v>125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22"/>
      <c r="B45" s="164" t="s">
        <v>115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22"/>
      <c r="B46" s="120" t="s">
        <v>89</v>
      </c>
      <c r="C46" s="154">
        <v>13</v>
      </c>
      <c r="D46" s="23"/>
      <c r="E46" s="47"/>
      <c r="F46" s="48"/>
      <c r="G46" s="116"/>
      <c r="H46" s="48"/>
      <c r="I46" s="49">
        <f t="shared" si="0"/>
        <v>13</v>
      </c>
    </row>
    <row r="47" spans="1:9" ht="17.25" customHeight="1" x14ac:dyDescent="0.3">
      <c r="A47" s="322"/>
      <c r="B47" s="120" t="s">
        <v>88</v>
      </c>
      <c r="C47" s="121">
        <v>21</v>
      </c>
      <c r="D47" s="122"/>
      <c r="E47" s="123"/>
      <c r="F47" s="124"/>
      <c r="G47" s="112"/>
      <c r="H47" s="124"/>
      <c r="I47" s="52">
        <f t="shared" si="0"/>
        <v>21</v>
      </c>
    </row>
    <row r="48" spans="1:9" ht="17.25" customHeight="1" x14ac:dyDescent="0.3">
      <c r="A48" s="322"/>
      <c r="B48" s="56" t="s">
        <v>123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22"/>
      <c r="B49" s="179" t="s">
        <v>127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22"/>
      <c r="B50" s="58" t="s">
        <v>129</v>
      </c>
      <c r="C50" s="59"/>
      <c r="D50" s="60"/>
      <c r="E50" s="61"/>
      <c r="F50" s="62"/>
      <c r="G50" s="113"/>
      <c r="H50" s="62"/>
      <c r="I50" s="63">
        <v>3</v>
      </c>
    </row>
    <row r="51" spans="1:10" ht="17.25" customHeight="1" thickBot="1" x14ac:dyDescent="0.35">
      <c r="A51" s="323"/>
      <c r="B51" s="64" t="s">
        <v>42</v>
      </c>
      <c r="C51" s="65">
        <f>SUM(C13:C50)</f>
        <v>517</v>
      </c>
      <c r="D51" s="66">
        <f>SUM(D13:D46)</f>
        <v>8</v>
      </c>
      <c r="E51" s="67">
        <f>SUM(E13:E46)</f>
        <v>20</v>
      </c>
      <c r="F51" s="67">
        <f>SUM(F13:F46)</f>
        <v>0</v>
      </c>
      <c r="G51" s="68" t="s">
        <v>22</v>
      </c>
      <c r="H51" s="69">
        <f>SUM(H13:H46)</f>
        <v>69</v>
      </c>
      <c r="I51" s="70">
        <f>SUM(I13:I46)</f>
        <v>431.5</v>
      </c>
    </row>
    <row r="52" spans="1:10" ht="17.25" customHeight="1" x14ac:dyDescent="0.3">
      <c r="A52" s="326" t="s">
        <v>72</v>
      </c>
      <c r="B52" s="327"/>
      <c r="C52" s="71"/>
      <c r="D52" s="72" t="s">
        <v>163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28"/>
      <c r="B53" s="329"/>
      <c r="C53" s="332" t="s">
        <v>74</v>
      </c>
      <c r="D53" s="334"/>
      <c r="E53" s="336"/>
      <c r="F53" s="336"/>
      <c r="G53" s="336">
        <v>7</v>
      </c>
      <c r="H53" s="336"/>
      <c r="I53" s="339">
        <v>1</v>
      </c>
      <c r="J53" s="174"/>
    </row>
    <row r="54" spans="1:10" s="76" customFormat="1" ht="17.25" customHeight="1" x14ac:dyDescent="0.3">
      <c r="A54" s="328"/>
      <c r="B54" s="329"/>
      <c r="C54" s="333"/>
      <c r="D54" s="335"/>
      <c r="E54" s="337"/>
      <c r="F54" s="337"/>
      <c r="G54" s="337"/>
      <c r="H54" s="338"/>
      <c r="I54" s="340"/>
    </row>
    <row r="55" spans="1:10" s="76" customFormat="1" ht="17.25" customHeight="1" x14ac:dyDescent="0.3">
      <c r="A55" s="328"/>
      <c r="B55" s="329"/>
      <c r="C55" s="332" t="s">
        <v>75</v>
      </c>
      <c r="D55" s="334"/>
      <c r="E55" s="343"/>
      <c r="F55" s="343"/>
      <c r="G55" s="343">
        <v>117800</v>
      </c>
      <c r="H55" s="336"/>
      <c r="I55" s="347">
        <v>144000</v>
      </c>
    </row>
    <row r="56" spans="1:10" s="76" customFormat="1" ht="17.25" customHeight="1" thickBot="1" x14ac:dyDescent="0.35">
      <c r="A56" s="330"/>
      <c r="B56" s="331"/>
      <c r="C56" s="341"/>
      <c r="D56" s="342"/>
      <c r="E56" s="344"/>
      <c r="F56" s="344"/>
      <c r="G56" s="344"/>
      <c r="H56" s="344"/>
      <c r="I56" s="348"/>
    </row>
    <row r="57" spans="1:10" s="76" customFormat="1" ht="17.25" customHeight="1" x14ac:dyDescent="0.3">
      <c r="A57" s="326" t="s">
        <v>45</v>
      </c>
      <c r="B57" s="327"/>
      <c r="C57" s="349" t="s">
        <v>275</v>
      </c>
      <c r="D57" s="350"/>
      <c r="E57" s="350"/>
      <c r="F57" s="350"/>
      <c r="G57" s="350"/>
      <c r="H57" s="350"/>
      <c r="I57" s="351"/>
    </row>
    <row r="58" spans="1:10" s="76" customFormat="1" ht="17.25" customHeight="1" x14ac:dyDescent="0.3">
      <c r="A58" s="328"/>
      <c r="B58" s="329"/>
      <c r="C58" s="352" t="s">
        <v>276</v>
      </c>
      <c r="D58" s="352"/>
      <c r="E58" s="352"/>
      <c r="F58" s="352"/>
      <c r="G58" s="352"/>
      <c r="H58" s="352"/>
      <c r="I58" s="353"/>
    </row>
    <row r="59" spans="1:10" s="76" customFormat="1" ht="17.25" customHeight="1" x14ac:dyDescent="0.3">
      <c r="A59" s="328"/>
      <c r="B59" s="329"/>
      <c r="C59" s="354"/>
      <c r="D59" s="352"/>
      <c r="E59" s="352"/>
      <c r="F59" s="352"/>
      <c r="G59" s="352"/>
      <c r="H59" s="352"/>
      <c r="I59" s="353"/>
    </row>
    <row r="60" spans="1:10" s="76" customFormat="1" ht="17.25" customHeight="1" thickBot="1" x14ac:dyDescent="0.35">
      <c r="A60" s="330"/>
      <c r="B60" s="331"/>
      <c r="C60" s="345"/>
      <c r="D60" s="345"/>
      <c r="E60" s="345"/>
      <c r="F60" s="345"/>
      <c r="G60" s="345"/>
      <c r="H60" s="345"/>
      <c r="I60" s="346"/>
    </row>
    <row r="61" spans="1:10" s="76" customFormat="1" ht="17.25" customHeight="1" x14ac:dyDescent="0.3">
      <c r="A61" s="326" t="s">
        <v>73</v>
      </c>
      <c r="B61" s="327"/>
      <c r="C61" s="389" t="s">
        <v>262</v>
      </c>
      <c r="D61" s="368"/>
      <c r="E61" s="368"/>
      <c r="F61" s="368"/>
      <c r="G61" s="368"/>
      <c r="H61" s="368"/>
      <c r="I61" s="369"/>
    </row>
    <row r="62" spans="1:10" s="76" customFormat="1" ht="17.25" customHeight="1" x14ac:dyDescent="0.3">
      <c r="A62" s="328"/>
      <c r="B62" s="329"/>
      <c r="C62" s="354" t="s">
        <v>271</v>
      </c>
      <c r="D62" s="352"/>
      <c r="E62" s="352"/>
      <c r="F62" s="352"/>
      <c r="G62" s="352"/>
      <c r="H62" s="352"/>
      <c r="I62" s="353"/>
    </row>
    <row r="63" spans="1:10" s="76" customFormat="1" ht="17.25" customHeight="1" x14ac:dyDescent="0.3">
      <c r="A63" s="328"/>
      <c r="B63" s="329"/>
      <c r="C63" s="396" t="s">
        <v>273</v>
      </c>
      <c r="D63" s="397"/>
      <c r="E63" s="397"/>
      <c r="F63" s="397"/>
      <c r="G63" s="397"/>
      <c r="H63" s="397"/>
      <c r="I63" s="398"/>
    </row>
    <row r="64" spans="1:10" s="76" customFormat="1" ht="17.25" customHeight="1" thickBot="1" x14ac:dyDescent="0.35">
      <c r="A64" s="330"/>
      <c r="B64" s="331"/>
      <c r="C64" s="399"/>
      <c r="D64" s="400"/>
      <c r="E64" s="400"/>
      <c r="F64" s="400"/>
      <c r="G64" s="400"/>
      <c r="H64" s="400"/>
      <c r="I64" s="401"/>
    </row>
    <row r="65" spans="1:9" s="76" customFormat="1" ht="17.25" customHeight="1" x14ac:dyDescent="0.3">
      <c r="A65" s="363" t="s">
        <v>46</v>
      </c>
      <c r="B65" s="366" t="s">
        <v>47</v>
      </c>
      <c r="C65" s="368" t="s">
        <v>263</v>
      </c>
      <c r="D65" s="368"/>
      <c r="E65" s="368"/>
      <c r="F65" s="368"/>
      <c r="G65" s="368"/>
      <c r="H65" s="368"/>
      <c r="I65" s="369"/>
    </row>
    <row r="66" spans="1:9" s="76" customFormat="1" ht="17.25" customHeight="1" x14ac:dyDescent="0.3">
      <c r="A66" s="364"/>
      <c r="B66" s="367"/>
      <c r="C66" s="350"/>
      <c r="D66" s="350"/>
      <c r="E66" s="350"/>
      <c r="F66" s="350"/>
      <c r="G66" s="350"/>
      <c r="H66" s="350"/>
      <c r="I66" s="351"/>
    </row>
    <row r="67" spans="1:9" s="76" customFormat="1" ht="17.25" customHeight="1" x14ac:dyDescent="0.3">
      <c r="A67" s="364"/>
      <c r="B67" s="370" t="s">
        <v>48</v>
      </c>
      <c r="C67" s="352"/>
      <c r="D67" s="352"/>
      <c r="E67" s="352"/>
      <c r="F67" s="352"/>
      <c r="G67" s="352"/>
      <c r="H67" s="352"/>
      <c r="I67" s="353"/>
    </row>
    <row r="68" spans="1:9" s="76" customFormat="1" ht="17.25" customHeight="1" x14ac:dyDescent="0.3">
      <c r="A68" s="364"/>
      <c r="B68" s="367"/>
      <c r="C68" s="350"/>
      <c r="D68" s="350"/>
      <c r="E68" s="350"/>
      <c r="F68" s="350"/>
      <c r="G68" s="350"/>
      <c r="H68" s="350"/>
      <c r="I68" s="351"/>
    </row>
    <row r="69" spans="1:9" s="76" customFormat="1" ht="17.25" customHeight="1" thickBot="1" x14ac:dyDescent="0.35">
      <c r="A69" s="365"/>
      <c r="B69" s="371"/>
      <c r="C69" s="362"/>
      <c r="D69" s="345"/>
      <c r="E69" s="345"/>
      <c r="F69" s="345"/>
      <c r="G69" s="345"/>
      <c r="H69" s="345"/>
      <c r="I69" s="346"/>
    </row>
    <row r="70" spans="1:9" s="76" customFormat="1" ht="17.25" customHeight="1" x14ac:dyDescent="0.3">
      <c r="A70" s="326" t="s">
        <v>49</v>
      </c>
      <c r="B70" s="327"/>
      <c r="C70" s="350" t="s">
        <v>264</v>
      </c>
      <c r="D70" s="350"/>
      <c r="E70" s="350"/>
      <c r="F70" s="350"/>
      <c r="G70" s="350"/>
      <c r="H70" s="350"/>
      <c r="I70" s="351"/>
    </row>
    <row r="71" spans="1:9" s="76" customFormat="1" ht="17.25" customHeight="1" x14ac:dyDescent="0.3">
      <c r="A71" s="328"/>
      <c r="B71" s="329"/>
      <c r="C71" s="350" t="s">
        <v>265</v>
      </c>
      <c r="D71" s="350"/>
      <c r="E71" s="350"/>
      <c r="F71" s="350"/>
      <c r="G71" s="350"/>
      <c r="H71" s="350"/>
      <c r="I71" s="351"/>
    </row>
    <row r="72" spans="1:9" s="76" customFormat="1" ht="17.25" customHeight="1" thickBot="1" x14ac:dyDescent="0.35">
      <c r="A72" s="330"/>
      <c r="B72" s="331"/>
      <c r="C72" s="362"/>
      <c r="D72" s="345"/>
      <c r="E72" s="345"/>
      <c r="F72" s="345"/>
      <c r="G72" s="345"/>
      <c r="H72" s="345"/>
      <c r="I72" s="346"/>
    </row>
    <row r="73" spans="1:9" s="76" customFormat="1" ht="17.25" customHeight="1" x14ac:dyDescent="0.3">
      <c r="A73" s="326" t="s">
        <v>50</v>
      </c>
      <c r="B73" s="327"/>
      <c r="C73" s="389" t="s">
        <v>274</v>
      </c>
      <c r="D73" s="368"/>
      <c r="E73" s="368"/>
      <c r="F73" s="368"/>
      <c r="G73" s="368"/>
      <c r="H73" s="368"/>
      <c r="I73" s="369"/>
    </row>
    <row r="74" spans="1:9" s="76" customFormat="1" ht="17.25" customHeight="1" thickBot="1" x14ac:dyDescent="0.35">
      <c r="A74" s="330"/>
      <c r="B74" s="331"/>
      <c r="C74" s="354"/>
      <c r="D74" s="352"/>
      <c r="E74" s="352"/>
      <c r="F74" s="352"/>
      <c r="G74" s="352"/>
      <c r="H74" s="352"/>
      <c r="I74" s="353"/>
    </row>
    <row r="75" spans="1:9" s="76" customFormat="1" ht="17.25" customHeight="1" x14ac:dyDescent="0.3">
      <c r="A75" s="326" t="s">
        <v>51</v>
      </c>
      <c r="B75" s="327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266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267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375" t="s">
        <v>61</v>
      </c>
      <c r="B78" s="376"/>
      <c r="C78" s="382" t="s">
        <v>62</v>
      </c>
      <c r="D78" s="383"/>
      <c r="E78" s="384" t="s">
        <v>63</v>
      </c>
      <c r="F78" s="383"/>
      <c r="G78" s="385" t="s">
        <v>64</v>
      </c>
      <c r="H78" s="386"/>
      <c r="I78" s="90" t="s">
        <v>65</v>
      </c>
    </row>
    <row r="79" spans="1:9" s="76" customFormat="1" ht="17.25" customHeight="1" thickBot="1" x14ac:dyDescent="0.35">
      <c r="A79" s="377"/>
      <c r="B79" s="378"/>
      <c r="C79" s="92">
        <v>0.25</v>
      </c>
      <c r="D79" s="93" t="s">
        <v>268</v>
      </c>
      <c r="E79" s="94">
        <v>0.8125</v>
      </c>
      <c r="F79" s="93" t="s">
        <v>269</v>
      </c>
      <c r="G79" s="387" t="s">
        <v>270</v>
      </c>
      <c r="H79" s="388"/>
      <c r="I79" s="95" t="s">
        <v>270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372" t="s">
        <v>66</v>
      </c>
      <c r="I80" s="372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5">
    <mergeCell ref="A1:I1"/>
    <mergeCell ref="A2:B2"/>
    <mergeCell ref="C2:D2"/>
    <mergeCell ref="E2:E3"/>
    <mergeCell ref="F2:G2"/>
    <mergeCell ref="H2:I2"/>
    <mergeCell ref="A3:B3"/>
    <mergeCell ref="F3:G3"/>
    <mergeCell ref="H3:I3"/>
    <mergeCell ref="A4:H4"/>
    <mergeCell ref="A7:H7"/>
    <mergeCell ref="A9:A11"/>
    <mergeCell ref="B9:B11"/>
    <mergeCell ref="C9:D9"/>
    <mergeCell ref="E9:F9"/>
    <mergeCell ref="G9:H9"/>
    <mergeCell ref="C63:I64"/>
    <mergeCell ref="A12:A51"/>
    <mergeCell ref="A52:B56"/>
    <mergeCell ref="C53:C54"/>
    <mergeCell ref="D53:D54"/>
    <mergeCell ref="E53:E54"/>
    <mergeCell ref="A57:B60"/>
    <mergeCell ref="C57:I57"/>
    <mergeCell ref="C58:I58"/>
    <mergeCell ref="A61:B64"/>
    <mergeCell ref="C59:I59"/>
    <mergeCell ref="C60:I60"/>
    <mergeCell ref="C61:I61"/>
    <mergeCell ref="C62:I62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A65:A69"/>
    <mergeCell ref="B65:B66"/>
    <mergeCell ref="B67:B69"/>
    <mergeCell ref="C67:I67"/>
    <mergeCell ref="C68:I68"/>
    <mergeCell ref="C69:I69"/>
    <mergeCell ref="C65:I65"/>
    <mergeCell ref="C66:I66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zoomScale="90" zoomScaleNormal="90" workbookViewId="0">
      <selection activeCell="D11" sqref="D11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296" t="s">
        <v>0</v>
      </c>
      <c r="B1" s="297"/>
      <c r="C1" s="297"/>
      <c r="D1" s="297"/>
      <c r="E1" s="297"/>
      <c r="F1" s="297"/>
      <c r="G1" s="297"/>
      <c r="H1" s="297"/>
      <c r="I1" s="298"/>
    </row>
    <row r="2" spans="1:9" x14ac:dyDescent="0.3">
      <c r="A2" s="299" t="s">
        <v>1</v>
      </c>
      <c r="B2" s="300"/>
      <c r="C2" s="301" t="s">
        <v>277</v>
      </c>
      <c r="D2" s="302"/>
      <c r="E2" s="303" t="s">
        <v>77</v>
      </c>
      <c r="F2" s="305" t="s">
        <v>2</v>
      </c>
      <c r="G2" s="306"/>
      <c r="H2" s="307" t="s">
        <v>76</v>
      </c>
      <c r="I2" s="308"/>
    </row>
    <row r="3" spans="1:9" x14ac:dyDescent="0.3">
      <c r="A3" s="309" t="s">
        <v>3</v>
      </c>
      <c r="B3" s="310"/>
      <c r="C3" s="4" t="s">
        <v>278</v>
      </c>
      <c r="D3" s="5" t="s">
        <v>4</v>
      </c>
      <c r="E3" s="304"/>
      <c r="F3" s="311" t="s">
        <v>279</v>
      </c>
      <c r="G3" s="312"/>
      <c r="H3" s="313">
        <f>G11+'5일'!H3:I3</f>
        <v>12336700</v>
      </c>
      <c r="I3" s="314"/>
    </row>
    <row r="4" spans="1:9" ht="7.5" customHeight="1" x14ac:dyDescent="0.3">
      <c r="A4" s="315"/>
      <c r="B4" s="316"/>
      <c r="C4" s="316"/>
      <c r="D4" s="316"/>
      <c r="E4" s="316"/>
      <c r="F4" s="316"/>
      <c r="G4" s="316"/>
      <c r="H4" s="316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/>
      <c r="F6" s="15" t="s">
        <v>280</v>
      </c>
      <c r="G6" s="16" t="s">
        <v>281</v>
      </c>
      <c r="H6" s="17">
        <v>0.24</v>
      </c>
      <c r="I6" s="18">
        <v>0.25</v>
      </c>
    </row>
    <row r="7" spans="1:9" ht="7.5" customHeight="1" x14ac:dyDescent="0.3">
      <c r="A7" s="315"/>
      <c r="B7" s="316"/>
      <c r="C7" s="316"/>
      <c r="D7" s="316"/>
      <c r="E7" s="316"/>
      <c r="F7" s="316"/>
      <c r="G7" s="316"/>
      <c r="H7" s="316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79" t="s">
        <v>10</v>
      </c>
      <c r="B9" s="317" t="s">
        <v>11</v>
      </c>
      <c r="C9" s="320" t="s">
        <v>68</v>
      </c>
      <c r="D9" s="303"/>
      <c r="E9" s="303" t="s">
        <v>67</v>
      </c>
      <c r="F9" s="303"/>
      <c r="G9" s="303" t="s">
        <v>69</v>
      </c>
      <c r="H9" s="303"/>
      <c r="I9" s="373" t="s">
        <v>78</v>
      </c>
    </row>
    <row r="10" spans="1:9" ht="18" customHeight="1" x14ac:dyDescent="0.3">
      <c r="A10" s="380"/>
      <c r="B10" s="318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74"/>
    </row>
    <row r="11" spans="1:9" ht="17.25" thickBot="1" x14ac:dyDescent="0.35">
      <c r="A11" s="381"/>
      <c r="B11" s="319"/>
      <c r="C11" s="101">
        <v>2004700</v>
      </c>
      <c r="D11" s="102">
        <v>156</v>
      </c>
      <c r="E11" s="109">
        <f>SUM(E55:I56)</f>
        <v>178700</v>
      </c>
      <c r="F11" s="109">
        <f>SUM(E53:I54)</f>
        <v>11</v>
      </c>
      <c r="G11" s="110">
        <f>C11+E11</f>
        <v>2183400</v>
      </c>
      <c r="H11" s="110">
        <f>D11+F11</f>
        <v>167</v>
      </c>
      <c r="I11" s="111">
        <f>G11/H11</f>
        <v>13074.251497005987</v>
      </c>
    </row>
    <row r="12" spans="1:9" ht="30" customHeight="1" x14ac:dyDescent="0.3">
      <c r="A12" s="321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24" t="s">
        <v>19</v>
      </c>
      <c r="G12" s="325"/>
      <c r="H12" s="158" t="s">
        <v>20</v>
      </c>
      <c r="I12" s="100" t="s">
        <v>21</v>
      </c>
    </row>
    <row r="13" spans="1:9" ht="17.25" customHeight="1" x14ac:dyDescent="0.3">
      <c r="A13" s="322"/>
      <c r="B13" s="21" t="s">
        <v>23</v>
      </c>
      <c r="C13" s="22">
        <v>30</v>
      </c>
      <c r="D13" s="23"/>
      <c r="E13" s="22"/>
      <c r="F13" s="24"/>
      <c r="G13" s="25"/>
      <c r="H13" s="23"/>
      <c r="I13" s="26">
        <f>C13-D13-D14*1/2-E13-E14*1/2+F13-H13-H14*1/2-I14*1/2</f>
        <v>30</v>
      </c>
    </row>
    <row r="14" spans="1:9" ht="17.25" customHeight="1" x14ac:dyDescent="0.3">
      <c r="A14" s="322"/>
      <c r="B14" s="27" t="s">
        <v>24</v>
      </c>
      <c r="C14" s="28"/>
      <c r="D14" s="29"/>
      <c r="E14" s="30"/>
      <c r="F14" s="31"/>
      <c r="G14" s="25"/>
      <c r="H14" s="29"/>
      <c r="I14" s="32"/>
    </row>
    <row r="15" spans="1:9" ht="17.25" customHeight="1" x14ac:dyDescent="0.3">
      <c r="A15" s="322"/>
      <c r="B15" s="27" t="s">
        <v>25</v>
      </c>
      <c r="C15" s="33">
        <v>22</v>
      </c>
      <c r="D15" s="29"/>
      <c r="E15" s="30"/>
      <c r="F15" s="34"/>
      <c r="G15" s="25"/>
      <c r="H15" s="29"/>
      <c r="I15" s="35">
        <f>C15-D15-D16*1/2-E15-E16*1/2+F15-H15-H16*1/2-I16*1/2</f>
        <v>21.5</v>
      </c>
    </row>
    <row r="16" spans="1:9" ht="17.25" customHeight="1" x14ac:dyDescent="0.3">
      <c r="A16" s="322"/>
      <c r="B16" s="27" t="s">
        <v>26</v>
      </c>
      <c r="C16" s="28"/>
      <c r="D16" s="29"/>
      <c r="E16" s="30">
        <v>1</v>
      </c>
      <c r="F16" s="31"/>
      <c r="G16" s="25"/>
      <c r="H16" s="29"/>
      <c r="I16" s="36"/>
    </row>
    <row r="17" spans="1:9" ht="17.25" customHeight="1" x14ac:dyDescent="0.3">
      <c r="A17" s="322"/>
      <c r="B17" s="27" t="s">
        <v>27</v>
      </c>
      <c r="C17" s="33">
        <v>36</v>
      </c>
      <c r="D17" s="29"/>
      <c r="E17" s="30"/>
      <c r="F17" s="34"/>
      <c r="G17" s="118"/>
      <c r="H17" s="29"/>
      <c r="I17" s="37">
        <f>C17-D17-D18*1/2-E17-E18*1/2+F17-H17-H18*1/2-I18*1/2</f>
        <v>36</v>
      </c>
    </row>
    <row r="18" spans="1:9" ht="17.25" customHeight="1" x14ac:dyDescent="0.3">
      <c r="A18" s="322"/>
      <c r="B18" s="27" t="s">
        <v>28</v>
      </c>
      <c r="C18" s="28"/>
      <c r="D18" s="29"/>
      <c r="E18" s="30"/>
      <c r="F18" s="31"/>
      <c r="G18" s="25"/>
      <c r="H18" s="29"/>
      <c r="I18" s="36"/>
    </row>
    <row r="19" spans="1:9" ht="17.25" customHeight="1" x14ac:dyDescent="0.3">
      <c r="A19" s="322"/>
      <c r="B19" s="27" t="s">
        <v>29</v>
      </c>
      <c r="C19" s="33">
        <v>17</v>
      </c>
      <c r="D19" s="29"/>
      <c r="E19" s="30"/>
      <c r="F19" s="34"/>
      <c r="G19" s="25"/>
      <c r="H19" s="29"/>
      <c r="I19" s="35">
        <f>C19-D19-D20*1/2-E19-E20*1/2+F19-H19-H20*1/2-I20*1/2</f>
        <v>17</v>
      </c>
    </row>
    <row r="20" spans="1:9" ht="17.25" customHeight="1" x14ac:dyDescent="0.3">
      <c r="A20" s="322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22"/>
      <c r="B21" s="39" t="s">
        <v>31</v>
      </c>
      <c r="C21" s="40">
        <v>95</v>
      </c>
      <c r="D21" s="41"/>
      <c r="E21" s="42"/>
      <c r="F21" s="43"/>
      <c r="G21" s="44"/>
      <c r="H21" s="43">
        <v>5</v>
      </c>
      <c r="I21" s="45">
        <f t="shared" ref="I21:I48" si="0">C21-D21-E21+F21-H21</f>
        <v>90</v>
      </c>
    </row>
    <row r="22" spans="1:9" ht="17.25" customHeight="1" x14ac:dyDescent="0.3">
      <c r="A22" s="322"/>
      <c r="B22" s="21" t="s">
        <v>32</v>
      </c>
      <c r="C22" s="46">
        <v>57</v>
      </c>
      <c r="D22" s="23"/>
      <c r="E22" s="47">
        <v>3</v>
      </c>
      <c r="F22" s="48"/>
      <c r="G22" s="25"/>
      <c r="H22" s="48">
        <v>19</v>
      </c>
      <c r="I22" s="49">
        <f t="shared" si="0"/>
        <v>35</v>
      </c>
    </row>
    <row r="23" spans="1:9" ht="17.25" customHeight="1" x14ac:dyDescent="0.3">
      <c r="A23" s="322"/>
      <c r="B23" s="27" t="s">
        <v>33</v>
      </c>
      <c r="C23" s="33">
        <v>172</v>
      </c>
      <c r="D23" s="29"/>
      <c r="E23" s="50">
        <v>1</v>
      </c>
      <c r="F23" s="51"/>
      <c r="G23" s="25"/>
      <c r="H23" s="51">
        <v>12</v>
      </c>
      <c r="I23" s="52">
        <f>C23-D23-D24-E23-E24+F23+F24-H23-H24-I24</f>
        <v>153</v>
      </c>
    </row>
    <row r="24" spans="1:9" ht="17.25" customHeight="1" x14ac:dyDescent="0.3">
      <c r="A24" s="322"/>
      <c r="B24" s="160" t="s">
        <v>34</v>
      </c>
      <c r="C24" s="53"/>
      <c r="D24" s="41">
        <v>4</v>
      </c>
      <c r="E24" s="42"/>
      <c r="F24" s="43"/>
      <c r="G24" s="113"/>
      <c r="H24" s="43">
        <v>2</v>
      </c>
      <c r="I24" s="54"/>
    </row>
    <row r="25" spans="1:9" ht="17.25" customHeight="1" x14ac:dyDescent="0.3">
      <c r="A25" s="322"/>
      <c r="B25" s="21" t="s">
        <v>35</v>
      </c>
      <c r="C25" s="46">
        <v>48</v>
      </c>
      <c r="D25" s="23">
        <v>3</v>
      </c>
      <c r="E25" s="47"/>
      <c r="F25" s="48"/>
      <c r="G25" s="112"/>
      <c r="H25" s="48"/>
      <c r="I25" s="49">
        <f t="shared" si="0"/>
        <v>45</v>
      </c>
    </row>
    <row r="26" spans="1:9" ht="17.25" customHeight="1" x14ac:dyDescent="0.3">
      <c r="A26" s="322"/>
      <c r="B26" s="160" t="s">
        <v>36</v>
      </c>
      <c r="C26" s="55">
        <v>44</v>
      </c>
      <c r="D26" s="41"/>
      <c r="E26" s="42"/>
      <c r="F26" s="43"/>
      <c r="G26" s="113"/>
      <c r="H26" s="43"/>
      <c r="I26" s="45">
        <f t="shared" si="0"/>
        <v>44</v>
      </c>
    </row>
    <row r="27" spans="1:9" ht="17.25" customHeight="1" x14ac:dyDescent="0.3">
      <c r="A27" s="322"/>
      <c r="B27" s="21" t="s">
        <v>37</v>
      </c>
      <c r="C27" s="46">
        <v>34</v>
      </c>
      <c r="D27" s="23"/>
      <c r="E27" s="47"/>
      <c r="F27" s="48"/>
      <c r="G27" s="112"/>
      <c r="H27" s="48"/>
      <c r="I27" s="49">
        <f t="shared" si="0"/>
        <v>34</v>
      </c>
    </row>
    <row r="28" spans="1:9" ht="17.25" customHeight="1" x14ac:dyDescent="0.3">
      <c r="A28" s="322"/>
      <c r="B28" s="160" t="s">
        <v>38</v>
      </c>
      <c r="C28" s="55">
        <v>31</v>
      </c>
      <c r="D28" s="41"/>
      <c r="E28" s="42"/>
      <c r="F28" s="43"/>
      <c r="G28" s="113"/>
      <c r="H28" s="43"/>
      <c r="I28" s="45">
        <f t="shared" si="0"/>
        <v>31</v>
      </c>
    </row>
    <row r="29" spans="1:9" ht="17.25" customHeight="1" x14ac:dyDescent="0.3">
      <c r="A29" s="322"/>
      <c r="B29" s="21" t="s">
        <v>39</v>
      </c>
      <c r="C29" s="46">
        <v>10</v>
      </c>
      <c r="D29" s="23"/>
      <c r="E29" s="47"/>
      <c r="F29" s="48"/>
      <c r="G29" s="25"/>
      <c r="H29" s="48"/>
      <c r="I29" s="49">
        <f t="shared" si="0"/>
        <v>10</v>
      </c>
    </row>
    <row r="30" spans="1:9" ht="17.25" customHeight="1" x14ac:dyDescent="0.3">
      <c r="A30" s="322"/>
      <c r="B30" s="56" t="s">
        <v>40</v>
      </c>
      <c r="C30" s="57">
        <v>107</v>
      </c>
      <c r="D30" s="29">
        <v>4</v>
      </c>
      <c r="E30" s="50">
        <v>1</v>
      </c>
      <c r="F30" s="51"/>
      <c r="G30" s="25"/>
      <c r="H30" s="51">
        <v>4</v>
      </c>
      <c r="I30" s="52">
        <f>C30-D30-D31-E30-E31+F30+F31-H30-H31-I31</f>
        <v>98</v>
      </c>
    </row>
    <row r="31" spans="1:9" ht="17.25" customHeight="1" x14ac:dyDescent="0.3">
      <c r="A31" s="322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22"/>
      <c r="B32" s="179" t="s">
        <v>117</v>
      </c>
      <c r="C32" s="184"/>
      <c r="D32" s="23"/>
      <c r="E32" s="47"/>
      <c r="F32" s="48"/>
      <c r="G32" s="116"/>
      <c r="H32" s="48"/>
      <c r="I32" s="187">
        <v>1</v>
      </c>
    </row>
    <row r="33" spans="1:9" ht="17.25" customHeight="1" x14ac:dyDescent="0.3">
      <c r="A33" s="322"/>
      <c r="B33" s="179" t="s">
        <v>119</v>
      </c>
      <c r="C33" s="185"/>
      <c r="D33" s="29"/>
      <c r="E33" s="50"/>
      <c r="F33" s="51"/>
      <c r="G33" s="25"/>
      <c r="H33" s="51"/>
      <c r="I33" s="188">
        <v>2</v>
      </c>
    </row>
    <row r="34" spans="1:9" ht="17.25" customHeight="1" x14ac:dyDescent="0.3">
      <c r="A34" s="322"/>
      <c r="B34" s="179" t="s">
        <v>121</v>
      </c>
      <c r="C34" s="186"/>
      <c r="D34" s="60"/>
      <c r="E34" s="61"/>
      <c r="F34" s="62"/>
      <c r="G34" s="113"/>
      <c r="H34" s="62"/>
      <c r="I34" s="189">
        <v>2</v>
      </c>
    </row>
    <row r="35" spans="1:9" ht="17.25" customHeight="1" x14ac:dyDescent="0.3">
      <c r="A35" s="322"/>
      <c r="B35" s="191" t="s">
        <v>79</v>
      </c>
      <c r="C35" s="281"/>
      <c r="D35" s="23"/>
      <c r="E35" s="47"/>
      <c r="F35" s="48"/>
      <c r="G35" s="116"/>
      <c r="H35" s="48"/>
      <c r="I35" s="282">
        <v>32</v>
      </c>
    </row>
    <row r="36" spans="1:9" ht="17.25" customHeight="1" x14ac:dyDescent="0.3">
      <c r="A36" s="322"/>
      <c r="B36" s="153" t="s">
        <v>80</v>
      </c>
      <c r="C36" s="121">
        <v>20</v>
      </c>
      <c r="D36" s="122">
        <v>1</v>
      </c>
      <c r="E36" s="123"/>
      <c r="F36" s="124"/>
      <c r="G36" s="112"/>
      <c r="H36" s="124"/>
      <c r="I36" s="52">
        <f>C36-D36-E36+F36-H36</f>
        <v>19</v>
      </c>
    </row>
    <row r="37" spans="1:9" ht="17.25" customHeight="1" x14ac:dyDescent="0.3">
      <c r="A37" s="322"/>
      <c r="B37" s="163" t="s">
        <v>107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22"/>
      <c r="B38" s="178" t="s">
        <v>131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22"/>
      <c r="B39" s="178" t="s">
        <v>109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22"/>
      <c r="B40" s="178" t="s">
        <v>133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22"/>
      <c r="B41" s="178" t="s">
        <v>111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22"/>
      <c r="B42" s="178" t="s">
        <v>135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22"/>
      <c r="B43" s="178" t="s">
        <v>113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22"/>
      <c r="B44" s="178" t="s">
        <v>125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22"/>
      <c r="B45" s="164" t="s">
        <v>115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22"/>
      <c r="B46" s="120" t="s">
        <v>89</v>
      </c>
      <c r="C46" s="154">
        <v>13</v>
      </c>
      <c r="D46" s="23"/>
      <c r="E46" s="47"/>
      <c r="F46" s="48"/>
      <c r="G46" s="116"/>
      <c r="H46" s="48"/>
      <c r="I46" s="49">
        <f t="shared" si="0"/>
        <v>13</v>
      </c>
    </row>
    <row r="47" spans="1:9" ht="17.25" customHeight="1" x14ac:dyDescent="0.3">
      <c r="A47" s="322"/>
      <c r="B47" s="120" t="s">
        <v>88</v>
      </c>
      <c r="C47" s="121">
        <v>10</v>
      </c>
      <c r="D47" s="122"/>
      <c r="E47" s="123"/>
      <c r="F47" s="124"/>
      <c r="G47" s="112"/>
      <c r="H47" s="124"/>
      <c r="I47" s="52">
        <f t="shared" si="0"/>
        <v>10</v>
      </c>
    </row>
    <row r="48" spans="1:9" ht="17.25" customHeight="1" x14ac:dyDescent="0.3">
      <c r="A48" s="322"/>
      <c r="B48" s="56" t="s">
        <v>123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22"/>
      <c r="B49" s="179" t="s">
        <v>127</v>
      </c>
      <c r="C49" s="192"/>
      <c r="D49" s="180"/>
      <c r="E49" s="181"/>
      <c r="F49" s="182"/>
      <c r="G49" s="183"/>
      <c r="H49" s="182"/>
      <c r="I49" s="195">
        <v>4</v>
      </c>
    </row>
    <row r="50" spans="1:10" ht="17.25" customHeight="1" x14ac:dyDescent="0.3">
      <c r="A50" s="322"/>
      <c r="B50" s="58" t="s">
        <v>129</v>
      </c>
      <c r="C50" s="59"/>
      <c r="D50" s="60"/>
      <c r="E50" s="61"/>
      <c r="F50" s="62"/>
      <c r="G50" s="113"/>
      <c r="H50" s="62"/>
      <c r="I50" s="63">
        <v>4</v>
      </c>
    </row>
    <row r="51" spans="1:10" ht="17.25" customHeight="1" thickBot="1" x14ac:dyDescent="0.35">
      <c r="A51" s="323"/>
      <c r="B51" s="64" t="s">
        <v>42</v>
      </c>
      <c r="C51" s="65">
        <f>SUM(C13:C50)</f>
        <v>746</v>
      </c>
      <c r="D51" s="66">
        <f>SUM(D13:D46)</f>
        <v>12</v>
      </c>
      <c r="E51" s="67">
        <f>SUM(E13:E46)</f>
        <v>6</v>
      </c>
      <c r="F51" s="67">
        <f>SUM(F13:F46)</f>
        <v>0</v>
      </c>
      <c r="G51" s="68" t="s">
        <v>22</v>
      </c>
      <c r="H51" s="69">
        <f>SUM(H13:H46)</f>
        <v>42</v>
      </c>
      <c r="I51" s="70">
        <f>SUM(I13:I46)</f>
        <v>713.5</v>
      </c>
    </row>
    <row r="52" spans="1:10" ht="17.25" customHeight="1" x14ac:dyDescent="0.3">
      <c r="A52" s="326" t="s">
        <v>72</v>
      </c>
      <c r="B52" s="327"/>
      <c r="C52" s="71"/>
      <c r="D52" s="72" t="s">
        <v>163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28"/>
      <c r="B53" s="329"/>
      <c r="C53" s="332" t="s">
        <v>74</v>
      </c>
      <c r="D53" s="334"/>
      <c r="E53" s="336">
        <v>1</v>
      </c>
      <c r="F53" s="336">
        <v>2</v>
      </c>
      <c r="G53" s="336">
        <v>7</v>
      </c>
      <c r="H53" s="336"/>
      <c r="I53" s="339">
        <v>1</v>
      </c>
      <c r="J53" s="174"/>
    </row>
    <row r="54" spans="1:10" s="76" customFormat="1" ht="17.25" customHeight="1" x14ac:dyDescent="0.3">
      <c r="A54" s="328"/>
      <c r="B54" s="329"/>
      <c r="C54" s="333"/>
      <c r="D54" s="335"/>
      <c r="E54" s="337"/>
      <c r="F54" s="337"/>
      <c r="G54" s="337"/>
      <c r="H54" s="338"/>
      <c r="I54" s="340"/>
    </row>
    <row r="55" spans="1:10" s="76" customFormat="1" ht="17.25" customHeight="1" x14ac:dyDescent="0.3">
      <c r="A55" s="328"/>
      <c r="B55" s="329"/>
      <c r="C55" s="332" t="s">
        <v>75</v>
      </c>
      <c r="D55" s="334"/>
      <c r="E55" s="343">
        <v>21000</v>
      </c>
      <c r="F55" s="343">
        <v>39200</v>
      </c>
      <c r="G55" s="343">
        <v>79900</v>
      </c>
      <c r="H55" s="336"/>
      <c r="I55" s="347">
        <v>38600</v>
      </c>
    </row>
    <row r="56" spans="1:10" s="76" customFormat="1" ht="17.25" customHeight="1" thickBot="1" x14ac:dyDescent="0.35">
      <c r="A56" s="330"/>
      <c r="B56" s="331"/>
      <c r="C56" s="341"/>
      <c r="D56" s="342"/>
      <c r="E56" s="344"/>
      <c r="F56" s="344"/>
      <c r="G56" s="344"/>
      <c r="H56" s="344"/>
      <c r="I56" s="348"/>
    </row>
    <row r="57" spans="1:10" s="76" customFormat="1" ht="17.25" customHeight="1" x14ac:dyDescent="0.3">
      <c r="A57" s="326" t="s">
        <v>45</v>
      </c>
      <c r="B57" s="327"/>
      <c r="C57" s="349" t="s">
        <v>296</v>
      </c>
      <c r="D57" s="350"/>
      <c r="E57" s="350"/>
      <c r="F57" s="350"/>
      <c r="G57" s="350"/>
      <c r="H57" s="350"/>
      <c r="I57" s="351"/>
    </row>
    <row r="58" spans="1:10" s="76" customFormat="1" ht="17.25" customHeight="1" x14ac:dyDescent="0.3">
      <c r="A58" s="328"/>
      <c r="B58" s="329"/>
      <c r="C58" s="352" t="s">
        <v>293</v>
      </c>
      <c r="D58" s="352"/>
      <c r="E58" s="352"/>
      <c r="F58" s="352"/>
      <c r="G58" s="352"/>
      <c r="H58" s="352"/>
      <c r="I58" s="353"/>
    </row>
    <row r="59" spans="1:10" s="76" customFormat="1" ht="17.25" customHeight="1" x14ac:dyDescent="0.3">
      <c r="A59" s="328"/>
      <c r="B59" s="329"/>
      <c r="C59" s="354" t="s">
        <v>294</v>
      </c>
      <c r="D59" s="352"/>
      <c r="E59" s="352"/>
      <c r="F59" s="352"/>
      <c r="G59" s="352"/>
      <c r="H59" s="352"/>
      <c r="I59" s="353"/>
    </row>
    <row r="60" spans="1:10" s="76" customFormat="1" ht="17.25" customHeight="1" thickBot="1" x14ac:dyDescent="0.35">
      <c r="A60" s="330"/>
      <c r="B60" s="331"/>
      <c r="C60" s="345" t="s">
        <v>297</v>
      </c>
      <c r="D60" s="345"/>
      <c r="E60" s="345"/>
      <c r="F60" s="345"/>
      <c r="G60" s="345"/>
      <c r="H60" s="345"/>
      <c r="I60" s="346"/>
    </row>
    <row r="61" spans="1:10" s="76" customFormat="1" ht="17.25" customHeight="1" x14ac:dyDescent="0.3">
      <c r="A61" s="326" t="s">
        <v>73</v>
      </c>
      <c r="B61" s="327"/>
      <c r="C61" s="389" t="s">
        <v>282</v>
      </c>
      <c r="D61" s="368"/>
      <c r="E61" s="368"/>
      <c r="F61" s="368"/>
      <c r="G61" s="368"/>
      <c r="H61" s="368"/>
      <c r="I61" s="369"/>
    </row>
    <row r="62" spans="1:10" s="76" customFormat="1" ht="17.25" customHeight="1" x14ac:dyDescent="0.3">
      <c r="A62" s="328"/>
      <c r="B62" s="329"/>
      <c r="C62" s="354" t="s">
        <v>291</v>
      </c>
      <c r="D62" s="352"/>
      <c r="E62" s="352"/>
      <c r="F62" s="352"/>
      <c r="G62" s="352"/>
      <c r="H62" s="352"/>
      <c r="I62" s="353"/>
    </row>
    <row r="63" spans="1:10" s="76" customFormat="1" ht="17.25" customHeight="1" x14ac:dyDescent="0.3">
      <c r="A63" s="328"/>
      <c r="B63" s="329"/>
      <c r="C63" s="393" t="s">
        <v>295</v>
      </c>
      <c r="D63" s="394"/>
      <c r="E63" s="394"/>
      <c r="F63" s="394"/>
      <c r="G63" s="394"/>
      <c r="H63" s="394"/>
      <c r="I63" s="395"/>
    </row>
    <row r="64" spans="1:10" s="76" customFormat="1" ht="17.25" customHeight="1" thickBot="1" x14ac:dyDescent="0.35">
      <c r="A64" s="330"/>
      <c r="B64" s="331"/>
      <c r="C64" s="345"/>
      <c r="D64" s="345"/>
      <c r="E64" s="345"/>
      <c r="F64" s="345"/>
      <c r="G64" s="345"/>
      <c r="H64" s="345"/>
      <c r="I64" s="346"/>
    </row>
    <row r="65" spans="1:9" s="76" customFormat="1" ht="17.25" customHeight="1" x14ac:dyDescent="0.3">
      <c r="A65" s="363" t="s">
        <v>46</v>
      </c>
      <c r="B65" s="366" t="s">
        <v>47</v>
      </c>
      <c r="C65" s="368"/>
      <c r="D65" s="368"/>
      <c r="E65" s="368"/>
      <c r="F65" s="368"/>
      <c r="G65" s="368"/>
      <c r="H65" s="368"/>
      <c r="I65" s="369"/>
    </row>
    <row r="66" spans="1:9" s="76" customFormat="1" ht="17.25" customHeight="1" x14ac:dyDescent="0.3">
      <c r="A66" s="364"/>
      <c r="B66" s="367"/>
      <c r="C66" s="350"/>
      <c r="D66" s="350"/>
      <c r="E66" s="350"/>
      <c r="F66" s="350"/>
      <c r="G66" s="350"/>
      <c r="H66" s="350"/>
      <c r="I66" s="351"/>
    </row>
    <row r="67" spans="1:9" s="76" customFormat="1" ht="17.25" customHeight="1" x14ac:dyDescent="0.3">
      <c r="A67" s="364"/>
      <c r="B67" s="370" t="s">
        <v>48</v>
      </c>
      <c r="C67" s="352"/>
      <c r="D67" s="352"/>
      <c r="E67" s="352"/>
      <c r="F67" s="352"/>
      <c r="G67" s="352"/>
      <c r="H67" s="352"/>
      <c r="I67" s="353"/>
    </row>
    <row r="68" spans="1:9" s="76" customFormat="1" ht="17.25" customHeight="1" x14ac:dyDescent="0.3">
      <c r="A68" s="364"/>
      <c r="B68" s="367"/>
      <c r="C68" s="350"/>
      <c r="D68" s="350"/>
      <c r="E68" s="350"/>
      <c r="F68" s="350"/>
      <c r="G68" s="350"/>
      <c r="H68" s="350"/>
      <c r="I68" s="351"/>
    </row>
    <row r="69" spans="1:9" s="76" customFormat="1" ht="17.25" customHeight="1" thickBot="1" x14ac:dyDescent="0.35">
      <c r="A69" s="365"/>
      <c r="B69" s="371"/>
      <c r="C69" s="362"/>
      <c r="D69" s="345"/>
      <c r="E69" s="345"/>
      <c r="F69" s="345"/>
      <c r="G69" s="345"/>
      <c r="H69" s="345"/>
      <c r="I69" s="346"/>
    </row>
    <row r="70" spans="1:9" s="76" customFormat="1" ht="17.25" customHeight="1" x14ac:dyDescent="0.3">
      <c r="A70" s="326" t="s">
        <v>49</v>
      </c>
      <c r="B70" s="327"/>
      <c r="C70" s="350" t="s">
        <v>283</v>
      </c>
      <c r="D70" s="350"/>
      <c r="E70" s="350"/>
      <c r="F70" s="350"/>
      <c r="G70" s="350"/>
      <c r="H70" s="350"/>
      <c r="I70" s="351"/>
    </row>
    <row r="71" spans="1:9" s="76" customFormat="1" ht="17.25" customHeight="1" x14ac:dyDescent="0.3">
      <c r="A71" s="328"/>
      <c r="B71" s="329"/>
      <c r="C71" s="350" t="s">
        <v>284</v>
      </c>
      <c r="D71" s="350"/>
      <c r="E71" s="350"/>
      <c r="F71" s="350"/>
      <c r="G71" s="350"/>
      <c r="H71" s="350"/>
      <c r="I71" s="351"/>
    </row>
    <row r="72" spans="1:9" s="76" customFormat="1" ht="17.25" customHeight="1" thickBot="1" x14ac:dyDescent="0.35">
      <c r="A72" s="330"/>
      <c r="B72" s="331"/>
      <c r="C72" s="362"/>
      <c r="D72" s="345"/>
      <c r="E72" s="345"/>
      <c r="F72" s="345"/>
      <c r="G72" s="345"/>
      <c r="H72" s="345"/>
      <c r="I72" s="346"/>
    </row>
    <row r="73" spans="1:9" s="76" customFormat="1" ht="17.25" customHeight="1" x14ac:dyDescent="0.3">
      <c r="A73" s="326" t="s">
        <v>50</v>
      </c>
      <c r="B73" s="327"/>
      <c r="C73" s="389" t="s">
        <v>292</v>
      </c>
      <c r="D73" s="368"/>
      <c r="E73" s="368"/>
      <c r="F73" s="368"/>
      <c r="G73" s="368"/>
      <c r="H73" s="368"/>
      <c r="I73" s="369"/>
    </row>
    <row r="74" spans="1:9" s="76" customFormat="1" ht="17.25" customHeight="1" thickBot="1" x14ac:dyDescent="0.35">
      <c r="A74" s="330"/>
      <c r="B74" s="331"/>
      <c r="C74" s="354"/>
      <c r="D74" s="352"/>
      <c r="E74" s="352"/>
      <c r="F74" s="352"/>
      <c r="G74" s="352"/>
      <c r="H74" s="352"/>
      <c r="I74" s="353"/>
    </row>
    <row r="75" spans="1:9" s="76" customFormat="1" ht="17.25" customHeight="1" x14ac:dyDescent="0.3">
      <c r="A75" s="326" t="s">
        <v>51</v>
      </c>
      <c r="B75" s="327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285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286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375" t="s">
        <v>61</v>
      </c>
      <c r="B78" s="376"/>
      <c r="C78" s="382" t="s">
        <v>62</v>
      </c>
      <c r="D78" s="383"/>
      <c r="E78" s="384" t="s">
        <v>63</v>
      </c>
      <c r="F78" s="383"/>
      <c r="G78" s="385" t="s">
        <v>64</v>
      </c>
      <c r="H78" s="386"/>
      <c r="I78" s="90" t="s">
        <v>65</v>
      </c>
    </row>
    <row r="79" spans="1:9" s="76" customFormat="1" ht="17.25" customHeight="1" thickBot="1" x14ac:dyDescent="0.35">
      <c r="A79" s="377"/>
      <c r="B79" s="378"/>
      <c r="C79" s="92">
        <v>0.25</v>
      </c>
      <c r="D79" s="93" t="s">
        <v>287</v>
      </c>
      <c r="E79" s="94">
        <v>0.8125</v>
      </c>
      <c r="F79" s="93" t="s">
        <v>288</v>
      </c>
      <c r="G79" s="387" t="s">
        <v>289</v>
      </c>
      <c r="H79" s="388"/>
      <c r="I79" s="95" t="s">
        <v>290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372" t="s">
        <v>66</v>
      </c>
      <c r="I80" s="372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1:I1"/>
    <mergeCell ref="A2:B2"/>
    <mergeCell ref="C2:D2"/>
    <mergeCell ref="E2:E3"/>
    <mergeCell ref="F2:G2"/>
    <mergeCell ref="H2:I2"/>
    <mergeCell ref="A3:B3"/>
    <mergeCell ref="F3:G3"/>
    <mergeCell ref="H3:I3"/>
    <mergeCell ref="A4:H4"/>
    <mergeCell ref="A7:H7"/>
    <mergeCell ref="A9:A11"/>
    <mergeCell ref="B9:B11"/>
    <mergeCell ref="C9:D9"/>
    <mergeCell ref="E9:F9"/>
    <mergeCell ref="G9:H9"/>
    <mergeCell ref="A12:A51"/>
    <mergeCell ref="A52:B56"/>
    <mergeCell ref="C53:C54"/>
    <mergeCell ref="D53:D54"/>
    <mergeCell ref="E53:E54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opLeftCell="A10" zoomScale="90" zoomScaleNormal="90" workbookViewId="0">
      <selection activeCell="K27" sqref="K27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296" t="s">
        <v>0</v>
      </c>
      <c r="B1" s="297"/>
      <c r="C1" s="297"/>
      <c r="D1" s="297"/>
      <c r="E1" s="297"/>
      <c r="F1" s="297"/>
      <c r="G1" s="297"/>
      <c r="H1" s="297"/>
      <c r="I1" s="298"/>
    </row>
    <row r="2" spans="1:9" x14ac:dyDescent="0.3">
      <c r="A2" s="299" t="s">
        <v>1</v>
      </c>
      <c r="B2" s="300"/>
      <c r="C2" s="301" t="s">
        <v>298</v>
      </c>
      <c r="D2" s="302"/>
      <c r="E2" s="303" t="s">
        <v>77</v>
      </c>
      <c r="F2" s="305" t="s">
        <v>2</v>
      </c>
      <c r="G2" s="306"/>
      <c r="H2" s="307" t="s">
        <v>76</v>
      </c>
      <c r="I2" s="308"/>
    </row>
    <row r="3" spans="1:9" x14ac:dyDescent="0.3">
      <c r="A3" s="309" t="s">
        <v>3</v>
      </c>
      <c r="B3" s="310"/>
      <c r="C3" s="4" t="s">
        <v>311</v>
      </c>
      <c r="D3" s="5" t="s">
        <v>4</v>
      </c>
      <c r="E3" s="304"/>
      <c r="F3" s="311" t="s">
        <v>299</v>
      </c>
      <c r="G3" s="312"/>
      <c r="H3" s="313">
        <f>G11+'6일'!H3:I3</f>
        <v>14617500</v>
      </c>
      <c r="I3" s="314"/>
    </row>
    <row r="4" spans="1:9" ht="7.5" customHeight="1" x14ac:dyDescent="0.3">
      <c r="A4" s="315"/>
      <c r="B4" s="316"/>
      <c r="C4" s="316"/>
      <c r="D4" s="316"/>
      <c r="E4" s="316"/>
      <c r="F4" s="316"/>
      <c r="G4" s="316"/>
      <c r="H4" s="316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300</v>
      </c>
      <c r="F6" s="15" t="s">
        <v>301</v>
      </c>
      <c r="G6" s="16" t="s">
        <v>302</v>
      </c>
      <c r="H6" s="17">
        <v>0.26</v>
      </c>
      <c r="I6" s="18">
        <v>0.32</v>
      </c>
    </row>
    <row r="7" spans="1:9" ht="7.5" customHeight="1" x14ac:dyDescent="0.3">
      <c r="A7" s="315"/>
      <c r="B7" s="316"/>
      <c r="C7" s="316"/>
      <c r="D7" s="316"/>
      <c r="E7" s="316"/>
      <c r="F7" s="316"/>
      <c r="G7" s="316"/>
      <c r="H7" s="316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79" t="s">
        <v>10</v>
      </c>
      <c r="B9" s="317" t="s">
        <v>11</v>
      </c>
      <c r="C9" s="320" t="s">
        <v>68</v>
      </c>
      <c r="D9" s="303"/>
      <c r="E9" s="303" t="s">
        <v>67</v>
      </c>
      <c r="F9" s="303"/>
      <c r="G9" s="303" t="s">
        <v>69</v>
      </c>
      <c r="H9" s="303"/>
      <c r="I9" s="373" t="s">
        <v>78</v>
      </c>
    </row>
    <row r="10" spans="1:9" ht="18" customHeight="1" x14ac:dyDescent="0.3">
      <c r="A10" s="380"/>
      <c r="B10" s="318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74"/>
    </row>
    <row r="11" spans="1:9" ht="17.25" thickBot="1" x14ac:dyDescent="0.35">
      <c r="A11" s="381"/>
      <c r="B11" s="319"/>
      <c r="C11" s="101">
        <v>1972600</v>
      </c>
      <c r="D11" s="102">
        <v>143</v>
      </c>
      <c r="E11" s="109">
        <f>SUM(E55:I56)</f>
        <v>308200</v>
      </c>
      <c r="F11" s="109">
        <f>SUM(E53:I54)</f>
        <v>12</v>
      </c>
      <c r="G11" s="110">
        <f>C11+E11</f>
        <v>2280800</v>
      </c>
      <c r="H11" s="110">
        <f>D11+F11</f>
        <v>155</v>
      </c>
      <c r="I11" s="111">
        <f>G11/H11</f>
        <v>14714.838709677419</v>
      </c>
    </row>
    <row r="12" spans="1:9" ht="30" customHeight="1" x14ac:dyDescent="0.3">
      <c r="A12" s="321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24" t="s">
        <v>19</v>
      </c>
      <c r="G12" s="325"/>
      <c r="H12" s="158" t="s">
        <v>20</v>
      </c>
      <c r="I12" s="100" t="s">
        <v>21</v>
      </c>
    </row>
    <row r="13" spans="1:9" ht="17.25" customHeight="1" x14ac:dyDescent="0.3">
      <c r="A13" s="322"/>
      <c r="B13" s="21" t="s">
        <v>23</v>
      </c>
      <c r="C13" s="22">
        <v>44</v>
      </c>
      <c r="D13" s="23"/>
      <c r="E13" s="22"/>
      <c r="F13" s="24"/>
      <c r="G13" s="25"/>
      <c r="H13" s="23"/>
      <c r="I13" s="26">
        <f>C13-D13-D14*1/2-E13-E14*1/2+F13-H13-H14*1/2-I14*1/2</f>
        <v>44</v>
      </c>
    </row>
    <row r="14" spans="1:9" ht="17.25" customHeight="1" x14ac:dyDescent="0.3">
      <c r="A14" s="322"/>
      <c r="B14" s="27" t="s">
        <v>24</v>
      </c>
      <c r="C14" s="28"/>
      <c r="D14" s="29"/>
      <c r="E14" s="30"/>
      <c r="F14" s="31"/>
      <c r="G14" s="25"/>
      <c r="H14" s="29"/>
      <c r="I14" s="32"/>
    </row>
    <row r="15" spans="1:9" ht="17.25" customHeight="1" x14ac:dyDescent="0.3">
      <c r="A15" s="322"/>
      <c r="B15" s="27" t="s">
        <v>25</v>
      </c>
      <c r="C15" s="33">
        <v>23</v>
      </c>
      <c r="D15" s="29"/>
      <c r="E15" s="30"/>
      <c r="F15" s="34"/>
      <c r="G15" s="25"/>
      <c r="H15" s="29"/>
      <c r="I15" s="35">
        <f>C15-D15-D16*1/2-E15-E16*1/2+F15-H15-H16*1/2-I16*1/2</f>
        <v>23</v>
      </c>
    </row>
    <row r="16" spans="1:9" ht="17.25" customHeight="1" x14ac:dyDescent="0.3">
      <c r="A16" s="322"/>
      <c r="B16" s="27" t="s">
        <v>26</v>
      </c>
      <c r="C16" s="28"/>
      <c r="D16" s="29"/>
      <c r="E16" s="30"/>
      <c r="F16" s="31"/>
      <c r="G16" s="25"/>
      <c r="H16" s="29"/>
      <c r="I16" s="36"/>
    </row>
    <row r="17" spans="1:9" ht="17.25" customHeight="1" x14ac:dyDescent="0.3">
      <c r="A17" s="322"/>
      <c r="B17" s="27" t="s">
        <v>27</v>
      </c>
      <c r="C17" s="33">
        <v>36</v>
      </c>
      <c r="D17" s="29"/>
      <c r="E17" s="30"/>
      <c r="F17" s="34"/>
      <c r="G17" s="118"/>
      <c r="H17" s="29"/>
      <c r="I17" s="37">
        <f>C17-D17-D18*1/2-E17-E18*1/2+F17-H17-H18*1/2-I18*1/2</f>
        <v>36</v>
      </c>
    </row>
    <row r="18" spans="1:9" ht="17.25" customHeight="1" x14ac:dyDescent="0.3">
      <c r="A18" s="322"/>
      <c r="B18" s="27" t="s">
        <v>28</v>
      </c>
      <c r="C18" s="28"/>
      <c r="D18" s="29"/>
      <c r="E18" s="30"/>
      <c r="F18" s="31"/>
      <c r="G18" s="25"/>
      <c r="H18" s="29"/>
      <c r="I18" s="36"/>
    </row>
    <row r="19" spans="1:9" ht="17.25" customHeight="1" x14ac:dyDescent="0.3">
      <c r="A19" s="322"/>
      <c r="B19" s="27" t="s">
        <v>29</v>
      </c>
      <c r="C19" s="33">
        <v>17</v>
      </c>
      <c r="D19" s="29">
        <v>1</v>
      </c>
      <c r="E19" s="30"/>
      <c r="F19" s="34"/>
      <c r="G19" s="25"/>
      <c r="H19" s="29"/>
      <c r="I19" s="35">
        <f>C19-D19-D20*1/2-E19-E20*1/2+F19-H19-H20*1/2-I20*1/2</f>
        <v>16</v>
      </c>
    </row>
    <row r="20" spans="1:9" ht="17.25" customHeight="1" x14ac:dyDescent="0.3">
      <c r="A20" s="322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22"/>
      <c r="B21" s="39" t="s">
        <v>31</v>
      </c>
      <c r="C21" s="40">
        <v>94</v>
      </c>
      <c r="D21" s="41"/>
      <c r="E21" s="42">
        <v>1</v>
      </c>
      <c r="F21" s="43"/>
      <c r="G21" s="44"/>
      <c r="H21" s="43"/>
      <c r="I21" s="45">
        <f t="shared" ref="I21:I48" si="0">C21-D21-E21+F21-H21</f>
        <v>93</v>
      </c>
    </row>
    <row r="22" spans="1:9" ht="17.25" customHeight="1" x14ac:dyDescent="0.3">
      <c r="A22" s="322"/>
      <c r="B22" s="21" t="s">
        <v>32</v>
      </c>
      <c r="C22" s="46">
        <v>57</v>
      </c>
      <c r="D22" s="23"/>
      <c r="E22" s="47">
        <v>2</v>
      </c>
      <c r="F22" s="48"/>
      <c r="G22" s="25"/>
      <c r="H22" s="48">
        <v>10</v>
      </c>
      <c r="I22" s="49">
        <f t="shared" si="0"/>
        <v>45</v>
      </c>
    </row>
    <row r="23" spans="1:9" ht="17.25" customHeight="1" x14ac:dyDescent="0.3">
      <c r="A23" s="322"/>
      <c r="B23" s="27" t="s">
        <v>33</v>
      </c>
      <c r="C23" s="33">
        <v>180</v>
      </c>
      <c r="D23" s="29">
        <v>11</v>
      </c>
      <c r="E23" s="50">
        <v>4</v>
      </c>
      <c r="F23" s="51"/>
      <c r="G23" s="25"/>
      <c r="H23" s="51">
        <v>15</v>
      </c>
      <c r="I23" s="52">
        <f>C23-D23-D24-E23-E24+F23+F24-H23-H24-I24</f>
        <v>127</v>
      </c>
    </row>
    <row r="24" spans="1:9" ht="17.25" customHeight="1" x14ac:dyDescent="0.3">
      <c r="A24" s="322"/>
      <c r="B24" s="160" t="s">
        <v>34</v>
      </c>
      <c r="C24" s="53"/>
      <c r="D24" s="41">
        <v>3</v>
      </c>
      <c r="E24" s="42">
        <v>1</v>
      </c>
      <c r="F24" s="43"/>
      <c r="G24" s="113"/>
      <c r="H24" s="43">
        <v>19</v>
      </c>
      <c r="I24" s="54"/>
    </row>
    <row r="25" spans="1:9" ht="17.25" customHeight="1" x14ac:dyDescent="0.3">
      <c r="A25" s="322"/>
      <c r="B25" s="21" t="s">
        <v>35</v>
      </c>
      <c r="C25" s="46">
        <v>48</v>
      </c>
      <c r="D25" s="23">
        <v>5</v>
      </c>
      <c r="E25" s="47"/>
      <c r="F25" s="48"/>
      <c r="G25" s="112"/>
      <c r="H25" s="48">
        <v>7</v>
      </c>
      <c r="I25" s="49">
        <f t="shared" si="0"/>
        <v>36</v>
      </c>
    </row>
    <row r="26" spans="1:9" ht="17.25" customHeight="1" x14ac:dyDescent="0.3">
      <c r="A26" s="322"/>
      <c r="B26" s="160" t="s">
        <v>36</v>
      </c>
      <c r="C26" s="55">
        <v>44</v>
      </c>
      <c r="D26" s="41"/>
      <c r="E26" s="42"/>
      <c r="F26" s="43"/>
      <c r="G26" s="113"/>
      <c r="H26" s="43"/>
      <c r="I26" s="45">
        <f t="shared" si="0"/>
        <v>44</v>
      </c>
    </row>
    <row r="27" spans="1:9" ht="17.25" customHeight="1" x14ac:dyDescent="0.3">
      <c r="A27" s="322"/>
      <c r="B27" s="21" t="s">
        <v>37</v>
      </c>
      <c r="C27" s="46">
        <v>26</v>
      </c>
      <c r="D27" s="23"/>
      <c r="E27" s="47">
        <v>1</v>
      </c>
      <c r="F27" s="48"/>
      <c r="G27" s="112"/>
      <c r="H27" s="48"/>
      <c r="I27" s="49">
        <f t="shared" si="0"/>
        <v>25</v>
      </c>
    </row>
    <row r="28" spans="1:9" ht="17.25" customHeight="1" x14ac:dyDescent="0.3">
      <c r="A28" s="322"/>
      <c r="B28" s="160" t="s">
        <v>38</v>
      </c>
      <c r="C28" s="55">
        <v>35</v>
      </c>
      <c r="D28" s="41"/>
      <c r="E28" s="42">
        <v>3</v>
      </c>
      <c r="F28" s="43"/>
      <c r="G28" s="113"/>
      <c r="H28" s="43"/>
      <c r="I28" s="45">
        <f t="shared" si="0"/>
        <v>32</v>
      </c>
    </row>
    <row r="29" spans="1:9" ht="17.25" customHeight="1" x14ac:dyDescent="0.3">
      <c r="A29" s="322"/>
      <c r="B29" s="21" t="s">
        <v>39</v>
      </c>
      <c r="C29" s="46">
        <v>10</v>
      </c>
      <c r="D29" s="23"/>
      <c r="E29" s="47"/>
      <c r="F29" s="48"/>
      <c r="G29" s="25"/>
      <c r="H29" s="48"/>
      <c r="I29" s="49">
        <f t="shared" si="0"/>
        <v>10</v>
      </c>
    </row>
    <row r="30" spans="1:9" ht="17.25" customHeight="1" x14ac:dyDescent="0.3">
      <c r="A30" s="322"/>
      <c r="B30" s="56" t="s">
        <v>40</v>
      </c>
      <c r="C30" s="57">
        <v>147</v>
      </c>
      <c r="D30" s="29"/>
      <c r="E30" s="50"/>
      <c r="F30" s="51"/>
      <c r="G30" s="25"/>
      <c r="H30" s="51">
        <v>7</v>
      </c>
      <c r="I30" s="52">
        <f>C30-D30-D31-E30-E31+F30+F31-H30-H31-I31</f>
        <v>138</v>
      </c>
    </row>
    <row r="31" spans="1:9" ht="17.25" customHeight="1" x14ac:dyDescent="0.3">
      <c r="A31" s="322"/>
      <c r="B31" s="58" t="s">
        <v>41</v>
      </c>
      <c r="C31" s="59"/>
      <c r="D31" s="60"/>
      <c r="E31" s="61">
        <v>2</v>
      </c>
      <c r="F31" s="62"/>
      <c r="G31" s="44"/>
      <c r="H31" s="62"/>
      <c r="I31" s="63"/>
    </row>
    <row r="32" spans="1:9" ht="17.25" customHeight="1" x14ac:dyDescent="0.3">
      <c r="A32" s="322"/>
      <c r="B32" s="179" t="s">
        <v>117</v>
      </c>
      <c r="C32" s="184"/>
      <c r="D32" s="23"/>
      <c r="E32" s="47"/>
      <c r="F32" s="48"/>
      <c r="G32" s="116"/>
      <c r="H32" s="48"/>
      <c r="I32" s="187">
        <v>2</v>
      </c>
    </row>
    <row r="33" spans="1:9" ht="17.25" customHeight="1" x14ac:dyDescent="0.3">
      <c r="A33" s="322"/>
      <c r="B33" s="179" t="s">
        <v>119</v>
      </c>
      <c r="C33" s="185"/>
      <c r="D33" s="29"/>
      <c r="E33" s="50"/>
      <c r="F33" s="51"/>
      <c r="G33" s="25"/>
      <c r="H33" s="51"/>
      <c r="I33" s="188">
        <v>2</v>
      </c>
    </row>
    <row r="34" spans="1:9" ht="17.25" customHeight="1" x14ac:dyDescent="0.3">
      <c r="A34" s="322"/>
      <c r="B34" s="179" t="s">
        <v>121</v>
      </c>
      <c r="C34" s="186"/>
      <c r="D34" s="60"/>
      <c r="E34" s="61"/>
      <c r="F34" s="62"/>
      <c r="G34" s="113"/>
      <c r="H34" s="62"/>
      <c r="I34" s="189">
        <v>2</v>
      </c>
    </row>
    <row r="35" spans="1:9" ht="17.25" customHeight="1" x14ac:dyDescent="0.3">
      <c r="A35" s="322"/>
      <c r="B35" s="191" t="s">
        <v>79</v>
      </c>
      <c r="C35" s="281"/>
      <c r="D35" s="23"/>
      <c r="E35" s="47"/>
      <c r="F35" s="48"/>
      <c r="G35" s="116"/>
      <c r="H35" s="48"/>
      <c r="I35" s="282">
        <v>16</v>
      </c>
    </row>
    <row r="36" spans="1:9" ht="17.25" customHeight="1" x14ac:dyDescent="0.3">
      <c r="A36" s="322"/>
      <c r="B36" s="153" t="s">
        <v>80</v>
      </c>
      <c r="C36" s="121">
        <v>20</v>
      </c>
      <c r="D36" s="122"/>
      <c r="E36" s="123"/>
      <c r="F36" s="124"/>
      <c r="G36" s="112"/>
      <c r="H36" s="124"/>
      <c r="I36" s="52">
        <f>C36-D36-E36+F36-H36</f>
        <v>20</v>
      </c>
    </row>
    <row r="37" spans="1:9" ht="17.25" customHeight="1" x14ac:dyDescent="0.3">
      <c r="A37" s="322"/>
      <c r="B37" s="163" t="s">
        <v>107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22"/>
      <c r="B38" s="178" t="s">
        <v>131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22"/>
      <c r="B39" s="178" t="s">
        <v>109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22"/>
      <c r="B40" s="178" t="s">
        <v>133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22"/>
      <c r="B41" s="178" t="s">
        <v>111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22"/>
      <c r="B42" s="178" t="s">
        <v>135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22"/>
      <c r="B43" s="178" t="s">
        <v>113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22"/>
      <c r="B44" s="178" t="s">
        <v>125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22"/>
      <c r="B45" s="164" t="s">
        <v>115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22"/>
      <c r="B46" s="120" t="s">
        <v>89</v>
      </c>
      <c r="C46" s="154">
        <v>12</v>
      </c>
      <c r="D46" s="23"/>
      <c r="E46" s="47"/>
      <c r="F46" s="48"/>
      <c r="G46" s="116"/>
      <c r="H46" s="48"/>
      <c r="I46" s="49">
        <f t="shared" si="0"/>
        <v>12</v>
      </c>
    </row>
    <row r="47" spans="1:9" ht="17.25" customHeight="1" x14ac:dyDescent="0.3">
      <c r="A47" s="322"/>
      <c r="B47" s="120" t="s">
        <v>88</v>
      </c>
      <c r="C47" s="121">
        <v>8</v>
      </c>
      <c r="D47" s="122"/>
      <c r="E47" s="123"/>
      <c r="F47" s="124"/>
      <c r="G47" s="112"/>
      <c r="H47" s="124"/>
      <c r="I47" s="52">
        <f t="shared" si="0"/>
        <v>8</v>
      </c>
    </row>
    <row r="48" spans="1:9" ht="17.25" customHeight="1" x14ac:dyDescent="0.3">
      <c r="A48" s="322"/>
      <c r="B48" s="56" t="s">
        <v>123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22"/>
      <c r="B49" s="179" t="s">
        <v>127</v>
      </c>
      <c r="C49" s="192"/>
      <c r="D49" s="180"/>
      <c r="E49" s="181"/>
      <c r="F49" s="182"/>
      <c r="G49" s="183"/>
      <c r="H49" s="182"/>
      <c r="I49" s="195">
        <v>1</v>
      </c>
    </row>
    <row r="50" spans="1:10" ht="17.25" customHeight="1" x14ac:dyDescent="0.3">
      <c r="A50" s="322"/>
      <c r="B50" s="58" t="s">
        <v>129</v>
      </c>
      <c r="C50" s="59"/>
      <c r="D50" s="60"/>
      <c r="E50" s="61"/>
      <c r="F50" s="62"/>
      <c r="G50" s="113"/>
      <c r="H50" s="62"/>
      <c r="I50" s="63">
        <v>4</v>
      </c>
    </row>
    <row r="51" spans="1:10" ht="17.25" customHeight="1" thickBot="1" x14ac:dyDescent="0.35">
      <c r="A51" s="323"/>
      <c r="B51" s="64" t="s">
        <v>42</v>
      </c>
      <c r="C51" s="65">
        <f>SUM(C13:C50)</f>
        <v>801</v>
      </c>
      <c r="D51" s="66">
        <f>SUM(D13:D46)</f>
        <v>20</v>
      </c>
      <c r="E51" s="67">
        <f>SUM(E13:E46)</f>
        <v>14</v>
      </c>
      <c r="F51" s="67">
        <f>SUM(F13:F46)</f>
        <v>0</v>
      </c>
      <c r="G51" s="68" t="s">
        <v>22</v>
      </c>
      <c r="H51" s="69">
        <f>SUM(H13:H46)</f>
        <v>58</v>
      </c>
      <c r="I51" s="70">
        <f>SUM(I13:I46)</f>
        <v>723</v>
      </c>
    </row>
    <row r="52" spans="1:10" ht="17.25" customHeight="1" x14ac:dyDescent="0.3">
      <c r="A52" s="326" t="s">
        <v>72</v>
      </c>
      <c r="B52" s="327"/>
      <c r="C52" s="71"/>
      <c r="D52" s="72" t="s">
        <v>163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28"/>
      <c r="B53" s="329"/>
      <c r="C53" s="332" t="s">
        <v>74</v>
      </c>
      <c r="D53" s="334"/>
      <c r="E53" s="336">
        <v>4</v>
      </c>
      <c r="F53" s="336">
        <v>2</v>
      </c>
      <c r="G53" s="336">
        <v>5</v>
      </c>
      <c r="H53" s="336"/>
      <c r="I53" s="339">
        <v>1</v>
      </c>
      <c r="J53" s="174"/>
    </row>
    <row r="54" spans="1:10" s="76" customFormat="1" ht="17.25" customHeight="1" x14ac:dyDescent="0.3">
      <c r="A54" s="328"/>
      <c r="B54" s="329"/>
      <c r="C54" s="333"/>
      <c r="D54" s="335"/>
      <c r="E54" s="337"/>
      <c r="F54" s="337"/>
      <c r="G54" s="337"/>
      <c r="H54" s="338"/>
      <c r="I54" s="340"/>
    </row>
    <row r="55" spans="1:10" s="76" customFormat="1" ht="17.25" customHeight="1" x14ac:dyDescent="0.3">
      <c r="A55" s="328"/>
      <c r="B55" s="329"/>
      <c r="C55" s="332" t="s">
        <v>75</v>
      </c>
      <c r="D55" s="334"/>
      <c r="E55" s="343">
        <v>83300</v>
      </c>
      <c r="F55" s="343">
        <v>44700</v>
      </c>
      <c r="G55" s="343">
        <v>97700</v>
      </c>
      <c r="H55" s="336"/>
      <c r="I55" s="347">
        <v>82500</v>
      </c>
    </row>
    <row r="56" spans="1:10" s="76" customFormat="1" ht="17.25" customHeight="1" thickBot="1" x14ac:dyDescent="0.35">
      <c r="A56" s="330"/>
      <c r="B56" s="331"/>
      <c r="C56" s="341"/>
      <c r="D56" s="342"/>
      <c r="E56" s="344"/>
      <c r="F56" s="344"/>
      <c r="G56" s="344"/>
      <c r="H56" s="344"/>
      <c r="I56" s="348"/>
    </row>
    <row r="57" spans="1:10" s="76" customFormat="1" ht="17.25" customHeight="1" x14ac:dyDescent="0.3">
      <c r="A57" s="326" t="s">
        <v>45</v>
      </c>
      <c r="B57" s="327"/>
      <c r="C57" s="349" t="s">
        <v>303</v>
      </c>
      <c r="D57" s="350"/>
      <c r="E57" s="350"/>
      <c r="F57" s="350"/>
      <c r="G57" s="350"/>
      <c r="H57" s="350"/>
      <c r="I57" s="351"/>
    </row>
    <row r="58" spans="1:10" s="76" customFormat="1" ht="17.25" customHeight="1" x14ac:dyDescent="0.3">
      <c r="A58" s="328"/>
      <c r="B58" s="329"/>
      <c r="C58" s="352" t="s">
        <v>310</v>
      </c>
      <c r="D58" s="352"/>
      <c r="E58" s="352"/>
      <c r="F58" s="352"/>
      <c r="G58" s="352"/>
      <c r="H58" s="352"/>
      <c r="I58" s="353"/>
    </row>
    <row r="59" spans="1:10" s="76" customFormat="1" ht="17.25" customHeight="1" x14ac:dyDescent="0.3">
      <c r="A59" s="328"/>
      <c r="B59" s="329"/>
      <c r="C59" s="354"/>
      <c r="D59" s="352"/>
      <c r="E59" s="352"/>
      <c r="F59" s="352"/>
      <c r="G59" s="352"/>
      <c r="H59" s="352"/>
      <c r="I59" s="353"/>
    </row>
    <row r="60" spans="1:10" s="76" customFormat="1" ht="17.25" customHeight="1" thickBot="1" x14ac:dyDescent="0.35">
      <c r="A60" s="330"/>
      <c r="B60" s="331"/>
      <c r="C60" s="345"/>
      <c r="D60" s="345"/>
      <c r="E60" s="345"/>
      <c r="F60" s="345"/>
      <c r="G60" s="345"/>
      <c r="H60" s="345"/>
      <c r="I60" s="346"/>
    </row>
    <row r="61" spans="1:10" s="76" customFormat="1" ht="17.25" customHeight="1" x14ac:dyDescent="0.3">
      <c r="A61" s="326" t="s">
        <v>73</v>
      </c>
      <c r="B61" s="327"/>
      <c r="C61" s="389" t="s">
        <v>309</v>
      </c>
      <c r="D61" s="368"/>
      <c r="E61" s="368"/>
      <c r="F61" s="368"/>
      <c r="G61" s="368"/>
      <c r="H61" s="368"/>
      <c r="I61" s="369"/>
    </row>
    <row r="62" spans="1:10" s="76" customFormat="1" ht="17.25" customHeight="1" x14ac:dyDescent="0.3">
      <c r="A62" s="328"/>
      <c r="B62" s="329"/>
      <c r="C62" s="393" t="s">
        <v>312</v>
      </c>
      <c r="D62" s="394"/>
      <c r="E62" s="394"/>
      <c r="F62" s="394"/>
      <c r="G62" s="394"/>
      <c r="H62" s="394"/>
      <c r="I62" s="395"/>
    </row>
    <row r="63" spans="1:10" s="76" customFormat="1" ht="17.25" customHeight="1" x14ac:dyDescent="0.3">
      <c r="A63" s="328"/>
      <c r="B63" s="329"/>
      <c r="C63" s="393"/>
      <c r="D63" s="394"/>
      <c r="E63" s="394"/>
      <c r="F63" s="394"/>
      <c r="G63" s="394"/>
      <c r="H63" s="394"/>
      <c r="I63" s="395"/>
    </row>
    <row r="64" spans="1:10" s="76" customFormat="1" ht="17.25" customHeight="1" thickBot="1" x14ac:dyDescent="0.35">
      <c r="A64" s="330"/>
      <c r="B64" s="331"/>
      <c r="C64" s="345"/>
      <c r="D64" s="345"/>
      <c r="E64" s="345"/>
      <c r="F64" s="345"/>
      <c r="G64" s="345"/>
      <c r="H64" s="345"/>
      <c r="I64" s="346"/>
    </row>
    <row r="65" spans="1:9" s="76" customFormat="1" ht="17.25" customHeight="1" x14ac:dyDescent="0.3">
      <c r="A65" s="363" t="s">
        <v>46</v>
      </c>
      <c r="B65" s="366" t="s">
        <v>47</v>
      </c>
      <c r="C65" s="368"/>
      <c r="D65" s="368"/>
      <c r="E65" s="368"/>
      <c r="F65" s="368"/>
      <c r="G65" s="368"/>
      <c r="H65" s="368"/>
      <c r="I65" s="369"/>
    </row>
    <row r="66" spans="1:9" s="76" customFormat="1" ht="17.25" customHeight="1" x14ac:dyDescent="0.3">
      <c r="A66" s="364"/>
      <c r="B66" s="367"/>
      <c r="C66" s="350"/>
      <c r="D66" s="350"/>
      <c r="E66" s="350"/>
      <c r="F66" s="350"/>
      <c r="G66" s="350"/>
      <c r="H66" s="350"/>
      <c r="I66" s="351"/>
    </row>
    <row r="67" spans="1:9" s="76" customFormat="1" ht="17.25" customHeight="1" x14ac:dyDescent="0.3">
      <c r="A67" s="364"/>
      <c r="B67" s="370" t="s">
        <v>48</v>
      </c>
      <c r="C67" s="352" t="s">
        <v>308</v>
      </c>
      <c r="D67" s="352"/>
      <c r="E67" s="352"/>
      <c r="F67" s="352"/>
      <c r="G67" s="352"/>
      <c r="H67" s="352"/>
      <c r="I67" s="353"/>
    </row>
    <row r="68" spans="1:9" s="76" customFormat="1" ht="17.25" customHeight="1" x14ac:dyDescent="0.3">
      <c r="A68" s="364"/>
      <c r="B68" s="367"/>
      <c r="C68" s="350"/>
      <c r="D68" s="350"/>
      <c r="E68" s="350"/>
      <c r="F68" s="350"/>
      <c r="G68" s="350"/>
      <c r="H68" s="350"/>
      <c r="I68" s="351"/>
    </row>
    <row r="69" spans="1:9" s="76" customFormat="1" ht="17.25" customHeight="1" thickBot="1" x14ac:dyDescent="0.35">
      <c r="A69" s="365"/>
      <c r="B69" s="371"/>
      <c r="C69" s="362"/>
      <c r="D69" s="345"/>
      <c r="E69" s="345"/>
      <c r="F69" s="345"/>
      <c r="G69" s="345"/>
      <c r="H69" s="345"/>
      <c r="I69" s="346"/>
    </row>
    <row r="70" spans="1:9" s="76" customFormat="1" ht="17.25" customHeight="1" x14ac:dyDescent="0.3">
      <c r="A70" s="326" t="s">
        <v>49</v>
      </c>
      <c r="B70" s="327"/>
      <c r="C70" s="350" t="s">
        <v>306</v>
      </c>
      <c r="D70" s="350"/>
      <c r="E70" s="350"/>
      <c r="F70" s="350"/>
      <c r="G70" s="350"/>
      <c r="H70" s="350"/>
      <c r="I70" s="351"/>
    </row>
    <row r="71" spans="1:9" s="76" customFormat="1" ht="17.25" customHeight="1" x14ac:dyDescent="0.3">
      <c r="A71" s="328"/>
      <c r="B71" s="329"/>
      <c r="C71" s="350" t="s">
        <v>307</v>
      </c>
      <c r="D71" s="350"/>
      <c r="E71" s="350"/>
      <c r="F71" s="350"/>
      <c r="G71" s="350"/>
      <c r="H71" s="350"/>
      <c r="I71" s="351"/>
    </row>
    <row r="72" spans="1:9" s="76" customFormat="1" ht="17.25" customHeight="1" thickBot="1" x14ac:dyDescent="0.35">
      <c r="A72" s="330"/>
      <c r="B72" s="331"/>
      <c r="C72" s="362"/>
      <c r="D72" s="345"/>
      <c r="E72" s="345"/>
      <c r="F72" s="345"/>
      <c r="G72" s="345"/>
      <c r="H72" s="345"/>
      <c r="I72" s="346"/>
    </row>
    <row r="73" spans="1:9" s="76" customFormat="1" ht="17.25" customHeight="1" x14ac:dyDescent="0.3">
      <c r="A73" s="326" t="s">
        <v>50</v>
      </c>
      <c r="B73" s="327"/>
      <c r="C73" s="389"/>
      <c r="D73" s="368"/>
      <c r="E73" s="368"/>
      <c r="F73" s="368"/>
      <c r="G73" s="368"/>
      <c r="H73" s="368"/>
      <c r="I73" s="369"/>
    </row>
    <row r="74" spans="1:9" s="76" customFormat="1" ht="17.25" customHeight="1" thickBot="1" x14ac:dyDescent="0.35">
      <c r="A74" s="330"/>
      <c r="B74" s="331"/>
      <c r="C74" s="354"/>
      <c r="D74" s="352"/>
      <c r="E74" s="352"/>
      <c r="F74" s="352"/>
      <c r="G74" s="352"/>
      <c r="H74" s="352"/>
      <c r="I74" s="353"/>
    </row>
    <row r="75" spans="1:9" s="76" customFormat="1" ht="17.25" customHeight="1" x14ac:dyDescent="0.3">
      <c r="A75" s="326" t="s">
        <v>51</v>
      </c>
      <c r="B75" s="327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304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305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375" t="s">
        <v>61</v>
      </c>
      <c r="B78" s="376"/>
      <c r="C78" s="382" t="s">
        <v>62</v>
      </c>
      <c r="D78" s="383"/>
      <c r="E78" s="384" t="s">
        <v>63</v>
      </c>
      <c r="F78" s="383"/>
      <c r="G78" s="385" t="s">
        <v>64</v>
      </c>
      <c r="H78" s="386"/>
      <c r="I78" s="90" t="s">
        <v>65</v>
      </c>
    </row>
    <row r="79" spans="1:9" s="76" customFormat="1" ht="17.25" customHeight="1" thickBot="1" x14ac:dyDescent="0.35">
      <c r="A79" s="377"/>
      <c r="B79" s="378"/>
      <c r="C79" s="92"/>
      <c r="D79" s="93"/>
      <c r="E79" s="94"/>
      <c r="F79" s="93"/>
      <c r="G79" s="387"/>
      <c r="H79" s="388"/>
      <c r="I79" s="95"/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372" t="s">
        <v>66</v>
      </c>
      <c r="I80" s="372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1:I1"/>
    <mergeCell ref="A2:B2"/>
    <mergeCell ref="C2:D2"/>
    <mergeCell ref="E2:E3"/>
    <mergeCell ref="F2:G2"/>
    <mergeCell ref="H2:I2"/>
    <mergeCell ref="A3:B3"/>
    <mergeCell ref="F3:G3"/>
    <mergeCell ref="H3:I3"/>
    <mergeCell ref="A4:H4"/>
    <mergeCell ref="A7:H7"/>
    <mergeCell ref="A9:A11"/>
    <mergeCell ref="B9:B11"/>
    <mergeCell ref="C9:D9"/>
    <mergeCell ref="E9:F9"/>
    <mergeCell ref="G9:H9"/>
    <mergeCell ref="A12:A51"/>
    <mergeCell ref="A52:B56"/>
    <mergeCell ref="C53:C54"/>
    <mergeCell ref="D53:D54"/>
    <mergeCell ref="E53:E54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zoomScale="90" zoomScaleNormal="90" workbookViewId="0">
      <selection activeCell="G55" sqref="G55:G56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296" t="s">
        <v>0</v>
      </c>
      <c r="B1" s="297"/>
      <c r="C1" s="297"/>
      <c r="D1" s="297"/>
      <c r="E1" s="297"/>
      <c r="F1" s="297"/>
      <c r="G1" s="297"/>
      <c r="H1" s="297"/>
      <c r="I1" s="298"/>
    </row>
    <row r="2" spans="1:9" x14ac:dyDescent="0.3">
      <c r="A2" s="299" t="s">
        <v>1</v>
      </c>
      <c r="B2" s="300"/>
      <c r="C2" s="301" t="s">
        <v>313</v>
      </c>
      <c r="D2" s="302"/>
      <c r="E2" s="303" t="s">
        <v>77</v>
      </c>
      <c r="F2" s="305" t="s">
        <v>2</v>
      </c>
      <c r="G2" s="306"/>
      <c r="H2" s="307" t="s">
        <v>76</v>
      </c>
      <c r="I2" s="308"/>
    </row>
    <row r="3" spans="1:9" x14ac:dyDescent="0.3">
      <c r="A3" s="309" t="s">
        <v>3</v>
      </c>
      <c r="B3" s="310"/>
      <c r="C3" s="4"/>
      <c r="D3" s="5" t="s">
        <v>4</v>
      </c>
      <c r="E3" s="304"/>
      <c r="F3" s="311" t="s">
        <v>314</v>
      </c>
      <c r="G3" s="312"/>
      <c r="H3" s="313">
        <f>G11+'7일'!H3:I3</f>
        <v>16018600</v>
      </c>
      <c r="I3" s="314"/>
    </row>
    <row r="4" spans="1:9" ht="7.5" customHeight="1" x14ac:dyDescent="0.3">
      <c r="A4" s="315"/>
      <c r="B4" s="316"/>
      <c r="C4" s="316"/>
      <c r="D4" s="316"/>
      <c r="E4" s="316"/>
      <c r="F4" s="316"/>
      <c r="G4" s="316"/>
      <c r="H4" s="316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315</v>
      </c>
      <c r="F6" s="15" t="s">
        <v>316</v>
      </c>
      <c r="G6" s="16"/>
      <c r="H6" s="17">
        <v>0.25</v>
      </c>
      <c r="I6" s="18"/>
    </row>
    <row r="7" spans="1:9" ht="7.5" customHeight="1" x14ac:dyDescent="0.3">
      <c r="A7" s="315"/>
      <c r="B7" s="316"/>
      <c r="C7" s="316"/>
      <c r="D7" s="316"/>
      <c r="E7" s="316"/>
      <c r="F7" s="316"/>
      <c r="G7" s="316"/>
      <c r="H7" s="316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79" t="s">
        <v>10</v>
      </c>
      <c r="B9" s="317" t="s">
        <v>11</v>
      </c>
      <c r="C9" s="320" t="s">
        <v>68</v>
      </c>
      <c r="D9" s="303"/>
      <c r="E9" s="303" t="s">
        <v>67</v>
      </c>
      <c r="F9" s="303"/>
      <c r="G9" s="303" t="s">
        <v>69</v>
      </c>
      <c r="H9" s="303"/>
      <c r="I9" s="373" t="s">
        <v>78</v>
      </c>
    </row>
    <row r="10" spans="1:9" ht="18" customHeight="1" x14ac:dyDescent="0.3">
      <c r="A10" s="380"/>
      <c r="B10" s="318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74"/>
    </row>
    <row r="11" spans="1:9" ht="17.25" thickBot="1" x14ac:dyDescent="0.35">
      <c r="A11" s="381"/>
      <c r="B11" s="319"/>
      <c r="C11" s="101">
        <v>1188100</v>
      </c>
      <c r="D11" s="102">
        <v>76</v>
      </c>
      <c r="E11" s="109">
        <f>SUM(E55:I56)</f>
        <v>213000</v>
      </c>
      <c r="F11" s="109">
        <f>SUM(E53:I54)</f>
        <v>10</v>
      </c>
      <c r="G11" s="110">
        <f>C11+E11</f>
        <v>1401100</v>
      </c>
      <c r="H11" s="110">
        <f>D11+F11</f>
        <v>86</v>
      </c>
      <c r="I11" s="111">
        <f>G11/H11</f>
        <v>16291.860465116279</v>
      </c>
    </row>
    <row r="12" spans="1:9" ht="30" customHeight="1" x14ac:dyDescent="0.3">
      <c r="A12" s="321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24" t="s">
        <v>19</v>
      </c>
      <c r="G12" s="325"/>
      <c r="H12" s="158" t="s">
        <v>20</v>
      </c>
      <c r="I12" s="100" t="s">
        <v>21</v>
      </c>
    </row>
    <row r="13" spans="1:9" ht="17.25" customHeight="1" x14ac:dyDescent="0.3">
      <c r="A13" s="322"/>
      <c r="B13" s="21" t="s">
        <v>23</v>
      </c>
      <c r="C13" s="22">
        <v>16</v>
      </c>
      <c r="D13" s="23"/>
      <c r="E13" s="22"/>
      <c r="F13" s="24"/>
      <c r="G13" s="25"/>
      <c r="H13" s="23"/>
      <c r="I13" s="26">
        <f>C13-D13-D14*1/2-E13-E14*1/2+F13-H13-H14*1/2-I14*1/2</f>
        <v>15.5</v>
      </c>
    </row>
    <row r="14" spans="1:9" ht="17.25" customHeight="1" x14ac:dyDescent="0.3">
      <c r="A14" s="322"/>
      <c r="B14" s="27" t="s">
        <v>24</v>
      </c>
      <c r="C14" s="28"/>
      <c r="D14" s="29"/>
      <c r="E14" s="30"/>
      <c r="F14" s="31"/>
      <c r="G14" s="25"/>
      <c r="H14" s="29">
        <v>1</v>
      </c>
      <c r="I14" s="32"/>
    </row>
    <row r="15" spans="1:9" ht="17.25" customHeight="1" x14ac:dyDescent="0.3">
      <c r="A15" s="322"/>
      <c r="B15" s="27" t="s">
        <v>25</v>
      </c>
      <c r="C15" s="33">
        <v>40</v>
      </c>
      <c r="D15" s="29"/>
      <c r="E15" s="30"/>
      <c r="F15" s="34"/>
      <c r="G15" s="25"/>
      <c r="H15" s="29">
        <v>3</v>
      </c>
      <c r="I15" s="35">
        <f>C15-D15-D16*1/2-E15-E16*1/2+F15-H15-H16*1/2-I16*1/2</f>
        <v>36.5</v>
      </c>
    </row>
    <row r="16" spans="1:9" ht="17.25" customHeight="1" x14ac:dyDescent="0.3">
      <c r="A16" s="322"/>
      <c r="B16" s="27" t="s">
        <v>26</v>
      </c>
      <c r="C16" s="28"/>
      <c r="D16" s="29"/>
      <c r="E16" s="30"/>
      <c r="F16" s="31"/>
      <c r="G16" s="25"/>
      <c r="H16" s="29">
        <v>1</v>
      </c>
      <c r="I16" s="36"/>
    </row>
    <row r="17" spans="1:9" ht="17.25" customHeight="1" x14ac:dyDescent="0.3">
      <c r="A17" s="322"/>
      <c r="B17" s="27" t="s">
        <v>27</v>
      </c>
      <c r="C17" s="33">
        <v>36</v>
      </c>
      <c r="D17" s="29"/>
      <c r="E17" s="30"/>
      <c r="F17" s="34"/>
      <c r="G17" s="118"/>
      <c r="H17" s="29">
        <v>2</v>
      </c>
      <c r="I17" s="37">
        <f>C17-D17-D18*1/2-E17-E18*1/2+F17-H17-H18*1/2-I18*1/2</f>
        <v>34</v>
      </c>
    </row>
    <row r="18" spans="1:9" ht="17.25" customHeight="1" x14ac:dyDescent="0.3">
      <c r="A18" s="322"/>
      <c r="B18" s="27" t="s">
        <v>28</v>
      </c>
      <c r="C18" s="28"/>
      <c r="D18" s="29"/>
      <c r="E18" s="30"/>
      <c r="F18" s="31"/>
      <c r="G18" s="25"/>
      <c r="H18" s="29"/>
      <c r="I18" s="36"/>
    </row>
    <row r="19" spans="1:9" ht="17.25" customHeight="1" x14ac:dyDescent="0.3">
      <c r="A19" s="322"/>
      <c r="B19" s="27" t="s">
        <v>29</v>
      </c>
      <c r="C19" s="33">
        <v>17</v>
      </c>
      <c r="D19" s="29"/>
      <c r="E19" s="30"/>
      <c r="F19" s="34"/>
      <c r="G19" s="25"/>
      <c r="H19" s="29"/>
      <c r="I19" s="35">
        <f>C19-D19-D20*1/2-E19-E20*1/2+F19-H19-H20*1/2-I20*1/2</f>
        <v>17</v>
      </c>
    </row>
    <row r="20" spans="1:9" ht="17.25" customHeight="1" x14ac:dyDescent="0.3">
      <c r="A20" s="322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22"/>
      <c r="B21" s="39" t="s">
        <v>31</v>
      </c>
      <c r="C21" s="40">
        <v>84</v>
      </c>
      <c r="D21" s="41"/>
      <c r="E21" s="42"/>
      <c r="F21" s="43"/>
      <c r="G21" s="44"/>
      <c r="H21" s="43">
        <v>11</v>
      </c>
      <c r="I21" s="45">
        <f t="shared" ref="I21:I48" si="0">C21-D21-E21+F21-H21</f>
        <v>73</v>
      </c>
    </row>
    <row r="22" spans="1:9" ht="17.25" customHeight="1" x14ac:dyDescent="0.3">
      <c r="A22" s="322"/>
      <c r="B22" s="21" t="s">
        <v>32</v>
      </c>
      <c r="C22" s="46">
        <v>50</v>
      </c>
      <c r="D22" s="23"/>
      <c r="E22" s="47"/>
      <c r="F22" s="48"/>
      <c r="G22" s="25"/>
      <c r="H22" s="48">
        <v>3</v>
      </c>
      <c r="I22" s="49">
        <f t="shared" si="0"/>
        <v>47</v>
      </c>
    </row>
    <row r="23" spans="1:9" ht="17.25" customHeight="1" x14ac:dyDescent="0.3">
      <c r="A23" s="322"/>
      <c r="B23" s="27" t="s">
        <v>33</v>
      </c>
      <c r="C23" s="33">
        <v>161</v>
      </c>
      <c r="D23" s="29"/>
      <c r="E23" s="50"/>
      <c r="F23" s="51"/>
      <c r="G23" s="25"/>
      <c r="H23" s="51">
        <v>19</v>
      </c>
      <c r="I23" s="52">
        <f>C23-D23-D24-E23-E24+F23+F24-H23-H24-I24</f>
        <v>132</v>
      </c>
    </row>
    <row r="24" spans="1:9" ht="17.25" customHeight="1" x14ac:dyDescent="0.3">
      <c r="A24" s="322"/>
      <c r="B24" s="160" t="s">
        <v>34</v>
      </c>
      <c r="C24" s="53"/>
      <c r="D24" s="41">
        <v>3</v>
      </c>
      <c r="E24" s="42">
        <v>1</v>
      </c>
      <c r="F24" s="43"/>
      <c r="G24" s="113"/>
      <c r="H24" s="43">
        <v>6</v>
      </c>
      <c r="I24" s="54"/>
    </row>
    <row r="25" spans="1:9" ht="17.25" customHeight="1" x14ac:dyDescent="0.3">
      <c r="A25" s="322"/>
      <c r="B25" s="21" t="s">
        <v>35</v>
      </c>
      <c r="C25" s="46">
        <v>48</v>
      </c>
      <c r="D25" s="23">
        <v>3</v>
      </c>
      <c r="E25" s="47"/>
      <c r="F25" s="48"/>
      <c r="G25" s="112"/>
      <c r="H25" s="48">
        <v>20</v>
      </c>
      <c r="I25" s="49">
        <f t="shared" si="0"/>
        <v>25</v>
      </c>
    </row>
    <row r="26" spans="1:9" ht="17.25" customHeight="1" x14ac:dyDescent="0.3">
      <c r="A26" s="322"/>
      <c r="B26" s="160" t="s">
        <v>36</v>
      </c>
      <c r="C26" s="55">
        <v>44</v>
      </c>
      <c r="D26" s="41"/>
      <c r="E26" s="42"/>
      <c r="F26" s="43"/>
      <c r="G26" s="113"/>
      <c r="H26" s="43">
        <v>5</v>
      </c>
      <c r="I26" s="45">
        <f t="shared" si="0"/>
        <v>39</v>
      </c>
    </row>
    <row r="27" spans="1:9" ht="17.25" customHeight="1" x14ac:dyDescent="0.3">
      <c r="A27" s="322"/>
      <c r="B27" s="21" t="s">
        <v>37</v>
      </c>
      <c r="C27" s="46">
        <v>25</v>
      </c>
      <c r="D27" s="23"/>
      <c r="E27" s="47"/>
      <c r="F27" s="48"/>
      <c r="G27" s="112"/>
      <c r="H27" s="48"/>
      <c r="I27" s="49">
        <f t="shared" si="0"/>
        <v>25</v>
      </c>
    </row>
    <row r="28" spans="1:9" ht="17.25" customHeight="1" x14ac:dyDescent="0.3">
      <c r="A28" s="322"/>
      <c r="B28" s="160" t="s">
        <v>38</v>
      </c>
      <c r="C28" s="55">
        <v>37</v>
      </c>
      <c r="D28" s="41"/>
      <c r="E28" s="42"/>
      <c r="F28" s="43"/>
      <c r="G28" s="113"/>
      <c r="H28" s="43">
        <v>9</v>
      </c>
      <c r="I28" s="45">
        <f t="shared" si="0"/>
        <v>28</v>
      </c>
    </row>
    <row r="29" spans="1:9" ht="17.25" customHeight="1" x14ac:dyDescent="0.3">
      <c r="A29" s="322"/>
      <c r="B29" s="21" t="s">
        <v>39</v>
      </c>
      <c r="C29" s="46">
        <v>10</v>
      </c>
      <c r="D29" s="23"/>
      <c r="E29" s="47"/>
      <c r="F29" s="48"/>
      <c r="G29" s="25"/>
      <c r="H29" s="48"/>
      <c r="I29" s="49">
        <f t="shared" si="0"/>
        <v>10</v>
      </c>
    </row>
    <row r="30" spans="1:9" ht="17.25" customHeight="1" x14ac:dyDescent="0.3">
      <c r="A30" s="322"/>
      <c r="B30" s="56" t="s">
        <v>40</v>
      </c>
      <c r="C30" s="57">
        <v>111</v>
      </c>
      <c r="D30" s="29">
        <v>3</v>
      </c>
      <c r="E30" s="50">
        <v>3</v>
      </c>
      <c r="F30" s="51"/>
      <c r="G30" s="25"/>
      <c r="H30" s="51">
        <v>9</v>
      </c>
      <c r="I30" s="52">
        <f>C30-D30-D31-E30-E31+F30+F31-H30-H31-I31</f>
        <v>96</v>
      </c>
    </row>
    <row r="31" spans="1:9" ht="17.25" customHeight="1" x14ac:dyDescent="0.3">
      <c r="A31" s="322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22"/>
      <c r="B32" s="179" t="s">
        <v>117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22"/>
      <c r="B33" s="179" t="s">
        <v>119</v>
      </c>
      <c r="C33" s="185"/>
      <c r="D33" s="29"/>
      <c r="E33" s="50"/>
      <c r="F33" s="51"/>
      <c r="G33" s="25"/>
      <c r="H33" s="51"/>
      <c r="I33" s="188">
        <v>1</v>
      </c>
    </row>
    <row r="34" spans="1:9" ht="17.25" customHeight="1" x14ac:dyDescent="0.3">
      <c r="A34" s="322"/>
      <c r="B34" s="179" t="s">
        <v>121</v>
      </c>
      <c r="C34" s="186"/>
      <c r="D34" s="60"/>
      <c r="E34" s="61"/>
      <c r="F34" s="62"/>
      <c r="G34" s="113"/>
      <c r="H34" s="62"/>
      <c r="I34" s="189"/>
    </row>
    <row r="35" spans="1:9" ht="17.25" customHeight="1" x14ac:dyDescent="0.3">
      <c r="A35" s="322"/>
      <c r="B35" s="191" t="s">
        <v>79</v>
      </c>
      <c r="C35" s="281"/>
      <c r="D35" s="23"/>
      <c r="E35" s="47"/>
      <c r="F35" s="48"/>
      <c r="G35" s="116"/>
      <c r="H35" s="48"/>
      <c r="I35" s="282">
        <v>6</v>
      </c>
    </row>
    <row r="36" spans="1:9" ht="17.25" customHeight="1" x14ac:dyDescent="0.3">
      <c r="A36" s="322"/>
      <c r="B36" s="153" t="s">
        <v>80</v>
      </c>
      <c r="C36" s="121">
        <v>20</v>
      </c>
      <c r="D36" s="122"/>
      <c r="E36" s="123"/>
      <c r="F36" s="124"/>
      <c r="G36" s="112"/>
      <c r="H36" s="124">
        <v>5</v>
      </c>
      <c r="I36" s="52">
        <f>C36-D36-E36+F36-H36</f>
        <v>15</v>
      </c>
    </row>
    <row r="37" spans="1:9" ht="17.25" customHeight="1" x14ac:dyDescent="0.3">
      <c r="A37" s="322"/>
      <c r="B37" s="163" t="s">
        <v>107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22"/>
      <c r="B38" s="178" t="s">
        <v>131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22"/>
      <c r="B39" s="178" t="s">
        <v>109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22"/>
      <c r="B40" s="178" t="s">
        <v>133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22"/>
      <c r="B41" s="178" t="s">
        <v>111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22"/>
      <c r="B42" s="178" t="s">
        <v>135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22"/>
      <c r="B43" s="178" t="s">
        <v>113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22"/>
      <c r="B44" s="178" t="s">
        <v>125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22"/>
      <c r="B45" s="164" t="s">
        <v>115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22"/>
      <c r="B46" s="120" t="s">
        <v>89</v>
      </c>
      <c r="C46" s="154">
        <v>2</v>
      </c>
      <c r="D46" s="23"/>
      <c r="E46" s="47"/>
      <c r="F46" s="48"/>
      <c r="G46" s="116"/>
      <c r="H46" s="48"/>
      <c r="I46" s="49">
        <f t="shared" si="0"/>
        <v>2</v>
      </c>
    </row>
    <row r="47" spans="1:9" ht="17.25" customHeight="1" x14ac:dyDescent="0.3">
      <c r="A47" s="322"/>
      <c r="B47" s="120" t="s">
        <v>88</v>
      </c>
      <c r="C47" s="121">
        <v>2</v>
      </c>
      <c r="D47" s="122"/>
      <c r="E47" s="123"/>
      <c r="F47" s="124"/>
      <c r="G47" s="112"/>
      <c r="H47" s="124"/>
      <c r="I47" s="52">
        <f t="shared" si="0"/>
        <v>2</v>
      </c>
    </row>
    <row r="48" spans="1:9" ht="17.25" customHeight="1" x14ac:dyDescent="0.3">
      <c r="A48" s="322"/>
      <c r="B48" s="56" t="s">
        <v>123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22"/>
      <c r="B49" s="179" t="s">
        <v>127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22"/>
      <c r="B50" s="58" t="s">
        <v>129</v>
      </c>
      <c r="C50" s="59"/>
      <c r="D50" s="60"/>
      <c r="E50" s="61"/>
      <c r="F50" s="62"/>
      <c r="G50" s="113"/>
      <c r="H50" s="62"/>
      <c r="I50" s="63">
        <v>1</v>
      </c>
    </row>
    <row r="51" spans="1:10" ht="17.25" customHeight="1" thickBot="1" x14ac:dyDescent="0.35">
      <c r="A51" s="323"/>
      <c r="B51" s="64" t="s">
        <v>42</v>
      </c>
      <c r="C51" s="65">
        <f>SUM(C13:C50)</f>
        <v>703</v>
      </c>
      <c r="D51" s="66">
        <f>SUM(D13:D46)</f>
        <v>9</v>
      </c>
      <c r="E51" s="67">
        <f>SUM(E13:E46)</f>
        <v>4</v>
      </c>
      <c r="F51" s="67">
        <f>SUM(F13:F46)</f>
        <v>0</v>
      </c>
      <c r="G51" s="68" t="s">
        <v>22</v>
      </c>
      <c r="H51" s="69">
        <f>SUM(H13:H46)</f>
        <v>94</v>
      </c>
      <c r="I51" s="70">
        <f>SUM(I13:I46)</f>
        <v>602</v>
      </c>
    </row>
    <row r="52" spans="1:10" ht="17.25" customHeight="1" x14ac:dyDescent="0.3">
      <c r="A52" s="326" t="s">
        <v>72</v>
      </c>
      <c r="B52" s="327"/>
      <c r="C52" s="71"/>
      <c r="D52" s="72" t="s">
        <v>163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28"/>
      <c r="B53" s="329"/>
      <c r="C53" s="332" t="s">
        <v>74</v>
      </c>
      <c r="D53" s="334"/>
      <c r="E53" s="336">
        <v>5</v>
      </c>
      <c r="F53" s="336">
        <v>4</v>
      </c>
      <c r="G53" s="336">
        <v>1</v>
      </c>
      <c r="H53" s="336"/>
      <c r="I53" s="339"/>
      <c r="J53" s="174"/>
    </row>
    <row r="54" spans="1:10" s="76" customFormat="1" ht="17.25" customHeight="1" x14ac:dyDescent="0.3">
      <c r="A54" s="328"/>
      <c r="B54" s="329"/>
      <c r="C54" s="333"/>
      <c r="D54" s="335"/>
      <c r="E54" s="337"/>
      <c r="F54" s="337"/>
      <c r="G54" s="337"/>
      <c r="H54" s="338"/>
      <c r="I54" s="340"/>
    </row>
    <row r="55" spans="1:10" s="76" customFormat="1" ht="17.25" customHeight="1" x14ac:dyDescent="0.3">
      <c r="A55" s="328"/>
      <c r="B55" s="329"/>
      <c r="C55" s="332" t="s">
        <v>75</v>
      </c>
      <c r="D55" s="334"/>
      <c r="E55" s="343">
        <v>99900</v>
      </c>
      <c r="F55" s="343">
        <v>85900</v>
      </c>
      <c r="G55" s="343">
        <v>27200</v>
      </c>
      <c r="H55" s="336"/>
      <c r="I55" s="347"/>
    </row>
    <row r="56" spans="1:10" s="76" customFormat="1" ht="17.25" customHeight="1" thickBot="1" x14ac:dyDescent="0.35">
      <c r="A56" s="330"/>
      <c r="B56" s="331"/>
      <c r="C56" s="341"/>
      <c r="D56" s="342"/>
      <c r="E56" s="344"/>
      <c r="F56" s="344"/>
      <c r="G56" s="344"/>
      <c r="H56" s="344"/>
      <c r="I56" s="348"/>
    </row>
    <row r="57" spans="1:10" s="76" customFormat="1" ht="17.25" customHeight="1" x14ac:dyDescent="0.3">
      <c r="A57" s="326" t="s">
        <v>45</v>
      </c>
      <c r="B57" s="327"/>
      <c r="C57" s="349" t="s">
        <v>326</v>
      </c>
      <c r="D57" s="350"/>
      <c r="E57" s="350"/>
      <c r="F57" s="350"/>
      <c r="G57" s="350"/>
      <c r="H57" s="350"/>
      <c r="I57" s="351"/>
    </row>
    <row r="58" spans="1:10" s="76" customFormat="1" ht="17.25" customHeight="1" x14ac:dyDescent="0.3">
      <c r="A58" s="328"/>
      <c r="B58" s="329"/>
      <c r="C58" s="352" t="s">
        <v>330</v>
      </c>
      <c r="D58" s="352"/>
      <c r="E58" s="352"/>
      <c r="F58" s="352"/>
      <c r="G58" s="352"/>
      <c r="H58" s="352"/>
      <c r="I58" s="353"/>
    </row>
    <row r="59" spans="1:10" s="76" customFormat="1" ht="17.25" customHeight="1" x14ac:dyDescent="0.3">
      <c r="A59" s="328"/>
      <c r="B59" s="329"/>
      <c r="C59" s="354" t="s">
        <v>331</v>
      </c>
      <c r="D59" s="352"/>
      <c r="E59" s="352"/>
      <c r="F59" s="352"/>
      <c r="G59" s="352"/>
      <c r="H59" s="352"/>
      <c r="I59" s="353"/>
    </row>
    <row r="60" spans="1:10" s="76" customFormat="1" ht="17.25" customHeight="1" thickBot="1" x14ac:dyDescent="0.35">
      <c r="A60" s="330"/>
      <c r="B60" s="331"/>
      <c r="C60" s="345" t="s">
        <v>332</v>
      </c>
      <c r="D60" s="345"/>
      <c r="E60" s="345"/>
      <c r="F60" s="345"/>
      <c r="G60" s="345"/>
      <c r="H60" s="345"/>
      <c r="I60" s="346"/>
    </row>
    <row r="61" spans="1:10" s="76" customFormat="1" ht="36.75" customHeight="1" x14ac:dyDescent="0.3">
      <c r="A61" s="326" t="s">
        <v>73</v>
      </c>
      <c r="B61" s="327"/>
      <c r="C61" s="390" t="s">
        <v>323</v>
      </c>
      <c r="D61" s="368"/>
      <c r="E61" s="368"/>
      <c r="F61" s="368"/>
      <c r="G61" s="368"/>
      <c r="H61" s="368"/>
      <c r="I61" s="369"/>
    </row>
    <row r="62" spans="1:10" s="76" customFormat="1" ht="17.25" customHeight="1" x14ac:dyDescent="0.3">
      <c r="A62" s="328"/>
      <c r="B62" s="329"/>
      <c r="C62" s="393" t="s">
        <v>333</v>
      </c>
      <c r="D62" s="394"/>
      <c r="E62" s="394"/>
      <c r="F62" s="394"/>
      <c r="G62" s="394"/>
      <c r="H62" s="394"/>
      <c r="I62" s="395"/>
    </row>
    <row r="63" spans="1:10" s="76" customFormat="1" ht="17.25" customHeight="1" x14ac:dyDescent="0.3">
      <c r="A63" s="328"/>
      <c r="B63" s="329"/>
      <c r="C63" s="393"/>
      <c r="D63" s="394"/>
      <c r="E63" s="394"/>
      <c r="F63" s="394"/>
      <c r="G63" s="394"/>
      <c r="H63" s="394"/>
      <c r="I63" s="395"/>
    </row>
    <row r="64" spans="1:10" s="76" customFormat="1" ht="17.25" customHeight="1" thickBot="1" x14ac:dyDescent="0.35">
      <c r="A64" s="330"/>
      <c r="B64" s="331"/>
      <c r="C64" s="345"/>
      <c r="D64" s="345"/>
      <c r="E64" s="345"/>
      <c r="F64" s="345"/>
      <c r="G64" s="345"/>
      <c r="H64" s="345"/>
      <c r="I64" s="346"/>
    </row>
    <row r="65" spans="1:9" s="76" customFormat="1" ht="17.25" customHeight="1" x14ac:dyDescent="0.3">
      <c r="A65" s="363" t="s">
        <v>46</v>
      </c>
      <c r="B65" s="366" t="s">
        <v>47</v>
      </c>
      <c r="C65" s="368" t="s">
        <v>328</v>
      </c>
      <c r="D65" s="368"/>
      <c r="E65" s="368"/>
      <c r="F65" s="368"/>
      <c r="G65" s="368"/>
      <c r="H65" s="368"/>
      <c r="I65" s="369"/>
    </row>
    <row r="66" spans="1:9" s="76" customFormat="1" ht="17.25" customHeight="1" x14ac:dyDescent="0.3">
      <c r="A66" s="364"/>
      <c r="B66" s="367"/>
      <c r="C66" s="350"/>
      <c r="D66" s="350"/>
      <c r="E66" s="350"/>
      <c r="F66" s="350"/>
      <c r="G66" s="350"/>
      <c r="H66" s="350"/>
      <c r="I66" s="351"/>
    </row>
    <row r="67" spans="1:9" s="76" customFormat="1" ht="17.25" customHeight="1" x14ac:dyDescent="0.3">
      <c r="A67" s="364"/>
      <c r="B67" s="370" t="s">
        <v>48</v>
      </c>
      <c r="C67" s="352" t="s">
        <v>324</v>
      </c>
      <c r="D67" s="352"/>
      <c r="E67" s="352"/>
      <c r="F67" s="352"/>
      <c r="G67" s="352"/>
      <c r="H67" s="352"/>
      <c r="I67" s="353"/>
    </row>
    <row r="68" spans="1:9" s="76" customFormat="1" ht="17.25" customHeight="1" x14ac:dyDescent="0.3">
      <c r="A68" s="364"/>
      <c r="B68" s="367"/>
      <c r="C68" s="350" t="s">
        <v>327</v>
      </c>
      <c r="D68" s="350"/>
      <c r="E68" s="350"/>
      <c r="F68" s="350"/>
      <c r="G68" s="350"/>
      <c r="H68" s="350"/>
      <c r="I68" s="351"/>
    </row>
    <row r="69" spans="1:9" s="76" customFormat="1" ht="17.25" customHeight="1" thickBot="1" x14ac:dyDescent="0.35">
      <c r="A69" s="365"/>
      <c r="B69" s="371"/>
      <c r="C69" s="362"/>
      <c r="D69" s="345"/>
      <c r="E69" s="345"/>
      <c r="F69" s="345"/>
      <c r="G69" s="345"/>
      <c r="H69" s="345"/>
      <c r="I69" s="346"/>
    </row>
    <row r="70" spans="1:9" s="76" customFormat="1" ht="17.25" customHeight="1" x14ac:dyDescent="0.3">
      <c r="A70" s="326" t="s">
        <v>49</v>
      </c>
      <c r="B70" s="327"/>
      <c r="C70" s="350" t="s">
        <v>329</v>
      </c>
      <c r="D70" s="350"/>
      <c r="E70" s="350"/>
      <c r="F70" s="350"/>
      <c r="G70" s="350"/>
      <c r="H70" s="350"/>
      <c r="I70" s="351"/>
    </row>
    <row r="71" spans="1:9" s="76" customFormat="1" ht="17.25" customHeight="1" x14ac:dyDescent="0.3">
      <c r="A71" s="328"/>
      <c r="B71" s="329"/>
      <c r="C71" s="350"/>
      <c r="D71" s="350"/>
      <c r="E71" s="350"/>
      <c r="F71" s="350"/>
      <c r="G71" s="350"/>
      <c r="H71" s="350"/>
      <c r="I71" s="351"/>
    </row>
    <row r="72" spans="1:9" s="76" customFormat="1" ht="17.25" customHeight="1" thickBot="1" x14ac:dyDescent="0.35">
      <c r="A72" s="330"/>
      <c r="B72" s="331"/>
      <c r="C72" s="362"/>
      <c r="D72" s="345"/>
      <c r="E72" s="345"/>
      <c r="F72" s="345"/>
      <c r="G72" s="345"/>
      <c r="H72" s="345"/>
      <c r="I72" s="346"/>
    </row>
    <row r="73" spans="1:9" s="76" customFormat="1" ht="17.25" customHeight="1" x14ac:dyDescent="0.3">
      <c r="A73" s="326" t="s">
        <v>50</v>
      </c>
      <c r="B73" s="327"/>
      <c r="C73" s="389" t="s">
        <v>325</v>
      </c>
      <c r="D73" s="368"/>
      <c r="E73" s="368"/>
      <c r="F73" s="368"/>
      <c r="G73" s="368"/>
      <c r="H73" s="368"/>
      <c r="I73" s="369"/>
    </row>
    <row r="74" spans="1:9" s="76" customFormat="1" ht="17.25" customHeight="1" thickBot="1" x14ac:dyDescent="0.35">
      <c r="A74" s="330"/>
      <c r="B74" s="331"/>
      <c r="C74" s="354"/>
      <c r="D74" s="352"/>
      <c r="E74" s="352"/>
      <c r="F74" s="352"/>
      <c r="G74" s="352"/>
      <c r="H74" s="352"/>
      <c r="I74" s="353"/>
    </row>
    <row r="75" spans="1:9" s="76" customFormat="1" ht="17.25" customHeight="1" x14ac:dyDescent="0.3">
      <c r="A75" s="326" t="s">
        <v>51</v>
      </c>
      <c r="B75" s="327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317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318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375" t="s">
        <v>61</v>
      </c>
      <c r="B78" s="376"/>
      <c r="C78" s="382" t="s">
        <v>62</v>
      </c>
      <c r="D78" s="383"/>
      <c r="E78" s="384" t="s">
        <v>63</v>
      </c>
      <c r="F78" s="383"/>
      <c r="G78" s="385" t="s">
        <v>64</v>
      </c>
      <c r="H78" s="386"/>
      <c r="I78" s="90" t="s">
        <v>65</v>
      </c>
    </row>
    <row r="79" spans="1:9" s="76" customFormat="1" ht="17.25" customHeight="1" thickBot="1" x14ac:dyDescent="0.35">
      <c r="A79" s="377"/>
      <c r="B79" s="378"/>
      <c r="C79" s="92">
        <v>0.25</v>
      </c>
      <c r="D79" s="93" t="s">
        <v>319</v>
      </c>
      <c r="E79" s="94">
        <v>0.77083333333333337</v>
      </c>
      <c r="F79" s="93" t="s">
        <v>320</v>
      </c>
      <c r="G79" s="387" t="s">
        <v>321</v>
      </c>
      <c r="H79" s="388"/>
      <c r="I79" s="95" t="s">
        <v>322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372" t="s">
        <v>66</v>
      </c>
      <c r="I80" s="372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1:I1"/>
    <mergeCell ref="A2:B2"/>
    <mergeCell ref="C2:D2"/>
    <mergeCell ref="E2:E3"/>
    <mergeCell ref="F2:G2"/>
    <mergeCell ref="H2:I2"/>
    <mergeCell ref="A3:B3"/>
    <mergeCell ref="F3:G3"/>
    <mergeCell ref="H3:I3"/>
    <mergeCell ref="A4:H4"/>
    <mergeCell ref="A7:H7"/>
    <mergeCell ref="A9:A11"/>
    <mergeCell ref="B9:B11"/>
    <mergeCell ref="C9:D9"/>
    <mergeCell ref="E9:F9"/>
    <mergeCell ref="G9:H9"/>
    <mergeCell ref="A12:A51"/>
    <mergeCell ref="A52:B56"/>
    <mergeCell ref="C53:C54"/>
    <mergeCell ref="D53:D54"/>
    <mergeCell ref="E53:E54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opLeftCell="A49" zoomScale="90" zoomScaleNormal="90" workbookViewId="0">
      <selection activeCell="C62" sqref="C62:I62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296" t="s">
        <v>0</v>
      </c>
      <c r="B1" s="297"/>
      <c r="C1" s="297"/>
      <c r="D1" s="297"/>
      <c r="E1" s="297"/>
      <c r="F1" s="297"/>
      <c r="G1" s="297"/>
      <c r="H1" s="297"/>
      <c r="I1" s="298"/>
    </row>
    <row r="2" spans="1:9" x14ac:dyDescent="0.3">
      <c r="A2" s="299" t="s">
        <v>1</v>
      </c>
      <c r="B2" s="300"/>
      <c r="C2" s="301" t="s">
        <v>334</v>
      </c>
      <c r="D2" s="302"/>
      <c r="E2" s="303" t="s">
        <v>77</v>
      </c>
      <c r="F2" s="305" t="s">
        <v>2</v>
      </c>
      <c r="G2" s="306"/>
      <c r="H2" s="307" t="s">
        <v>76</v>
      </c>
      <c r="I2" s="308"/>
    </row>
    <row r="3" spans="1:9" x14ac:dyDescent="0.3">
      <c r="A3" s="309" t="s">
        <v>3</v>
      </c>
      <c r="B3" s="310"/>
      <c r="C3" s="4" t="s">
        <v>335</v>
      </c>
      <c r="D3" s="5" t="s">
        <v>4</v>
      </c>
      <c r="E3" s="304"/>
      <c r="F3" s="311" t="s">
        <v>336</v>
      </c>
      <c r="G3" s="312"/>
      <c r="H3" s="313">
        <f>G11+'8일'!H3:I3</f>
        <v>17614900</v>
      </c>
      <c r="I3" s="314"/>
    </row>
    <row r="4" spans="1:9" ht="7.5" customHeight="1" x14ac:dyDescent="0.3">
      <c r="A4" s="315"/>
      <c r="B4" s="316"/>
      <c r="C4" s="316"/>
      <c r="D4" s="316"/>
      <c r="E4" s="316"/>
      <c r="F4" s="316"/>
      <c r="G4" s="316"/>
      <c r="H4" s="316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337</v>
      </c>
      <c r="F6" s="15" t="s">
        <v>338</v>
      </c>
      <c r="G6" s="16" t="s">
        <v>339</v>
      </c>
      <c r="H6" s="17">
        <v>0.25</v>
      </c>
      <c r="I6" s="18">
        <v>0.25</v>
      </c>
    </row>
    <row r="7" spans="1:9" ht="7.5" customHeight="1" x14ac:dyDescent="0.3">
      <c r="A7" s="315"/>
      <c r="B7" s="316"/>
      <c r="C7" s="316"/>
      <c r="D7" s="316"/>
      <c r="E7" s="316"/>
      <c r="F7" s="316"/>
      <c r="G7" s="316"/>
      <c r="H7" s="316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79" t="s">
        <v>10</v>
      </c>
      <c r="B9" s="317" t="s">
        <v>11</v>
      </c>
      <c r="C9" s="320" t="s">
        <v>68</v>
      </c>
      <c r="D9" s="303"/>
      <c r="E9" s="303" t="s">
        <v>67</v>
      </c>
      <c r="F9" s="303"/>
      <c r="G9" s="303" t="s">
        <v>69</v>
      </c>
      <c r="H9" s="303"/>
      <c r="I9" s="373" t="s">
        <v>78</v>
      </c>
    </row>
    <row r="10" spans="1:9" ht="18" customHeight="1" x14ac:dyDescent="0.3">
      <c r="A10" s="380"/>
      <c r="B10" s="318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74"/>
    </row>
    <row r="11" spans="1:9" ht="17.25" thickBot="1" x14ac:dyDescent="0.35">
      <c r="A11" s="381"/>
      <c r="B11" s="319"/>
      <c r="C11" s="101">
        <v>1392500</v>
      </c>
      <c r="D11" s="102">
        <v>112</v>
      </c>
      <c r="E11" s="109">
        <f>SUM(E55:I56)</f>
        <v>203800</v>
      </c>
      <c r="F11" s="109">
        <f>SUM(E53:I54)</f>
        <v>10</v>
      </c>
      <c r="G11" s="110">
        <f>C11+E11</f>
        <v>1596300</v>
      </c>
      <c r="H11" s="110">
        <f>D11+F11</f>
        <v>122</v>
      </c>
      <c r="I11" s="111">
        <f>G11/H11</f>
        <v>13084.426229508197</v>
      </c>
    </row>
    <row r="12" spans="1:9" ht="30" customHeight="1" x14ac:dyDescent="0.3">
      <c r="A12" s="321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24" t="s">
        <v>19</v>
      </c>
      <c r="G12" s="325"/>
      <c r="H12" s="158" t="s">
        <v>20</v>
      </c>
      <c r="I12" s="100" t="s">
        <v>21</v>
      </c>
    </row>
    <row r="13" spans="1:9" ht="17.25" customHeight="1" x14ac:dyDescent="0.3">
      <c r="A13" s="322"/>
      <c r="B13" s="21" t="s">
        <v>23</v>
      </c>
      <c r="C13" s="22">
        <v>30</v>
      </c>
      <c r="D13" s="23"/>
      <c r="E13" s="22"/>
      <c r="F13" s="24"/>
      <c r="G13" s="25"/>
      <c r="H13" s="23"/>
      <c r="I13" s="26">
        <f>C13-D13-D14*1/2-E13-E14*1/2+F13-H13-H14*1/2-I14*1/2</f>
        <v>30</v>
      </c>
    </row>
    <row r="14" spans="1:9" ht="17.25" customHeight="1" x14ac:dyDescent="0.3">
      <c r="A14" s="322"/>
      <c r="B14" s="27" t="s">
        <v>24</v>
      </c>
      <c r="C14" s="28"/>
      <c r="D14" s="29"/>
      <c r="E14" s="30"/>
      <c r="F14" s="31"/>
      <c r="G14" s="25"/>
      <c r="H14" s="29"/>
      <c r="I14" s="32"/>
    </row>
    <row r="15" spans="1:9" ht="17.25" customHeight="1" x14ac:dyDescent="0.3">
      <c r="A15" s="322"/>
      <c r="B15" s="27" t="s">
        <v>25</v>
      </c>
      <c r="C15" s="33">
        <v>28</v>
      </c>
      <c r="D15" s="29"/>
      <c r="E15" s="30"/>
      <c r="F15" s="34"/>
      <c r="G15" s="25"/>
      <c r="H15" s="29"/>
      <c r="I15" s="35">
        <f>C15-D15-D16*1/2-E15-E16*1/2+F15-H15-H16*1/2-I16*1/2</f>
        <v>28</v>
      </c>
    </row>
    <row r="16" spans="1:9" ht="17.25" customHeight="1" x14ac:dyDescent="0.3">
      <c r="A16" s="322"/>
      <c r="B16" s="27" t="s">
        <v>26</v>
      </c>
      <c r="C16" s="28"/>
      <c r="D16" s="29"/>
      <c r="E16" s="30"/>
      <c r="F16" s="31"/>
      <c r="G16" s="25"/>
      <c r="H16" s="29"/>
      <c r="I16" s="36"/>
    </row>
    <row r="17" spans="1:9" ht="17.25" customHeight="1" x14ac:dyDescent="0.3">
      <c r="A17" s="322"/>
      <c r="B17" s="27" t="s">
        <v>27</v>
      </c>
      <c r="C17" s="33">
        <v>29</v>
      </c>
      <c r="D17" s="29"/>
      <c r="E17" s="30"/>
      <c r="F17" s="34"/>
      <c r="G17" s="118"/>
      <c r="H17" s="29"/>
      <c r="I17" s="37">
        <f>C17-D17-D18*1/2-E17-E18*1/2+F17-H17-H18*1/2-I18*1/2</f>
        <v>29</v>
      </c>
    </row>
    <row r="18" spans="1:9" ht="17.25" customHeight="1" x14ac:dyDescent="0.3">
      <c r="A18" s="322"/>
      <c r="B18" s="27" t="s">
        <v>28</v>
      </c>
      <c r="C18" s="28"/>
      <c r="D18" s="29"/>
      <c r="E18" s="30"/>
      <c r="F18" s="31"/>
      <c r="G18" s="25"/>
      <c r="H18" s="29"/>
      <c r="I18" s="36"/>
    </row>
    <row r="19" spans="1:9" ht="17.25" customHeight="1" x14ac:dyDescent="0.3">
      <c r="A19" s="322"/>
      <c r="B19" s="27" t="s">
        <v>29</v>
      </c>
      <c r="C19" s="33">
        <v>16</v>
      </c>
      <c r="D19" s="29"/>
      <c r="E19" s="30"/>
      <c r="F19" s="34"/>
      <c r="G19" s="25"/>
      <c r="H19" s="29"/>
      <c r="I19" s="35">
        <f>C19-D19-D20*1/2-E19-E20*1/2+F19-H19-H20*1/2-I20*1/2</f>
        <v>16</v>
      </c>
    </row>
    <row r="20" spans="1:9" ht="17.25" customHeight="1" x14ac:dyDescent="0.3">
      <c r="A20" s="322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22"/>
      <c r="B21" s="39" t="s">
        <v>31</v>
      </c>
      <c r="C21" s="40">
        <v>82</v>
      </c>
      <c r="D21" s="41"/>
      <c r="E21" s="42"/>
      <c r="F21" s="43"/>
      <c r="G21" s="44"/>
      <c r="H21" s="43"/>
      <c r="I21" s="45">
        <f t="shared" ref="I21:I48" si="0">C21-D21-E21+F21-H21</f>
        <v>82</v>
      </c>
    </row>
    <row r="22" spans="1:9" ht="17.25" customHeight="1" x14ac:dyDescent="0.3">
      <c r="A22" s="322"/>
      <c r="B22" s="21" t="s">
        <v>32</v>
      </c>
      <c r="C22" s="46">
        <v>44</v>
      </c>
      <c r="D22" s="23"/>
      <c r="E22" s="47">
        <v>1</v>
      </c>
      <c r="F22" s="48"/>
      <c r="G22" s="25"/>
      <c r="H22" s="48"/>
      <c r="I22" s="49">
        <f t="shared" si="0"/>
        <v>43</v>
      </c>
    </row>
    <row r="23" spans="1:9" ht="17.25" customHeight="1" x14ac:dyDescent="0.3">
      <c r="A23" s="322"/>
      <c r="B23" s="27" t="s">
        <v>33</v>
      </c>
      <c r="C23" s="33">
        <v>185</v>
      </c>
      <c r="D23" s="29">
        <v>1</v>
      </c>
      <c r="E23" s="50"/>
      <c r="F23" s="51"/>
      <c r="G23" s="25"/>
      <c r="H23" s="51"/>
      <c r="I23" s="52">
        <f>C23-D23-D24-E23-E24+F23+F24-H23-H24-I24</f>
        <v>184</v>
      </c>
    </row>
    <row r="24" spans="1:9" ht="17.25" customHeight="1" x14ac:dyDescent="0.3">
      <c r="A24" s="322"/>
      <c r="B24" s="160" t="s">
        <v>34</v>
      </c>
      <c r="C24" s="53"/>
      <c r="D24" s="41"/>
      <c r="E24" s="42"/>
      <c r="F24" s="43"/>
      <c r="G24" s="113"/>
      <c r="H24" s="43"/>
      <c r="I24" s="54"/>
    </row>
    <row r="25" spans="1:9" ht="17.25" customHeight="1" x14ac:dyDescent="0.3">
      <c r="A25" s="322"/>
      <c r="B25" s="21" t="s">
        <v>35</v>
      </c>
      <c r="C25" s="46">
        <v>48</v>
      </c>
      <c r="D25" s="23"/>
      <c r="E25" s="47"/>
      <c r="F25" s="48"/>
      <c r="G25" s="112"/>
      <c r="H25" s="48"/>
      <c r="I25" s="49">
        <f t="shared" si="0"/>
        <v>48</v>
      </c>
    </row>
    <row r="26" spans="1:9" ht="17.25" customHeight="1" x14ac:dyDescent="0.3">
      <c r="A26" s="322"/>
      <c r="B26" s="160" t="s">
        <v>36</v>
      </c>
      <c r="C26" s="55">
        <v>44</v>
      </c>
      <c r="D26" s="41"/>
      <c r="E26" s="42"/>
      <c r="F26" s="43"/>
      <c r="G26" s="113"/>
      <c r="H26" s="43"/>
      <c r="I26" s="45">
        <f t="shared" si="0"/>
        <v>44</v>
      </c>
    </row>
    <row r="27" spans="1:9" ht="17.25" customHeight="1" x14ac:dyDescent="0.3">
      <c r="A27" s="322"/>
      <c r="B27" s="21" t="s">
        <v>37</v>
      </c>
      <c r="C27" s="46">
        <v>35</v>
      </c>
      <c r="D27" s="23"/>
      <c r="E27" s="47"/>
      <c r="F27" s="48"/>
      <c r="G27" s="112"/>
      <c r="H27" s="48"/>
      <c r="I27" s="49">
        <f t="shared" si="0"/>
        <v>35</v>
      </c>
    </row>
    <row r="28" spans="1:9" ht="17.25" customHeight="1" x14ac:dyDescent="0.3">
      <c r="A28" s="322"/>
      <c r="B28" s="160" t="s">
        <v>38</v>
      </c>
      <c r="C28" s="55">
        <v>30</v>
      </c>
      <c r="D28" s="41"/>
      <c r="E28" s="42"/>
      <c r="F28" s="43"/>
      <c r="G28" s="113"/>
      <c r="H28" s="43"/>
      <c r="I28" s="45">
        <f t="shared" si="0"/>
        <v>30</v>
      </c>
    </row>
    <row r="29" spans="1:9" ht="17.25" customHeight="1" x14ac:dyDescent="0.3">
      <c r="A29" s="322"/>
      <c r="B29" s="21" t="s">
        <v>39</v>
      </c>
      <c r="C29" s="46">
        <v>10</v>
      </c>
      <c r="D29" s="23"/>
      <c r="E29" s="47"/>
      <c r="F29" s="48"/>
      <c r="G29" s="25"/>
      <c r="H29" s="48"/>
      <c r="I29" s="49">
        <f t="shared" si="0"/>
        <v>10</v>
      </c>
    </row>
    <row r="30" spans="1:9" ht="17.25" customHeight="1" x14ac:dyDescent="0.3">
      <c r="A30" s="322"/>
      <c r="B30" s="56" t="s">
        <v>40</v>
      </c>
      <c r="C30" s="57">
        <v>111</v>
      </c>
      <c r="D30" s="29"/>
      <c r="E30" s="50">
        <v>1</v>
      </c>
      <c r="F30" s="51"/>
      <c r="G30" s="25"/>
      <c r="H30" s="51"/>
      <c r="I30" s="52">
        <f>C30-D30-D31-E30-E31+F30+F31-H30-H31-I31</f>
        <v>110</v>
      </c>
    </row>
    <row r="31" spans="1:9" ht="17.25" customHeight="1" x14ac:dyDescent="0.3">
      <c r="A31" s="322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22"/>
      <c r="B32" s="179" t="s">
        <v>117</v>
      </c>
      <c r="C32" s="184"/>
      <c r="D32" s="23"/>
      <c r="E32" s="47"/>
      <c r="F32" s="48"/>
      <c r="G32" s="116"/>
      <c r="H32" s="48"/>
      <c r="I32" s="187">
        <v>1</v>
      </c>
    </row>
    <row r="33" spans="1:9" ht="17.25" customHeight="1" x14ac:dyDescent="0.3">
      <c r="A33" s="322"/>
      <c r="B33" s="179" t="s">
        <v>119</v>
      </c>
      <c r="C33" s="185"/>
      <c r="D33" s="29"/>
      <c r="E33" s="50"/>
      <c r="F33" s="51"/>
      <c r="G33" s="25"/>
      <c r="H33" s="51"/>
      <c r="I33" s="188"/>
    </row>
    <row r="34" spans="1:9" ht="17.25" customHeight="1" x14ac:dyDescent="0.3">
      <c r="A34" s="322"/>
      <c r="B34" s="179" t="s">
        <v>121</v>
      </c>
      <c r="C34" s="186"/>
      <c r="D34" s="60"/>
      <c r="E34" s="61"/>
      <c r="F34" s="62"/>
      <c r="G34" s="113"/>
      <c r="H34" s="62"/>
      <c r="I34" s="189"/>
    </row>
    <row r="35" spans="1:9" ht="17.25" customHeight="1" x14ac:dyDescent="0.3">
      <c r="A35" s="322"/>
      <c r="B35" s="191" t="s">
        <v>79</v>
      </c>
      <c r="C35" s="281"/>
      <c r="D35" s="23"/>
      <c r="E35" s="47"/>
      <c r="F35" s="48"/>
      <c r="G35" s="116"/>
      <c r="H35" s="48"/>
      <c r="I35" s="282">
        <v>0</v>
      </c>
    </row>
    <row r="36" spans="1:9" ht="17.25" customHeight="1" x14ac:dyDescent="0.3">
      <c r="A36" s="322"/>
      <c r="B36" s="153" t="s">
        <v>80</v>
      </c>
      <c r="C36" s="121">
        <v>20</v>
      </c>
      <c r="D36" s="122"/>
      <c r="E36" s="123"/>
      <c r="F36" s="124"/>
      <c r="G36" s="112"/>
      <c r="H36" s="124"/>
      <c r="I36" s="52">
        <f>C36-D36-E36+F36-H36</f>
        <v>20</v>
      </c>
    </row>
    <row r="37" spans="1:9" ht="17.25" customHeight="1" x14ac:dyDescent="0.3">
      <c r="A37" s="322"/>
      <c r="B37" s="163" t="s">
        <v>107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22"/>
      <c r="B38" s="178" t="s">
        <v>131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22"/>
      <c r="B39" s="178" t="s">
        <v>109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22"/>
      <c r="B40" s="178" t="s">
        <v>133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22"/>
      <c r="B41" s="178" t="s">
        <v>111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22"/>
      <c r="B42" s="178" t="s">
        <v>135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22"/>
      <c r="B43" s="178" t="s">
        <v>113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22"/>
      <c r="B44" s="178" t="s">
        <v>125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22"/>
      <c r="B45" s="164" t="s">
        <v>115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22"/>
      <c r="B46" s="120" t="s">
        <v>89</v>
      </c>
      <c r="C46" s="154">
        <v>12</v>
      </c>
      <c r="D46" s="23"/>
      <c r="E46" s="47"/>
      <c r="F46" s="48"/>
      <c r="G46" s="116"/>
      <c r="H46" s="48"/>
      <c r="I46" s="49">
        <f t="shared" si="0"/>
        <v>12</v>
      </c>
    </row>
    <row r="47" spans="1:9" ht="17.25" customHeight="1" x14ac:dyDescent="0.3">
      <c r="A47" s="322"/>
      <c r="B47" s="120" t="s">
        <v>88</v>
      </c>
      <c r="C47" s="121">
        <v>7</v>
      </c>
      <c r="D47" s="122"/>
      <c r="E47" s="123"/>
      <c r="F47" s="124"/>
      <c r="G47" s="112"/>
      <c r="H47" s="124"/>
      <c r="I47" s="52">
        <f t="shared" si="0"/>
        <v>7</v>
      </c>
    </row>
    <row r="48" spans="1:9" ht="17.25" customHeight="1" x14ac:dyDescent="0.3">
      <c r="A48" s="322"/>
      <c r="B48" s="56" t="s">
        <v>123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22"/>
      <c r="B49" s="179" t="s">
        <v>127</v>
      </c>
      <c r="C49" s="192"/>
      <c r="D49" s="180"/>
      <c r="E49" s="181"/>
      <c r="F49" s="182"/>
      <c r="G49" s="183"/>
      <c r="H49" s="182"/>
      <c r="I49" s="195">
        <v>1</v>
      </c>
    </row>
    <row r="50" spans="1:10" ht="17.25" customHeight="1" x14ac:dyDescent="0.3">
      <c r="A50" s="322"/>
      <c r="B50" s="58" t="s">
        <v>129</v>
      </c>
      <c r="C50" s="59"/>
      <c r="D50" s="60"/>
      <c r="E50" s="61"/>
      <c r="F50" s="62"/>
      <c r="G50" s="113"/>
      <c r="H50" s="62"/>
      <c r="I50" s="63">
        <v>0</v>
      </c>
    </row>
    <row r="51" spans="1:10" ht="17.25" customHeight="1" thickBot="1" x14ac:dyDescent="0.35">
      <c r="A51" s="323"/>
      <c r="B51" s="64" t="s">
        <v>42</v>
      </c>
      <c r="C51" s="65">
        <f>SUM(C13:C50)</f>
        <v>731</v>
      </c>
      <c r="D51" s="66">
        <f>SUM(D13:D46)</f>
        <v>1</v>
      </c>
      <c r="E51" s="67">
        <f>SUM(E13:E46)</f>
        <v>2</v>
      </c>
      <c r="F51" s="67">
        <f>SUM(F13:F46)</f>
        <v>0</v>
      </c>
      <c r="G51" s="68" t="s">
        <v>22</v>
      </c>
      <c r="H51" s="69">
        <f>SUM(H13:H46)</f>
        <v>0</v>
      </c>
      <c r="I51" s="70">
        <f>SUM(I13:I46)</f>
        <v>722</v>
      </c>
    </row>
    <row r="52" spans="1:10" ht="17.25" customHeight="1" x14ac:dyDescent="0.3">
      <c r="A52" s="326" t="s">
        <v>72</v>
      </c>
      <c r="B52" s="327"/>
      <c r="C52" s="71"/>
      <c r="D52" s="72" t="s">
        <v>163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28"/>
      <c r="B53" s="329"/>
      <c r="C53" s="332" t="s">
        <v>74</v>
      </c>
      <c r="D53" s="334"/>
      <c r="E53" s="336">
        <v>5</v>
      </c>
      <c r="F53" s="336">
        <v>1</v>
      </c>
      <c r="G53" s="336">
        <v>3</v>
      </c>
      <c r="H53" s="336"/>
      <c r="I53" s="339">
        <v>1</v>
      </c>
      <c r="J53" s="174"/>
    </row>
    <row r="54" spans="1:10" s="76" customFormat="1" ht="17.25" customHeight="1" x14ac:dyDescent="0.3">
      <c r="A54" s="328"/>
      <c r="B54" s="329"/>
      <c r="C54" s="333"/>
      <c r="D54" s="335"/>
      <c r="E54" s="337"/>
      <c r="F54" s="337"/>
      <c r="G54" s="337"/>
      <c r="H54" s="338"/>
      <c r="I54" s="340"/>
    </row>
    <row r="55" spans="1:10" s="76" customFormat="1" ht="17.25" customHeight="1" x14ac:dyDescent="0.3">
      <c r="A55" s="328"/>
      <c r="B55" s="329"/>
      <c r="C55" s="332" t="s">
        <v>75</v>
      </c>
      <c r="D55" s="334"/>
      <c r="E55" s="343">
        <v>115800</v>
      </c>
      <c r="F55" s="343">
        <v>20600</v>
      </c>
      <c r="G55" s="343">
        <v>29200</v>
      </c>
      <c r="H55" s="336"/>
      <c r="I55" s="347">
        <v>38200</v>
      </c>
    </row>
    <row r="56" spans="1:10" s="76" customFormat="1" ht="17.25" customHeight="1" thickBot="1" x14ac:dyDescent="0.35">
      <c r="A56" s="330"/>
      <c r="B56" s="331"/>
      <c r="C56" s="341"/>
      <c r="D56" s="342"/>
      <c r="E56" s="344"/>
      <c r="F56" s="344"/>
      <c r="G56" s="344"/>
      <c r="H56" s="344"/>
      <c r="I56" s="348"/>
    </row>
    <row r="57" spans="1:10" s="76" customFormat="1" ht="17.25" customHeight="1" x14ac:dyDescent="0.3">
      <c r="A57" s="326" t="s">
        <v>45</v>
      </c>
      <c r="B57" s="327"/>
      <c r="C57" s="349" t="s">
        <v>357</v>
      </c>
      <c r="D57" s="350"/>
      <c r="E57" s="350"/>
      <c r="F57" s="350"/>
      <c r="G57" s="350"/>
      <c r="H57" s="350"/>
      <c r="I57" s="351"/>
    </row>
    <row r="58" spans="1:10" s="76" customFormat="1" ht="17.25" customHeight="1" x14ac:dyDescent="0.3">
      <c r="A58" s="328"/>
      <c r="B58" s="329"/>
      <c r="C58" s="352" t="s">
        <v>354</v>
      </c>
      <c r="D58" s="352"/>
      <c r="E58" s="352"/>
      <c r="F58" s="352"/>
      <c r="G58" s="352"/>
      <c r="H58" s="352"/>
      <c r="I58" s="353"/>
    </row>
    <row r="59" spans="1:10" s="76" customFormat="1" ht="17.25" customHeight="1" x14ac:dyDescent="0.3">
      <c r="A59" s="328"/>
      <c r="B59" s="329"/>
      <c r="C59" s="354" t="s">
        <v>356</v>
      </c>
      <c r="D59" s="352"/>
      <c r="E59" s="352"/>
      <c r="F59" s="352"/>
      <c r="G59" s="352"/>
      <c r="H59" s="352"/>
      <c r="I59" s="353"/>
    </row>
    <row r="60" spans="1:10" s="76" customFormat="1" ht="17.25" customHeight="1" thickBot="1" x14ac:dyDescent="0.35">
      <c r="A60" s="330"/>
      <c r="B60" s="331"/>
      <c r="C60" s="345" t="s">
        <v>355</v>
      </c>
      <c r="D60" s="345"/>
      <c r="E60" s="345"/>
      <c r="F60" s="345"/>
      <c r="G60" s="345"/>
      <c r="H60" s="345"/>
      <c r="I60" s="346"/>
    </row>
    <row r="61" spans="1:10" s="76" customFormat="1" ht="17.25" customHeight="1" x14ac:dyDescent="0.3">
      <c r="A61" s="326" t="s">
        <v>73</v>
      </c>
      <c r="B61" s="327"/>
      <c r="C61" s="389" t="s">
        <v>340</v>
      </c>
      <c r="D61" s="368"/>
      <c r="E61" s="368"/>
      <c r="F61" s="368"/>
      <c r="G61" s="368"/>
      <c r="H61" s="368"/>
      <c r="I61" s="369"/>
    </row>
    <row r="62" spans="1:10" s="76" customFormat="1" ht="17.25" customHeight="1" x14ac:dyDescent="0.3">
      <c r="A62" s="328"/>
      <c r="B62" s="329"/>
      <c r="C62" s="354" t="s">
        <v>350</v>
      </c>
      <c r="D62" s="352"/>
      <c r="E62" s="352"/>
      <c r="F62" s="352"/>
      <c r="G62" s="352"/>
      <c r="H62" s="352"/>
      <c r="I62" s="353"/>
    </row>
    <row r="63" spans="1:10" s="76" customFormat="1" ht="17.25" customHeight="1" x14ac:dyDescent="0.3">
      <c r="A63" s="328"/>
      <c r="B63" s="329"/>
      <c r="C63" s="354" t="s">
        <v>351</v>
      </c>
      <c r="D63" s="352"/>
      <c r="E63" s="352"/>
      <c r="F63" s="352"/>
      <c r="G63" s="352"/>
      <c r="H63" s="352"/>
      <c r="I63" s="353"/>
    </row>
    <row r="64" spans="1:10" s="76" customFormat="1" ht="17.25" customHeight="1" thickBot="1" x14ac:dyDescent="0.35">
      <c r="A64" s="330"/>
      <c r="B64" s="331"/>
      <c r="C64" s="345"/>
      <c r="D64" s="345"/>
      <c r="E64" s="345"/>
      <c r="F64" s="345"/>
      <c r="G64" s="345"/>
      <c r="H64" s="345"/>
      <c r="I64" s="346"/>
    </row>
    <row r="65" spans="1:9" s="76" customFormat="1" ht="17.25" customHeight="1" x14ac:dyDescent="0.3">
      <c r="A65" s="363" t="s">
        <v>46</v>
      </c>
      <c r="B65" s="366" t="s">
        <v>47</v>
      </c>
      <c r="C65" s="368"/>
      <c r="D65" s="368"/>
      <c r="E65" s="368"/>
      <c r="F65" s="368"/>
      <c r="G65" s="368"/>
      <c r="H65" s="368"/>
      <c r="I65" s="369"/>
    </row>
    <row r="66" spans="1:9" s="76" customFormat="1" ht="17.25" customHeight="1" x14ac:dyDescent="0.3">
      <c r="A66" s="364"/>
      <c r="B66" s="367"/>
      <c r="C66" s="350"/>
      <c r="D66" s="350"/>
      <c r="E66" s="350"/>
      <c r="F66" s="350"/>
      <c r="G66" s="350"/>
      <c r="H66" s="350"/>
      <c r="I66" s="351"/>
    </row>
    <row r="67" spans="1:9" s="76" customFormat="1" ht="17.25" customHeight="1" x14ac:dyDescent="0.3">
      <c r="A67" s="364"/>
      <c r="B67" s="370" t="s">
        <v>48</v>
      </c>
      <c r="C67" s="352"/>
      <c r="D67" s="352"/>
      <c r="E67" s="352"/>
      <c r="F67" s="352"/>
      <c r="G67" s="352"/>
      <c r="H67" s="352"/>
      <c r="I67" s="353"/>
    </row>
    <row r="68" spans="1:9" s="76" customFormat="1" ht="17.25" customHeight="1" x14ac:dyDescent="0.3">
      <c r="A68" s="364"/>
      <c r="B68" s="367"/>
      <c r="C68" s="350"/>
      <c r="D68" s="350"/>
      <c r="E68" s="350"/>
      <c r="F68" s="350"/>
      <c r="G68" s="350"/>
      <c r="H68" s="350"/>
      <c r="I68" s="351"/>
    </row>
    <row r="69" spans="1:9" s="76" customFormat="1" ht="17.25" customHeight="1" thickBot="1" x14ac:dyDescent="0.35">
      <c r="A69" s="365"/>
      <c r="B69" s="371"/>
      <c r="C69" s="362"/>
      <c r="D69" s="345"/>
      <c r="E69" s="345"/>
      <c r="F69" s="345"/>
      <c r="G69" s="345"/>
      <c r="H69" s="345"/>
      <c r="I69" s="346"/>
    </row>
    <row r="70" spans="1:9" s="76" customFormat="1" ht="17.25" customHeight="1" x14ac:dyDescent="0.3">
      <c r="A70" s="326" t="s">
        <v>49</v>
      </c>
      <c r="B70" s="327"/>
      <c r="C70" s="350" t="s">
        <v>341</v>
      </c>
      <c r="D70" s="350"/>
      <c r="E70" s="350"/>
      <c r="F70" s="350"/>
      <c r="G70" s="350"/>
      <c r="H70" s="350"/>
      <c r="I70" s="351"/>
    </row>
    <row r="71" spans="1:9" s="76" customFormat="1" ht="17.25" customHeight="1" x14ac:dyDescent="0.3">
      <c r="A71" s="328"/>
      <c r="B71" s="329"/>
      <c r="C71" s="350" t="s">
        <v>343</v>
      </c>
      <c r="D71" s="350"/>
      <c r="E71" s="350"/>
      <c r="F71" s="350"/>
      <c r="G71" s="350"/>
      <c r="H71" s="350"/>
      <c r="I71" s="351"/>
    </row>
    <row r="72" spans="1:9" s="76" customFormat="1" ht="17.25" customHeight="1" thickBot="1" x14ac:dyDescent="0.35">
      <c r="A72" s="330"/>
      <c r="B72" s="331"/>
      <c r="C72" s="362"/>
      <c r="D72" s="345"/>
      <c r="E72" s="345"/>
      <c r="F72" s="345"/>
      <c r="G72" s="345"/>
      <c r="H72" s="345"/>
      <c r="I72" s="346"/>
    </row>
    <row r="73" spans="1:9" s="76" customFormat="1" ht="17.25" customHeight="1" x14ac:dyDescent="0.3">
      <c r="A73" s="326" t="s">
        <v>50</v>
      </c>
      <c r="B73" s="327"/>
      <c r="C73" s="389" t="s">
        <v>342</v>
      </c>
      <c r="D73" s="368"/>
      <c r="E73" s="368"/>
      <c r="F73" s="368"/>
      <c r="G73" s="368"/>
      <c r="H73" s="368"/>
      <c r="I73" s="369"/>
    </row>
    <row r="74" spans="1:9" s="76" customFormat="1" ht="17.25" customHeight="1" thickBot="1" x14ac:dyDescent="0.35">
      <c r="A74" s="330"/>
      <c r="B74" s="331"/>
      <c r="C74" s="354" t="s">
        <v>353</v>
      </c>
      <c r="D74" s="352"/>
      <c r="E74" s="352"/>
      <c r="F74" s="352"/>
      <c r="G74" s="352"/>
      <c r="H74" s="352"/>
      <c r="I74" s="353"/>
    </row>
    <row r="75" spans="1:9" s="76" customFormat="1" ht="17.25" customHeight="1" x14ac:dyDescent="0.3">
      <c r="A75" s="326" t="s">
        <v>51</v>
      </c>
      <c r="B75" s="327"/>
      <c r="C75" s="78" t="s">
        <v>352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344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345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375" t="s">
        <v>61</v>
      </c>
      <c r="B78" s="376"/>
      <c r="C78" s="382" t="s">
        <v>62</v>
      </c>
      <c r="D78" s="383"/>
      <c r="E78" s="384" t="s">
        <v>63</v>
      </c>
      <c r="F78" s="383"/>
      <c r="G78" s="385" t="s">
        <v>64</v>
      </c>
      <c r="H78" s="386"/>
      <c r="I78" s="90" t="s">
        <v>65</v>
      </c>
    </row>
    <row r="79" spans="1:9" s="76" customFormat="1" ht="17.25" customHeight="1" thickBot="1" x14ac:dyDescent="0.35">
      <c r="A79" s="377"/>
      <c r="B79" s="378"/>
      <c r="C79" s="92">
        <v>0.25</v>
      </c>
      <c r="D79" s="93" t="s">
        <v>346</v>
      </c>
      <c r="E79" s="94">
        <v>0.8125</v>
      </c>
      <c r="F79" s="93" t="s">
        <v>347</v>
      </c>
      <c r="G79" s="387" t="s">
        <v>348</v>
      </c>
      <c r="H79" s="388"/>
      <c r="I79" s="95" t="s">
        <v>349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372" t="s">
        <v>66</v>
      </c>
      <c r="I80" s="372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1:I1"/>
    <mergeCell ref="A2:B2"/>
    <mergeCell ref="C2:D2"/>
    <mergeCell ref="E2:E3"/>
    <mergeCell ref="F2:G2"/>
    <mergeCell ref="H2:I2"/>
    <mergeCell ref="A3:B3"/>
    <mergeCell ref="F3:G3"/>
    <mergeCell ref="H3:I3"/>
    <mergeCell ref="A4:H4"/>
    <mergeCell ref="A7:H7"/>
    <mergeCell ref="A9:A11"/>
    <mergeCell ref="B9:B11"/>
    <mergeCell ref="C9:D9"/>
    <mergeCell ref="E9:F9"/>
    <mergeCell ref="G9:H9"/>
    <mergeCell ref="A12:A51"/>
    <mergeCell ref="A52:B56"/>
    <mergeCell ref="C53:C54"/>
    <mergeCell ref="D53:D54"/>
    <mergeCell ref="E53:E54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zoomScale="90" zoomScaleNormal="90" workbookViewId="0">
      <selection activeCell="L23" sqref="L23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296" t="s">
        <v>0</v>
      </c>
      <c r="B1" s="297"/>
      <c r="C1" s="297"/>
      <c r="D1" s="297"/>
      <c r="E1" s="297"/>
      <c r="F1" s="297"/>
      <c r="G1" s="297"/>
      <c r="H1" s="297"/>
      <c r="I1" s="298"/>
    </row>
    <row r="2" spans="1:9" x14ac:dyDescent="0.3">
      <c r="A2" s="299" t="s">
        <v>1</v>
      </c>
      <c r="B2" s="300"/>
      <c r="C2" s="301" t="s">
        <v>358</v>
      </c>
      <c r="D2" s="302"/>
      <c r="E2" s="303" t="s">
        <v>77</v>
      </c>
      <c r="F2" s="305" t="s">
        <v>2</v>
      </c>
      <c r="G2" s="306"/>
      <c r="H2" s="307" t="s">
        <v>76</v>
      </c>
      <c r="I2" s="308"/>
    </row>
    <row r="3" spans="1:9" x14ac:dyDescent="0.3">
      <c r="A3" s="309" t="s">
        <v>3</v>
      </c>
      <c r="B3" s="310"/>
      <c r="C3" s="4" t="s">
        <v>359</v>
      </c>
      <c r="D3" s="5" t="s">
        <v>4</v>
      </c>
      <c r="E3" s="304"/>
      <c r="F3" s="311" t="s">
        <v>360</v>
      </c>
      <c r="G3" s="312"/>
      <c r="H3" s="313">
        <f>G11+'9일'!H3:I3</f>
        <v>19782800</v>
      </c>
      <c r="I3" s="314"/>
    </row>
    <row r="4" spans="1:9" ht="7.5" customHeight="1" x14ac:dyDescent="0.3">
      <c r="A4" s="315"/>
      <c r="B4" s="316"/>
      <c r="C4" s="316"/>
      <c r="D4" s="316"/>
      <c r="E4" s="316"/>
      <c r="F4" s="316"/>
      <c r="G4" s="316"/>
      <c r="H4" s="316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361</v>
      </c>
      <c r="F6" s="15" t="s">
        <v>362</v>
      </c>
      <c r="G6" s="16" t="s">
        <v>363</v>
      </c>
      <c r="H6" s="17">
        <v>0.78</v>
      </c>
      <c r="I6" s="18">
        <v>0.27</v>
      </c>
    </row>
    <row r="7" spans="1:9" ht="7.5" customHeight="1" x14ac:dyDescent="0.3">
      <c r="A7" s="315"/>
      <c r="B7" s="316"/>
      <c r="C7" s="316"/>
      <c r="D7" s="316"/>
      <c r="E7" s="316"/>
      <c r="F7" s="316"/>
      <c r="G7" s="316"/>
      <c r="H7" s="316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79" t="s">
        <v>10</v>
      </c>
      <c r="B9" s="317" t="s">
        <v>11</v>
      </c>
      <c r="C9" s="320" t="s">
        <v>68</v>
      </c>
      <c r="D9" s="303"/>
      <c r="E9" s="303" t="s">
        <v>67</v>
      </c>
      <c r="F9" s="303"/>
      <c r="G9" s="303" t="s">
        <v>69</v>
      </c>
      <c r="H9" s="303"/>
      <c r="I9" s="373" t="s">
        <v>78</v>
      </c>
    </row>
    <row r="10" spans="1:9" ht="18" customHeight="1" x14ac:dyDescent="0.3">
      <c r="A10" s="380"/>
      <c r="B10" s="318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74"/>
    </row>
    <row r="11" spans="1:9" ht="17.25" thickBot="1" x14ac:dyDescent="0.35">
      <c r="A11" s="381"/>
      <c r="B11" s="319"/>
      <c r="C11" s="101">
        <v>1621800</v>
      </c>
      <c r="D11" s="102">
        <v>143</v>
      </c>
      <c r="E11" s="109">
        <f>SUM(E55:I56)</f>
        <v>546100</v>
      </c>
      <c r="F11" s="109">
        <f>SUM(E53:I54)</f>
        <v>6</v>
      </c>
      <c r="G11" s="110">
        <f>C11+E11</f>
        <v>2167900</v>
      </c>
      <c r="H11" s="110">
        <f>D11+F11</f>
        <v>149</v>
      </c>
      <c r="I11" s="111">
        <f>G11/H11</f>
        <v>14549.664429530201</v>
      </c>
    </row>
    <row r="12" spans="1:9" ht="30" customHeight="1" x14ac:dyDescent="0.3">
      <c r="A12" s="321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24" t="s">
        <v>19</v>
      </c>
      <c r="G12" s="325"/>
      <c r="H12" s="158" t="s">
        <v>20</v>
      </c>
      <c r="I12" s="100" t="s">
        <v>21</v>
      </c>
    </row>
    <row r="13" spans="1:9" ht="17.25" customHeight="1" x14ac:dyDescent="0.3">
      <c r="A13" s="322"/>
      <c r="B13" s="21" t="s">
        <v>23</v>
      </c>
      <c r="C13" s="22">
        <v>28</v>
      </c>
      <c r="D13" s="23"/>
      <c r="E13" s="22"/>
      <c r="F13" s="24"/>
      <c r="G13" s="25"/>
      <c r="H13" s="23">
        <v>9</v>
      </c>
      <c r="I13" s="26">
        <f>C13-D13-D14*1/2-E13-E14*1/2+F13-H13-H14*1/2-I14*1/2</f>
        <v>18</v>
      </c>
    </row>
    <row r="14" spans="1:9" ht="17.25" customHeight="1" x14ac:dyDescent="0.3">
      <c r="A14" s="322"/>
      <c r="B14" s="27" t="s">
        <v>24</v>
      </c>
      <c r="C14" s="28"/>
      <c r="D14" s="29">
        <v>1</v>
      </c>
      <c r="E14" s="30"/>
      <c r="F14" s="31"/>
      <c r="G14" s="25"/>
      <c r="H14" s="29">
        <v>1</v>
      </c>
      <c r="I14" s="32"/>
    </row>
    <row r="15" spans="1:9" ht="17.25" customHeight="1" x14ac:dyDescent="0.3">
      <c r="A15" s="322"/>
      <c r="B15" s="27" t="s">
        <v>25</v>
      </c>
      <c r="C15" s="33">
        <v>15</v>
      </c>
      <c r="D15" s="29"/>
      <c r="E15" s="30"/>
      <c r="F15" s="34"/>
      <c r="G15" s="25"/>
      <c r="H15" s="29">
        <v>1</v>
      </c>
      <c r="I15" s="35">
        <f>C15-D15-D16*1/2-E15-E16*1/2+F15-H15-H16*1/2-I16*1/2</f>
        <v>14</v>
      </c>
    </row>
    <row r="16" spans="1:9" ht="17.25" customHeight="1" x14ac:dyDescent="0.3">
      <c r="A16" s="322"/>
      <c r="B16" s="27" t="s">
        <v>26</v>
      </c>
      <c r="C16" s="28"/>
      <c r="D16" s="29"/>
      <c r="E16" s="30"/>
      <c r="F16" s="31"/>
      <c r="G16" s="25"/>
      <c r="H16" s="29"/>
      <c r="I16" s="36"/>
    </row>
    <row r="17" spans="1:9" ht="17.25" customHeight="1" x14ac:dyDescent="0.3">
      <c r="A17" s="322"/>
      <c r="B17" s="27" t="s">
        <v>27</v>
      </c>
      <c r="C17" s="33">
        <v>16</v>
      </c>
      <c r="D17" s="29">
        <v>1</v>
      </c>
      <c r="E17" s="30"/>
      <c r="F17" s="34"/>
      <c r="G17" s="118"/>
      <c r="H17" s="29">
        <v>1</v>
      </c>
      <c r="I17" s="37">
        <f>C17-D17-D18*1/2-E17-E18*1/2+F17-H17-H18*1/2-I18*1/2</f>
        <v>12.5</v>
      </c>
    </row>
    <row r="18" spans="1:9" ht="17.25" customHeight="1" x14ac:dyDescent="0.3">
      <c r="A18" s="322"/>
      <c r="B18" s="27" t="s">
        <v>28</v>
      </c>
      <c r="C18" s="28"/>
      <c r="D18" s="29"/>
      <c r="E18" s="30">
        <v>3</v>
      </c>
      <c r="F18" s="31"/>
      <c r="G18" s="25"/>
      <c r="H18" s="29"/>
      <c r="I18" s="36"/>
    </row>
    <row r="19" spans="1:9" ht="17.25" customHeight="1" x14ac:dyDescent="0.3">
      <c r="A19" s="322"/>
      <c r="B19" s="27" t="s">
        <v>29</v>
      </c>
      <c r="C19" s="33">
        <v>11</v>
      </c>
      <c r="D19" s="29"/>
      <c r="E19" s="30"/>
      <c r="F19" s="34"/>
      <c r="G19" s="25"/>
      <c r="H19" s="29"/>
      <c r="I19" s="35">
        <f>C19-D19-D20*1/2-E19-E20*1/2+F19-H19-H20*1/2-I20*1/2</f>
        <v>11</v>
      </c>
    </row>
    <row r="20" spans="1:9" ht="17.25" customHeight="1" x14ac:dyDescent="0.3">
      <c r="A20" s="322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22"/>
      <c r="B21" s="39" t="s">
        <v>31</v>
      </c>
      <c r="C21" s="40">
        <v>52</v>
      </c>
      <c r="D21" s="41"/>
      <c r="E21" s="42">
        <v>2</v>
      </c>
      <c r="F21" s="43"/>
      <c r="G21" s="44"/>
      <c r="H21" s="43"/>
      <c r="I21" s="45">
        <f t="shared" ref="I21:I48" si="0">C21-D21-E21+F21-H21</f>
        <v>50</v>
      </c>
    </row>
    <row r="22" spans="1:9" ht="17.25" customHeight="1" x14ac:dyDescent="0.3">
      <c r="A22" s="322"/>
      <c r="B22" s="21" t="s">
        <v>32</v>
      </c>
      <c r="C22" s="46">
        <v>30</v>
      </c>
      <c r="D22" s="23"/>
      <c r="E22" s="47">
        <v>1</v>
      </c>
      <c r="F22" s="48"/>
      <c r="G22" s="25"/>
      <c r="H22" s="48">
        <v>9</v>
      </c>
      <c r="I22" s="49">
        <f t="shared" si="0"/>
        <v>20</v>
      </c>
    </row>
    <row r="23" spans="1:9" ht="17.25" customHeight="1" x14ac:dyDescent="0.3">
      <c r="A23" s="322"/>
      <c r="B23" s="27" t="s">
        <v>33</v>
      </c>
      <c r="C23" s="33">
        <v>117</v>
      </c>
      <c r="D23" s="29"/>
      <c r="E23" s="50">
        <v>8</v>
      </c>
      <c r="F23" s="51"/>
      <c r="G23" s="25"/>
      <c r="H23" s="51">
        <v>28</v>
      </c>
      <c r="I23" s="52">
        <f>C23-D23-D24-E23-E24+F23+F24-H23-H24-I24</f>
        <v>81</v>
      </c>
    </row>
    <row r="24" spans="1:9" ht="17.25" customHeight="1" x14ac:dyDescent="0.3">
      <c r="A24" s="322"/>
      <c r="B24" s="160" t="s">
        <v>34</v>
      </c>
      <c r="C24" s="53"/>
      <c r="D24" s="41"/>
      <c r="E24" s="42"/>
      <c r="F24" s="43"/>
      <c r="G24" s="113"/>
      <c r="H24" s="43"/>
      <c r="I24" s="54"/>
    </row>
    <row r="25" spans="1:9" ht="17.25" customHeight="1" x14ac:dyDescent="0.3">
      <c r="A25" s="322"/>
      <c r="B25" s="21" t="s">
        <v>35</v>
      </c>
      <c r="C25" s="46">
        <v>21</v>
      </c>
      <c r="D25" s="23">
        <v>1</v>
      </c>
      <c r="E25" s="47"/>
      <c r="F25" s="48"/>
      <c r="G25" s="112"/>
      <c r="H25" s="48"/>
      <c r="I25" s="49">
        <f t="shared" si="0"/>
        <v>20</v>
      </c>
    </row>
    <row r="26" spans="1:9" ht="17.25" customHeight="1" x14ac:dyDescent="0.3">
      <c r="A26" s="322"/>
      <c r="B26" s="160" t="s">
        <v>36</v>
      </c>
      <c r="C26" s="55">
        <v>22</v>
      </c>
      <c r="D26" s="41"/>
      <c r="E26" s="42"/>
      <c r="F26" s="43"/>
      <c r="G26" s="113"/>
      <c r="H26" s="43"/>
      <c r="I26" s="45">
        <f t="shared" si="0"/>
        <v>22</v>
      </c>
    </row>
    <row r="27" spans="1:9" ht="17.25" customHeight="1" x14ac:dyDescent="0.3">
      <c r="A27" s="322"/>
      <c r="B27" s="21" t="s">
        <v>37</v>
      </c>
      <c r="C27" s="46">
        <v>23</v>
      </c>
      <c r="D27" s="23"/>
      <c r="E27" s="47"/>
      <c r="F27" s="48"/>
      <c r="G27" s="112"/>
      <c r="H27" s="48"/>
      <c r="I27" s="49">
        <f t="shared" si="0"/>
        <v>23</v>
      </c>
    </row>
    <row r="28" spans="1:9" ht="17.25" customHeight="1" x14ac:dyDescent="0.3">
      <c r="A28" s="322"/>
      <c r="B28" s="160" t="s">
        <v>38</v>
      </c>
      <c r="C28" s="55">
        <v>30</v>
      </c>
      <c r="D28" s="41">
        <v>2</v>
      </c>
      <c r="E28" s="42"/>
      <c r="F28" s="43"/>
      <c r="G28" s="113"/>
      <c r="H28" s="43"/>
      <c r="I28" s="45">
        <f t="shared" si="0"/>
        <v>28</v>
      </c>
    </row>
    <row r="29" spans="1:9" ht="17.25" customHeight="1" x14ac:dyDescent="0.3">
      <c r="A29" s="322"/>
      <c r="B29" s="21" t="s">
        <v>39</v>
      </c>
      <c r="C29" s="46">
        <v>5</v>
      </c>
      <c r="D29" s="23">
        <v>3</v>
      </c>
      <c r="E29" s="47"/>
      <c r="F29" s="48"/>
      <c r="G29" s="25"/>
      <c r="H29" s="48"/>
      <c r="I29" s="49">
        <f t="shared" si="0"/>
        <v>2</v>
      </c>
    </row>
    <row r="30" spans="1:9" ht="17.25" customHeight="1" x14ac:dyDescent="0.3">
      <c r="A30" s="322"/>
      <c r="B30" s="56" t="s">
        <v>40</v>
      </c>
      <c r="C30" s="57">
        <v>43</v>
      </c>
      <c r="D30" s="29">
        <v>14</v>
      </c>
      <c r="E30" s="50"/>
      <c r="F30" s="51"/>
      <c r="G30" s="25"/>
      <c r="H30" s="51"/>
      <c r="I30" s="52">
        <f>C30-D30-D31-E30-E31+F30+F31-H30-H31-I31</f>
        <v>29</v>
      </c>
    </row>
    <row r="31" spans="1:9" ht="17.25" customHeight="1" x14ac:dyDescent="0.3">
      <c r="A31" s="322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22"/>
      <c r="B32" s="179" t="s">
        <v>117</v>
      </c>
      <c r="C32" s="184"/>
      <c r="D32" s="23"/>
      <c r="E32" s="47"/>
      <c r="F32" s="48"/>
      <c r="G32" s="116"/>
      <c r="H32" s="48"/>
      <c r="I32" s="187">
        <v>2</v>
      </c>
    </row>
    <row r="33" spans="1:9" ht="17.25" customHeight="1" x14ac:dyDescent="0.3">
      <c r="A33" s="322"/>
      <c r="B33" s="179" t="s">
        <v>119</v>
      </c>
      <c r="C33" s="185"/>
      <c r="D33" s="29"/>
      <c r="E33" s="50"/>
      <c r="F33" s="51"/>
      <c r="G33" s="25"/>
      <c r="H33" s="51"/>
      <c r="I33" s="188">
        <v>2</v>
      </c>
    </row>
    <row r="34" spans="1:9" ht="17.25" customHeight="1" x14ac:dyDescent="0.3">
      <c r="A34" s="322"/>
      <c r="B34" s="179" t="s">
        <v>121</v>
      </c>
      <c r="C34" s="186"/>
      <c r="D34" s="60"/>
      <c r="E34" s="61"/>
      <c r="F34" s="62"/>
      <c r="G34" s="113"/>
      <c r="H34" s="62"/>
      <c r="I34" s="189"/>
    </row>
    <row r="35" spans="1:9" ht="17.25" customHeight="1" x14ac:dyDescent="0.3">
      <c r="A35" s="322"/>
      <c r="B35" s="191" t="s">
        <v>79</v>
      </c>
      <c r="C35" s="281"/>
      <c r="D35" s="23"/>
      <c r="E35" s="47"/>
      <c r="F35" s="48"/>
      <c r="G35" s="116"/>
      <c r="H35" s="48"/>
      <c r="I35" s="282"/>
    </row>
    <row r="36" spans="1:9" ht="17.25" customHeight="1" x14ac:dyDescent="0.3">
      <c r="A36" s="322"/>
      <c r="B36" s="153" t="s">
        <v>80</v>
      </c>
      <c r="C36" s="121">
        <v>15</v>
      </c>
      <c r="D36" s="122"/>
      <c r="E36" s="123">
        <v>1</v>
      </c>
      <c r="F36" s="124"/>
      <c r="G36" s="112"/>
      <c r="H36" s="124"/>
      <c r="I36" s="52">
        <f>C36-D36-E36+F36-H36</f>
        <v>14</v>
      </c>
    </row>
    <row r="37" spans="1:9" ht="17.25" customHeight="1" x14ac:dyDescent="0.3">
      <c r="A37" s="322"/>
      <c r="B37" s="163" t="s">
        <v>107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22"/>
      <c r="B38" s="178" t="s">
        <v>131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22"/>
      <c r="B39" s="178" t="s">
        <v>109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22"/>
      <c r="B40" s="178" t="s">
        <v>133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22"/>
      <c r="B41" s="178" t="s">
        <v>111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22"/>
      <c r="B42" s="178" t="s">
        <v>135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22"/>
      <c r="B43" s="178" t="s">
        <v>113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22"/>
      <c r="B44" s="178" t="s">
        <v>125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22"/>
      <c r="B45" s="164" t="s">
        <v>115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22"/>
      <c r="B46" s="120" t="s">
        <v>89</v>
      </c>
      <c r="C46" s="154">
        <v>11</v>
      </c>
      <c r="D46" s="23"/>
      <c r="E46" s="47"/>
      <c r="F46" s="48"/>
      <c r="G46" s="116"/>
      <c r="H46" s="48"/>
      <c r="I46" s="49">
        <f t="shared" si="0"/>
        <v>11</v>
      </c>
    </row>
    <row r="47" spans="1:9" ht="17.25" customHeight="1" x14ac:dyDescent="0.3">
      <c r="A47" s="322"/>
      <c r="B47" s="120" t="s">
        <v>88</v>
      </c>
      <c r="C47" s="121">
        <v>5</v>
      </c>
      <c r="D47" s="122"/>
      <c r="E47" s="123"/>
      <c r="F47" s="124"/>
      <c r="G47" s="112"/>
      <c r="H47" s="124"/>
      <c r="I47" s="52">
        <f t="shared" si="0"/>
        <v>5</v>
      </c>
    </row>
    <row r="48" spans="1:9" ht="17.25" customHeight="1" x14ac:dyDescent="0.3">
      <c r="A48" s="322"/>
      <c r="B48" s="56" t="s">
        <v>123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22"/>
      <c r="B49" s="179" t="s">
        <v>127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22"/>
      <c r="B50" s="58" t="s">
        <v>129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23"/>
      <c r="B51" s="64" t="s">
        <v>42</v>
      </c>
      <c r="C51" s="65">
        <f>SUM(C13:C50)</f>
        <v>444</v>
      </c>
      <c r="D51" s="66">
        <f>SUM(D13:D46)</f>
        <v>22</v>
      </c>
      <c r="E51" s="67">
        <f>SUM(E13:E46)</f>
        <v>15</v>
      </c>
      <c r="F51" s="67">
        <f>SUM(F13:F46)</f>
        <v>0</v>
      </c>
      <c r="G51" s="68" t="s">
        <v>22</v>
      </c>
      <c r="H51" s="69">
        <f>SUM(H13:H46)</f>
        <v>49</v>
      </c>
      <c r="I51" s="70">
        <f>SUM(I13:I46)</f>
        <v>359.5</v>
      </c>
    </row>
    <row r="52" spans="1:10" ht="17.25" customHeight="1" x14ac:dyDescent="0.3">
      <c r="A52" s="326" t="s">
        <v>72</v>
      </c>
      <c r="B52" s="327"/>
      <c r="C52" s="71"/>
      <c r="D52" s="72" t="s">
        <v>163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28"/>
      <c r="B53" s="329"/>
      <c r="C53" s="332" t="s">
        <v>74</v>
      </c>
      <c r="D53" s="334"/>
      <c r="E53" s="336">
        <v>2</v>
      </c>
      <c r="F53" s="336"/>
      <c r="G53" s="336">
        <v>2</v>
      </c>
      <c r="H53" s="336"/>
      <c r="I53" s="339">
        <v>2</v>
      </c>
      <c r="J53" s="174"/>
    </row>
    <row r="54" spans="1:10" s="76" customFormat="1" ht="17.25" customHeight="1" x14ac:dyDescent="0.3">
      <c r="A54" s="328"/>
      <c r="B54" s="329"/>
      <c r="C54" s="333"/>
      <c r="D54" s="335"/>
      <c r="E54" s="337"/>
      <c r="F54" s="337"/>
      <c r="G54" s="337"/>
      <c r="H54" s="338"/>
      <c r="I54" s="340"/>
    </row>
    <row r="55" spans="1:10" s="76" customFormat="1" ht="17.25" customHeight="1" x14ac:dyDescent="0.3">
      <c r="A55" s="328"/>
      <c r="B55" s="329"/>
      <c r="C55" s="332" t="s">
        <v>75</v>
      </c>
      <c r="D55" s="334"/>
      <c r="E55" s="343">
        <v>48100</v>
      </c>
      <c r="F55" s="343"/>
      <c r="G55" s="343">
        <v>21800</v>
      </c>
      <c r="H55" s="336"/>
      <c r="I55" s="347">
        <v>476200</v>
      </c>
    </row>
    <row r="56" spans="1:10" s="76" customFormat="1" ht="17.25" customHeight="1" thickBot="1" x14ac:dyDescent="0.35">
      <c r="A56" s="330"/>
      <c r="B56" s="331"/>
      <c r="C56" s="341"/>
      <c r="D56" s="342"/>
      <c r="E56" s="344"/>
      <c r="F56" s="344"/>
      <c r="G56" s="344"/>
      <c r="H56" s="344"/>
      <c r="I56" s="348"/>
    </row>
    <row r="57" spans="1:10" s="76" customFormat="1" ht="17.25" customHeight="1" x14ac:dyDescent="0.3">
      <c r="A57" s="326" t="s">
        <v>45</v>
      </c>
      <c r="B57" s="327"/>
      <c r="C57" s="349" t="s">
        <v>376</v>
      </c>
      <c r="D57" s="350"/>
      <c r="E57" s="350"/>
      <c r="F57" s="350"/>
      <c r="G57" s="350"/>
      <c r="H57" s="350"/>
      <c r="I57" s="351"/>
    </row>
    <row r="58" spans="1:10" s="76" customFormat="1" ht="17.25" customHeight="1" x14ac:dyDescent="0.3">
      <c r="A58" s="328"/>
      <c r="B58" s="329"/>
      <c r="C58" s="352"/>
      <c r="D58" s="352"/>
      <c r="E58" s="352"/>
      <c r="F58" s="352"/>
      <c r="G58" s="352"/>
      <c r="H58" s="352"/>
      <c r="I58" s="353"/>
    </row>
    <row r="59" spans="1:10" s="76" customFormat="1" ht="17.25" customHeight="1" x14ac:dyDescent="0.3">
      <c r="A59" s="328"/>
      <c r="B59" s="329"/>
      <c r="C59" s="354"/>
      <c r="D59" s="352"/>
      <c r="E59" s="352"/>
      <c r="F59" s="352"/>
      <c r="G59" s="352"/>
      <c r="H59" s="352"/>
      <c r="I59" s="353"/>
    </row>
    <row r="60" spans="1:10" s="76" customFormat="1" ht="17.25" customHeight="1" thickBot="1" x14ac:dyDescent="0.35">
      <c r="A60" s="330"/>
      <c r="B60" s="331"/>
      <c r="C60" s="345"/>
      <c r="D60" s="345"/>
      <c r="E60" s="345"/>
      <c r="F60" s="345"/>
      <c r="G60" s="345"/>
      <c r="H60" s="345"/>
      <c r="I60" s="346"/>
    </row>
    <row r="61" spans="1:10" s="76" customFormat="1" ht="17.25" customHeight="1" x14ac:dyDescent="0.3">
      <c r="A61" s="326" t="s">
        <v>73</v>
      </c>
      <c r="B61" s="327"/>
      <c r="C61" s="389" t="s">
        <v>364</v>
      </c>
      <c r="D61" s="368"/>
      <c r="E61" s="368"/>
      <c r="F61" s="368"/>
      <c r="G61" s="368"/>
      <c r="H61" s="368"/>
      <c r="I61" s="369"/>
    </row>
    <row r="62" spans="1:10" s="76" customFormat="1" ht="17.25" customHeight="1" x14ac:dyDescent="0.3">
      <c r="A62" s="328"/>
      <c r="B62" s="329"/>
      <c r="C62" s="354" t="s">
        <v>365</v>
      </c>
      <c r="D62" s="352"/>
      <c r="E62" s="352"/>
      <c r="F62" s="352"/>
      <c r="G62" s="352"/>
      <c r="H62" s="352"/>
      <c r="I62" s="353"/>
    </row>
    <row r="63" spans="1:10" s="76" customFormat="1" ht="17.25" customHeight="1" x14ac:dyDescent="0.3">
      <c r="A63" s="328"/>
      <c r="B63" s="329"/>
      <c r="C63" s="354" t="s">
        <v>375</v>
      </c>
      <c r="D63" s="352"/>
      <c r="E63" s="352"/>
      <c r="F63" s="352"/>
      <c r="G63" s="352"/>
      <c r="H63" s="352"/>
      <c r="I63" s="353"/>
    </row>
    <row r="64" spans="1:10" s="76" customFormat="1" ht="17.25" customHeight="1" thickBot="1" x14ac:dyDescent="0.35">
      <c r="A64" s="330"/>
      <c r="B64" s="331"/>
      <c r="C64" s="345"/>
      <c r="D64" s="345"/>
      <c r="E64" s="345"/>
      <c r="F64" s="345"/>
      <c r="G64" s="345"/>
      <c r="H64" s="345"/>
      <c r="I64" s="346"/>
    </row>
    <row r="65" spans="1:9" s="76" customFormat="1" ht="17.25" customHeight="1" x14ac:dyDescent="0.3">
      <c r="A65" s="363" t="s">
        <v>46</v>
      </c>
      <c r="B65" s="366" t="s">
        <v>47</v>
      </c>
      <c r="C65" s="368"/>
      <c r="D65" s="368"/>
      <c r="E65" s="368"/>
      <c r="F65" s="368"/>
      <c r="G65" s="368"/>
      <c r="H65" s="368"/>
      <c r="I65" s="369"/>
    </row>
    <row r="66" spans="1:9" s="76" customFormat="1" ht="17.25" customHeight="1" x14ac:dyDescent="0.3">
      <c r="A66" s="364"/>
      <c r="B66" s="367"/>
      <c r="C66" s="350"/>
      <c r="D66" s="350"/>
      <c r="E66" s="350"/>
      <c r="F66" s="350"/>
      <c r="G66" s="350"/>
      <c r="H66" s="350"/>
      <c r="I66" s="351"/>
    </row>
    <row r="67" spans="1:9" s="76" customFormat="1" ht="17.25" customHeight="1" x14ac:dyDescent="0.3">
      <c r="A67" s="364"/>
      <c r="B67" s="370" t="s">
        <v>48</v>
      </c>
      <c r="C67" s="352"/>
      <c r="D67" s="352"/>
      <c r="E67" s="352"/>
      <c r="F67" s="352"/>
      <c r="G67" s="352"/>
      <c r="H67" s="352"/>
      <c r="I67" s="353"/>
    </row>
    <row r="68" spans="1:9" s="76" customFormat="1" ht="17.25" customHeight="1" x14ac:dyDescent="0.3">
      <c r="A68" s="364"/>
      <c r="B68" s="367"/>
      <c r="C68" s="350"/>
      <c r="D68" s="350"/>
      <c r="E68" s="350"/>
      <c r="F68" s="350"/>
      <c r="G68" s="350"/>
      <c r="H68" s="350"/>
      <c r="I68" s="351"/>
    </row>
    <row r="69" spans="1:9" s="76" customFormat="1" ht="17.25" customHeight="1" thickBot="1" x14ac:dyDescent="0.35">
      <c r="A69" s="365"/>
      <c r="B69" s="371"/>
      <c r="C69" s="362"/>
      <c r="D69" s="345"/>
      <c r="E69" s="345"/>
      <c r="F69" s="345"/>
      <c r="G69" s="345"/>
      <c r="H69" s="345"/>
      <c r="I69" s="346"/>
    </row>
    <row r="70" spans="1:9" s="76" customFormat="1" ht="17.25" customHeight="1" x14ac:dyDescent="0.3">
      <c r="A70" s="326" t="s">
        <v>49</v>
      </c>
      <c r="B70" s="327"/>
      <c r="C70" s="350" t="s">
        <v>366</v>
      </c>
      <c r="D70" s="350"/>
      <c r="E70" s="350"/>
      <c r="F70" s="350"/>
      <c r="G70" s="350"/>
      <c r="H70" s="350"/>
      <c r="I70" s="351"/>
    </row>
    <row r="71" spans="1:9" s="76" customFormat="1" ht="17.25" customHeight="1" x14ac:dyDescent="0.3">
      <c r="A71" s="328"/>
      <c r="B71" s="329"/>
      <c r="C71" s="350" t="s">
        <v>367</v>
      </c>
      <c r="D71" s="350"/>
      <c r="E71" s="350"/>
      <c r="F71" s="350"/>
      <c r="G71" s="350"/>
      <c r="H71" s="350"/>
      <c r="I71" s="351"/>
    </row>
    <row r="72" spans="1:9" s="76" customFormat="1" ht="17.25" customHeight="1" thickBot="1" x14ac:dyDescent="0.35">
      <c r="A72" s="330"/>
      <c r="B72" s="331"/>
      <c r="C72" s="362"/>
      <c r="D72" s="345"/>
      <c r="E72" s="345"/>
      <c r="F72" s="345"/>
      <c r="G72" s="345"/>
      <c r="H72" s="345"/>
      <c r="I72" s="346"/>
    </row>
    <row r="73" spans="1:9" s="76" customFormat="1" ht="17.25" customHeight="1" x14ac:dyDescent="0.3">
      <c r="A73" s="326" t="s">
        <v>50</v>
      </c>
      <c r="B73" s="327"/>
      <c r="C73" s="389" t="s">
        <v>368</v>
      </c>
      <c r="D73" s="368"/>
      <c r="E73" s="368"/>
      <c r="F73" s="368"/>
      <c r="G73" s="368"/>
      <c r="H73" s="368"/>
      <c r="I73" s="369"/>
    </row>
    <row r="74" spans="1:9" s="76" customFormat="1" ht="17.25" customHeight="1" thickBot="1" x14ac:dyDescent="0.35">
      <c r="A74" s="330"/>
      <c r="B74" s="331"/>
      <c r="C74" s="354"/>
      <c r="D74" s="352"/>
      <c r="E74" s="352"/>
      <c r="F74" s="352"/>
      <c r="G74" s="352"/>
      <c r="H74" s="352"/>
      <c r="I74" s="353"/>
    </row>
    <row r="75" spans="1:9" s="76" customFormat="1" ht="17.25" customHeight="1" x14ac:dyDescent="0.3">
      <c r="A75" s="326" t="s">
        <v>51</v>
      </c>
      <c r="B75" s="327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369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370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375" t="s">
        <v>61</v>
      </c>
      <c r="B78" s="376"/>
      <c r="C78" s="382" t="s">
        <v>62</v>
      </c>
      <c r="D78" s="383"/>
      <c r="E78" s="384" t="s">
        <v>63</v>
      </c>
      <c r="F78" s="383"/>
      <c r="G78" s="385" t="s">
        <v>64</v>
      </c>
      <c r="H78" s="386"/>
      <c r="I78" s="90" t="s">
        <v>65</v>
      </c>
    </row>
    <row r="79" spans="1:9" s="76" customFormat="1" ht="17.25" customHeight="1" thickBot="1" x14ac:dyDescent="0.35">
      <c r="A79" s="377"/>
      <c r="B79" s="378"/>
      <c r="C79" s="92">
        <v>0.25</v>
      </c>
      <c r="D79" s="93" t="s">
        <v>372</v>
      </c>
      <c r="E79" s="94">
        <v>0.8125</v>
      </c>
      <c r="F79" s="93" t="s">
        <v>371</v>
      </c>
      <c r="G79" s="387" t="s">
        <v>373</v>
      </c>
      <c r="H79" s="388"/>
      <c r="I79" s="95" t="s">
        <v>374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372" t="s">
        <v>66</v>
      </c>
      <c r="I80" s="372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1:I1"/>
    <mergeCell ref="A2:B2"/>
    <mergeCell ref="C2:D2"/>
    <mergeCell ref="E2:E3"/>
    <mergeCell ref="F2:G2"/>
    <mergeCell ref="H2:I2"/>
    <mergeCell ref="A3:B3"/>
    <mergeCell ref="F3:G3"/>
    <mergeCell ref="H3:I3"/>
    <mergeCell ref="A4:H4"/>
    <mergeCell ref="A7:H7"/>
    <mergeCell ref="A9:A11"/>
    <mergeCell ref="B9:B11"/>
    <mergeCell ref="C9:D9"/>
    <mergeCell ref="E9:F9"/>
    <mergeCell ref="G9:H9"/>
    <mergeCell ref="A12:A51"/>
    <mergeCell ref="A52:B56"/>
    <mergeCell ref="C53:C54"/>
    <mergeCell ref="D53:D54"/>
    <mergeCell ref="E53:E54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opLeftCell="A64" zoomScale="90" zoomScaleNormal="90" workbookViewId="0">
      <selection activeCell="F17" sqref="F17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296" t="s">
        <v>0</v>
      </c>
      <c r="B1" s="297"/>
      <c r="C1" s="297"/>
      <c r="D1" s="297"/>
      <c r="E1" s="297"/>
      <c r="F1" s="297"/>
      <c r="G1" s="297"/>
      <c r="H1" s="297"/>
      <c r="I1" s="298"/>
    </row>
    <row r="2" spans="1:9" x14ac:dyDescent="0.3">
      <c r="A2" s="299" t="s">
        <v>1</v>
      </c>
      <c r="B2" s="300"/>
      <c r="C2" s="301" t="s">
        <v>377</v>
      </c>
      <c r="D2" s="302"/>
      <c r="E2" s="303" t="s">
        <v>77</v>
      </c>
      <c r="F2" s="305" t="s">
        <v>2</v>
      </c>
      <c r="G2" s="306"/>
      <c r="H2" s="307" t="s">
        <v>76</v>
      </c>
      <c r="I2" s="308"/>
    </row>
    <row r="3" spans="1:9" x14ac:dyDescent="0.3">
      <c r="A3" s="309" t="s">
        <v>3</v>
      </c>
      <c r="B3" s="310"/>
      <c r="C3" s="4" t="s">
        <v>378</v>
      </c>
      <c r="D3" s="5" t="s">
        <v>4</v>
      </c>
      <c r="E3" s="304"/>
      <c r="F3" s="311" t="s">
        <v>379</v>
      </c>
      <c r="G3" s="312"/>
      <c r="H3" s="313">
        <f>G11+'10일'!H3:I3</f>
        <v>21992400</v>
      </c>
      <c r="I3" s="314"/>
    </row>
    <row r="4" spans="1:9" ht="7.5" customHeight="1" x14ac:dyDescent="0.3">
      <c r="A4" s="315"/>
      <c r="B4" s="316"/>
      <c r="C4" s="316"/>
      <c r="D4" s="316"/>
      <c r="E4" s="316"/>
      <c r="F4" s="316"/>
      <c r="G4" s="316"/>
      <c r="H4" s="316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/>
      <c r="F6" s="15" t="s">
        <v>380</v>
      </c>
      <c r="G6" s="16" t="s">
        <v>381</v>
      </c>
      <c r="H6" s="17">
        <v>0.55000000000000004</v>
      </c>
      <c r="I6" s="18">
        <v>0.23</v>
      </c>
    </row>
    <row r="7" spans="1:9" ht="7.5" customHeight="1" x14ac:dyDescent="0.3">
      <c r="A7" s="315"/>
      <c r="B7" s="316"/>
      <c r="C7" s="316"/>
      <c r="D7" s="316"/>
      <c r="E7" s="316"/>
      <c r="F7" s="316"/>
      <c r="G7" s="316"/>
      <c r="H7" s="316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79" t="s">
        <v>10</v>
      </c>
      <c r="B9" s="317" t="s">
        <v>11</v>
      </c>
      <c r="C9" s="320" t="s">
        <v>68</v>
      </c>
      <c r="D9" s="303"/>
      <c r="E9" s="303" t="s">
        <v>67</v>
      </c>
      <c r="F9" s="303"/>
      <c r="G9" s="303" t="s">
        <v>69</v>
      </c>
      <c r="H9" s="303"/>
      <c r="I9" s="373" t="s">
        <v>78</v>
      </c>
    </row>
    <row r="10" spans="1:9" ht="18" customHeight="1" x14ac:dyDescent="0.3">
      <c r="A10" s="380"/>
      <c r="B10" s="318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74"/>
    </row>
    <row r="11" spans="1:9" ht="17.25" thickBot="1" x14ac:dyDescent="0.35">
      <c r="A11" s="381"/>
      <c r="B11" s="319"/>
      <c r="C11" s="101">
        <v>1739600</v>
      </c>
      <c r="D11" s="102">
        <v>131</v>
      </c>
      <c r="E11" s="109">
        <f>SUM(E55:I56)</f>
        <v>470000</v>
      </c>
      <c r="F11" s="109">
        <f>SUM(E53:I54)</f>
        <v>15</v>
      </c>
      <c r="G11" s="110">
        <f>C11+E11</f>
        <v>2209600</v>
      </c>
      <c r="H11" s="110">
        <f>D11+F11</f>
        <v>146</v>
      </c>
      <c r="I11" s="111">
        <f>G11/H11</f>
        <v>15134.246575342466</v>
      </c>
    </row>
    <row r="12" spans="1:9" ht="30" customHeight="1" x14ac:dyDescent="0.3">
      <c r="A12" s="321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24" t="s">
        <v>19</v>
      </c>
      <c r="G12" s="325"/>
      <c r="H12" s="158" t="s">
        <v>20</v>
      </c>
      <c r="I12" s="100" t="s">
        <v>21</v>
      </c>
    </row>
    <row r="13" spans="1:9" ht="17.25" customHeight="1" x14ac:dyDescent="0.3">
      <c r="A13" s="322"/>
      <c r="B13" s="21" t="s">
        <v>23</v>
      </c>
      <c r="C13" s="22">
        <v>40</v>
      </c>
      <c r="D13" s="23"/>
      <c r="E13" s="22"/>
      <c r="F13" s="24"/>
      <c r="G13" s="25"/>
      <c r="H13" s="23"/>
      <c r="I13" s="26">
        <f>C13-D13-D14*1/2-E13-E14*1/2+F13-H13-H14*1/2-I14*1/2</f>
        <v>40</v>
      </c>
    </row>
    <row r="14" spans="1:9" ht="17.25" customHeight="1" x14ac:dyDescent="0.3">
      <c r="A14" s="322"/>
      <c r="B14" s="27" t="s">
        <v>24</v>
      </c>
      <c r="C14" s="28"/>
      <c r="D14" s="29"/>
      <c r="E14" s="30"/>
      <c r="F14" s="31"/>
      <c r="G14" s="25"/>
      <c r="H14" s="29"/>
      <c r="I14" s="32"/>
    </row>
    <row r="15" spans="1:9" ht="17.25" customHeight="1" x14ac:dyDescent="0.3">
      <c r="A15" s="322"/>
      <c r="B15" s="27" t="s">
        <v>25</v>
      </c>
      <c r="C15" s="33">
        <v>32</v>
      </c>
      <c r="D15" s="29"/>
      <c r="E15" s="30"/>
      <c r="F15" s="34"/>
      <c r="G15" s="25"/>
      <c r="H15" s="29"/>
      <c r="I15" s="35">
        <f>C15-D15-D16*1/2-E15-E16*1/2+F15-H15-H16*1/2-I16*1/2</f>
        <v>32</v>
      </c>
    </row>
    <row r="16" spans="1:9" ht="17.25" customHeight="1" x14ac:dyDescent="0.3">
      <c r="A16" s="322"/>
      <c r="B16" s="27" t="s">
        <v>26</v>
      </c>
      <c r="C16" s="28"/>
      <c r="D16" s="29"/>
      <c r="E16" s="30"/>
      <c r="F16" s="31"/>
      <c r="G16" s="25"/>
      <c r="H16" s="29"/>
      <c r="I16" s="36"/>
    </row>
    <row r="17" spans="1:9" ht="17.25" customHeight="1" x14ac:dyDescent="0.3">
      <c r="A17" s="322"/>
      <c r="B17" s="27" t="s">
        <v>27</v>
      </c>
      <c r="C17" s="33">
        <v>42</v>
      </c>
      <c r="D17" s="29"/>
      <c r="E17" s="30"/>
      <c r="F17" s="34"/>
      <c r="G17" s="118"/>
      <c r="H17" s="29"/>
      <c r="I17" s="37">
        <f>C17-D17-D18*1/2-E17-E18*1/2+F17-H17-H18*1/2-I18*1/2</f>
        <v>40.5</v>
      </c>
    </row>
    <row r="18" spans="1:9" ht="17.25" customHeight="1" x14ac:dyDescent="0.3">
      <c r="A18" s="322"/>
      <c r="B18" s="27" t="s">
        <v>28</v>
      </c>
      <c r="C18" s="28"/>
      <c r="D18" s="29"/>
      <c r="E18" s="30">
        <v>3</v>
      </c>
      <c r="F18" s="31"/>
      <c r="G18" s="25"/>
      <c r="H18" s="29"/>
      <c r="I18" s="36"/>
    </row>
    <row r="19" spans="1:9" ht="17.25" customHeight="1" x14ac:dyDescent="0.3">
      <c r="A19" s="322"/>
      <c r="B19" s="27" t="s">
        <v>29</v>
      </c>
      <c r="C19" s="33">
        <v>15</v>
      </c>
      <c r="D19" s="29"/>
      <c r="E19" s="30"/>
      <c r="F19" s="34"/>
      <c r="G19" s="25"/>
      <c r="H19" s="29"/>
      <c r="I19" s="35">
        <f>C19-D19-D20*1/2-E19-E20*1/2+F19-H19-H20*1/2-I20*1/2</f>
        <v>15</v>
      </c>
    </row>
    <row r="20" spans="1:9" ht="17.25" customHeight="1" x14ac:dyDescent="0.3">
      <c r="A20" s="322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22"/>
      <c r="B21" s="39" t="s">
        <v>31</v>
      </c>
      <c r="C21" s="40">
        <v>93</v>
      </c>
      <c r="D21" s="41"/>
      <c r="E21" s="42">
        <v>2</v>
      </c>
      <c r="F21" s="43"/>
      <c r="G21" s="44"/>
      <c r="H21" s="43"/>
      <c r="I21" s="45">
        <f t="shared" ref="I21:I48" si="0">C21-D21-E21+F21-H21</f>
        <v>91</v>
      </c>
    </row>
    <row r="22" spans="1:9" ht="17.25" customHeight="1" x14ac:dyDescent="0.3">
      <c r="A22" s="322"/>
      <c r="B22" s="21" t="s">
        <v>32</v>
      </c>
      <c r="C22" s="46">
        <v>50</v>
      </c>
      <c r="D22" s="23"/>
      <c r="E22" s="47">
        <v>3</v>
      </c>
      <c r="F22" s="48"/>
      <c r="G22" s="25"/>
      <c r="H22" s="48"/>
      <c r="I22" s="49">
        <f t="shared" si="0"/>
        <v>47</v>
      </c>
    </row>
    <row r="23" spans="1:9" ht="17.25" customHeight="1" x14ac:dyDescent="0.3">
      <c r="A23" s="322"/>
      <c r="B23" s="27" t="s">
        <v>33</v>
      </c>
      <c r="C23" s="33">
        <v>172</v>
      </c>
      <c r="D23" s="29">
        <v>4</v>
      </c>
      <c r="E23" s="50">
        <v>2</v>
      </c>
      <c r="F23" s="51"/>
      <c r="G23" s="25"/>
      <c r="H23" s="51"/>
      <c r="I23" s="52">
        <f>C23-D23-D24-E23-E24+F23+F24-H23-H24-I24</f>
        <v>162</v>
      </c>
    </row>
    <row r="24" spans="1:9" ht="17.25" customHeight="1" x14ac:dyDescent="0.3">
      <c r="A24" s="322"/>
      <c r="B24" s="160" t="s">
        <v>34</v>
      </c>
      <c r="C24" s="53"/>
      <c r="D24" s="41">
        <v>3</v>
      </c>
      <c r="E24" s="42">
        <v>1</v>
      </c>
      <c r="F24" s="43"/>
      <c r="G24" s="113"/>
      <c r="H24" s="43"/>
      <c r="I24" s="54"/>
    </row>
    <row r="25" spans="1:9" ht="17.25" customHeight="1" x14ac:dyDescent="0.3">
      <c r="A25" s="322"/>
      <c r="B25" s="21" t="s">
        <v>35</v>
      </c>
      <c r="C25" s="46">
        <v>48</v>
      </c>
      <c r="D25" s="23">
        <v>1</v>
      </c>
      <c r="E25" s="47"/>
      <c r="F25" s="48"/>
      <c r="G25" s="112"/>
      <c r="H25" s="48"/>
      <c r="I25" s="49">
        <f t="shared" si="0"/>
        <v>47</v>
      </c>
    </row>
    <row r="26" spans="1:9" ht="17.25" customHeight="1" x14ac:dyDescent="0.3">
      <c r="A26" s="322"/>
      <c r="B26" s="160" t="s">
        <v>36</v>
      </c>
      <c r="C26" s="55">
        <v>44</v>
      </c>
      <c r="D26" s="41"/>
      <c r="E26" s="42"/>
      <c r="F26" s="43"/>
      <c r="G26" s="113"/>
      <c r="H26" s="43"/>
      <c r="I26" s="45">
        <f t="shared" si="0"/>
        <v>44</v>
      </c>
    </row>
    <row r="27" spans="1:9" ht="17.25" customHeight="1" x14ac:dyDescent="0.3">
      <c r="A27" s="322"/>
      <c r="B27" s="21" t="s">
        <v>37</v>
      </c>
      <c r="C27" s="46">
        <v>34</v>
      </c>
      <c r="D27" s="23"/>
      <c r="E27" s="47">
        <v>1</v>
      </c>
      <c r="F27" s="48"/>
      <c r="G27" s="112"/>
      <c r="H27" s="48"/>
      <c r="I27" s="49">
        <f t="shared" si="0"/>
        <v>33</v>
      </c>
    </row>
    <row r="28" spans="1:9" ht="17.25" customHeight="1" x14ac:dyDescent="0.3">
      <c r="A28" s="322"/>
      <c r="B28" s="160" t="s">
        <v>38</v>
      </c>
      <c r="C28" s="55">
        <v>30</v>
      </c>
      <c r="D28" s="41"/>
      <c r="E28" s="42">
        <v>1</v>
      </c>
      <c r="F28" s="43"/>
      <c r="G28" s="113"/>
      <c r="H28" s="43"/>
      <c r="I28" s="45">
        <f t="shared" si="0"/>
        <v>29</v>
      </c>
    </row>
    <row r="29" spans="1:9" ht="17.25" customHeight="1" x14ac:dyDescent="0.3">
      <c r="A29" s="322"/>
      <c r="B29" s="21" t="s">
        <v>39</v>
      </c>
      <c r="C29" s="46">
        <v>10</v>
      </c>
      <c r="D29" s="23"/>
      <c r="E29" s="47"/>
      <c r="F29" s="48"/>
      <c r="G29" s="25"/>
      <c r="H29" s="48">
        <v>1</v>
      </c>
      <c r="I29" s="49">
        <f t="shared" si="0"/>
        <v>9</v>
      </c>
    </row>
    <row r="30" spans="1:9" ht="17.25" customHeight="1" x14ac:dyDescent="0.3">
      <c r="A30" s="322"/>
      <c r="B30" s="56" t="s">
        <v>40</v>
      </c>
      <c r="C30" s="57">
        <v>105</v>
      </c>
      <c r="D30" s="29"/>
      <c r="E30" s="50"/>
      <c r="F30" s="51"/>
      <c r="G30" s="25"/>
      <c r="H30" s="51"/>
      <c r="I30" s="52">
        <f>C30-D30-D31-E30-E31+F30+F31-H30-H31-I31</f>
        <v>105</v>
      </c>
    </row>
    <row r="31" spans="1:9" ht="17.25" customHeight="1" x14ac:dyDescent="0.3">
      <c r="A31" s="322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22"/>
      <c r="B32" s="179" t="s">
        <v>117</v>
      </c>
      <c r="C32" s="184"/>
      <c r="D32" s="23"/>
      <c r="E32" s="47"/>
      <c r="F32" s="48"/>
      <c r="G32" s="116"/>
      <c r="H32" s="48"/>
      <c r="I32" s="187">
        <v>2</v>
      </c>
    </row>
    <row r="33" spans="1:9" ht="17.25" customHeight="1" x14ac:dyDescent="0.3">
      <c r="A33" s="322"/>
      <c r="B33" s="179" t="s">
        <v>119</v>
      </c>
      <c r="C33" s="185"/>
      <c r="D33" s="29"/>
      <c r="E33" s="50"/>
      <c r="F33" s="51"/>
      <c r="G33" s="25"/>
      <c r="H33" s="51"/>
      <c r="I33" s="188">
        <v>2</v>
      </c>
    </row>
    <row r="34" spans="1:9" ht="17.25" customHeight="1" x14ac:dyDescent="0.3">
      <c r="A34" s="322"/>
      <c r="B34" s="179" t="s">
        <v>121</v>
      </c>
      <c r="C34" s="186"/>
      <c r="D34" s="60"/>
      <c r="E34" s="61"/>
      <c r="F34" s="62"/>
      <c r="G34" s="113"/>
      <c r="H34" s="62"/>
      <c r="I34" s="189"/>
    </row>
    <row r="35" spans="1:9" ht="17.25" customHeight="1" x14ac:dyDescent="0.3">
      <c r="A35" s="322"/>
      <c r="B35" s="191" t="s">
        <v>79</v>
      </c>
      <c r="C35" s="281"/>
      <c r="D35" s="23"/>
      <c r="E35" s="47"/>
      <c r="F35" s="48"/>
      <c r="G35" s="116"/>
      <c r="H35" s="48"/>
      <c r="I35" s="282">
        <v>18</v>
      </c>
    </row>
    <row r="36" spans="1:9" ht="17.25" customHeight="1" x14ac:dyDescent="0.3">
      <c r="A36" s="322"/>
      <c r="B36" s="153" t="s">
        <v>80</v>
      </c>
      <c r="C36" s="121">
        <v>20</v>
      </c>
      <c r="D36" s="122"/>
      <c r="E36" s="123"/>
      <c r="F36" s="124"/>
      <c r="G36" s="112"/>
      <c r="H36" s="124"/>
      <c r="I36" s="52">
        <f>C36-D36-E36+F36-H36</f>
        <v>20</v>
      </c>
    </row>
    <row r="37" spans="1:9" ht="17.25" customHeight="1" x14ac:dyDescent="0.3">
      <c r="A37" s="322"/>
      <c r="B37" s="163" t="s">
        <v>107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22"/>
      <c r="B38" s="178" t="s">
        <v>131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22"/>
      <c r="B39" s="178" t="s">
        <v>109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22"/>
      <c r="B40" s="178" t="s">
        <v>133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22"/>
      <c r="B41" s="178" t="s">
        <v>111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22"/>
      <c r="B42" s="178" t="s">
        <v>135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22"/>
      <c r="B43" s="178" t="s">
        <v>113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22"/>
      <c r="B44" s="178" t="s">
        <v>125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22"/>
      <c r="B45" s="164" t="s">
        <v>115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22"/>
      <c r="B46" s="120" t="s">
        <v>89</v>
      </c>
      <c r="C46" s="154">
        <v>12</v>
      </c>
      <c r="D46" s="23"/>
      <c r="E46" s="47"/>
      <c r="F46" s="48"/>
      <c r="G46" s="116"/>
      <c r="H46" s="48"/>
      <c r="I46" s="49">
        <f t="shared" si="0"/>
        <v>12</v>
      </c>
    </row>
    <row r="47" spans="1:9" ht="17.25" customHeight="1" x14ac:dyDescent="0.3">
      <c r="A47" s="322"/>
      <c r="B47" s="120" t="s">
        <v>88</v>
      </c>
      <c r="C47" s="121"/>
      <c r="D47" s="122"/>
      <c r="E47" s="123"/>
      <c r="F47" s="124"/>
      <c r="G47" s="112"/>
      <c r="H47" s="124"/>
      <c r="I47" s="52">
        <f t="shared" si="0"/>
        <v>0</v>
      </c>
    </row>
    <row r="48" spans="1:9" ht="17.25" customHeight="1" x14ac:dyDescent="0.3">
      <c r="A48" s="322"/>
      <c r="B48" s="56" t="s">
        <v>123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22"/>
      <c r="B49" s="179" t="s">
        <v>127</v>
      </c>
      <c r="C49" s="192"/>
      <c r="D49" s="180"/>
      <c r="E49" s="181"/>
      <c r="F49" s="182"/>
      <c r="G49" s="183"/>
      <c r="H49" s="182"/>
      <c r="I49" s="195">
        <v>2</v>
      </c>
    </row>
    <row r="50" spans="1:10" ht="17.25" customHeight="1" x14ac:dyDescent="0.3">
      <c r="A50" s="322"/>
      <c r="B50" s="58" t="s">
        <v>129</v>
      </c>
      <c r="C50" s="59"/>
      <c r="D50" s="60"/>
      <c r="E50" s="61"/>
      <c r="F50" s="62"/>
      <c r="G50" s="113"/>
      <c r="H50" s="62"/>
      <c r="I50" s="63">
        <v>3</v>
      </c>
    </row>
    <row r="51" spans="1:10" ht="17.25" customHeight="1" thickBot="1" x14ac:dyDescent="0.35">
      <c r="A51" s="323"/>
      <c r="B51" s="64" t="s">
        <v>42</v>
      </c>
      <c r="C51" s="65">
        <f>SUM(C13:C50)</f>
        <v>747</v>
      </c>
      <c r="D51" s="66">
        <f>SUM(D13:D46)</f>
        <v>8</v>
      </c>
      <c r="E51" s="67">
        <f>SUM(E13:E46)</f>
        <v>13</v>
      </c>
      <c r="F51" s="67">
        <f>SUM(F13:F46)</f>
        <v>0</v>
      </c>
      <c r="G51" s="68" t="s">
        <v>22</v>
      </c>
      <c r="H51" s="69">
        <f>SUM(H13:H46)</f>
        <v>1</v>
      </c>
      <c r="I51" s="70">
        <f>SUM(I13:I46)</f>
        <v>748.5</v>
      </c>
    </row>
    <row r="52" spans="1:10" ht="17.25" customHeight="1" x14ac:dyDescent="0.3">
      <c r="A52" s="326" t="s">
        <v>72</v>
      </c>
      <c r="B52" s="327"/>
      <c r="C52" s="71"/>
      <c r="D52" s="72" t="s">
        <v>163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28"/>
      <c r="B53" s="329"/>
      <c r="C53" s="332" t="s">
        <v>74</v>
      </c>
      <c r="D53" s="334"/>
      <c r="E53" s="336">
        <v>6</v>
      </c>
      <c r="F53" s="336">
        <v>1</v>
      </c>
      <c r="G53" s="336">
        <v>7</v>
      </c>
      <c r="H53" s="336"/>
      <c r="I53" s="339">
        <v>1</v>
      </c>
      <c r="J53" s="174"/>
    </row>
    <row r="54" spans="1:10" s="76" customFormat="1" ht="17.25" customHeight="1" x14ac:dyDescent="0.3">
      <c r="A54" s="328"/>
      <c r="B54" s="329"/>
      <c r="C54" s="333"/>
      <c r="D54" s="335"/>
      <c r="E54" s="337"/>
      <c r="F54" s="337"/>
      <c r="G54" s="337"/>
      <c r="H54" s="338"/>
      <c r="I54" s="340"/>
    </row>
    <row r="55" spans="1:10" s="76" customFormat="1" ht="17.25" customHeight="1" x14ac:dyDescent="0.3">
      <c r="A55" s="328"/>
      <c r="B55" s="329"/>
      <c r="C55" s="332" t="s">
        <v>75</v>
      </c>
      <c r="D55" s="334"/>
      <c r="E55" s="343">
        <v>151600</v>
      </c>
      <c r="F55" s="343">
        <v>18000</v>
      </c>
      <c r="G55" s="343">
        <v>140000</v>
      </c>
      <c r="H55" s="336"/>
      <c r="I55" s="347">
        <v>160400</v>
      </c>
    </row>
    <row r="56" spans="1:10" s="76" customFormat="1" ht="17.25" customHeight="1" thickBot="1" x14ac:dyDescent="0.35">
      <c r="A56" s="330"/>
      <c r="B56" s="331"/>
      <c r="C56" s="341"/>
      <c r="D56" s="342"/>
      <c r="E56" s="344"/>
      <c r="F56" s="344"/>
      <c r="G56" s="344"/>
      <c r="H56" s="344"/>
      <c r="I56" s="348"/>
    </row>
    <row r="57" spans="1:10" s="76" customFormat="1" ht="17.25" customHeight="1" x14ac:dyDescent="0.3">
      <c r="A57" s="326" t="s">
        <v>45</v>
      </c>
      <c r="B57" s="327"/>
      <c r="C57" s="349" t="s">
        <v>394</v>
      </c>
      <c r="D57" s="350"/>
      <c r="E57" s="350"/>
      <c r="F57" s="350"/>
      <c r="G57" s="350"/>
      <c r="H57" s="350"/>
      <c r="I57" s="351"/>
    </row>
    <row r="58" spans="1:10" s="76" customFormat="1" ht="17.25" customHeight="1" x14ac:dyDescent="0.3">
      <c r="A58" s="328"/>
      <c r="B58" s="329"/>
      <c r="C58" s="352"/>
      <c r="D58" s="352"/>
      <c r="E58" s="352"/>
      <c r="F58" s="352"/>
      <c r="G58" s="352"/>
      <c r="H58" s="352"/>
      <c r="I58" s="353"/>
    </row>
    <row r="59" spans="1:10" s="76" customFormat="1" ht="17.25" customHeight="1" x14ac:dyDescent="0.3">
      <c r="A59" s="328"/>
      <c r="B59" s="329"/>
      <c r="C59" s="354"/>
      <c r="D59" s="352"/>
      <c r="E59" s="352"/>
      <c r="F59" s="352"/>
      <c r="G59" s="352"/>
      <c r="H59" s="352"/>
      <c r="I59" s="353"/>
    </row>
    <row r="60" spans="1:10" s="76" customFormat="1" ht="17.25" customHeight="1" thickBot="1" x14ac:dyDescent="0.35">
      <c r="A60" s="330"/>
      <c r="B60" s="331"/>
      <c r="C60" s="345"/>
      <c r="D60" s="345"/>
      <c r="E60" s="345"/>
      <c r="F60" s="345"/>
      <c r="G60" s="345"/>
      <c r="H60" s="345"/>
      <c r="I60" s="346"/>
    </row>
    <row r="61" spans="1:10" s="76" customFormat="1" ht="17.25" customHeight="1" x14ac:dyDescent="0.3">
      <c r="A61" s="326" t="s">
        <v>73</v>
      </c>
      <c r="B61" s="327"/>
      <c r="C61" s="389" t="s">
        <v>382</v>
      </c>
      <c r="D61" s="368"/>
      <c r="E61" s="368"/>
      <c r="F61" s="368"/>
      <c r="G61" s="368"/>
      <c r="H61" s="368"/>
      <c r="I61" s="369"/>
    </row>
    <row r="62" spans="1:10" s="76" customFormat="1" ht="17.25" customHeight="1" x14ac:dyDescent="0.3">
      <c r="A62" s="328"/>
      <c r="B62" s="329"/>
      <c r="C62" s="354" t="s">
        <v>392</v>
      </c>
      <c r="D62" s="352"/>
      <c r="E62" s="352"/>
      <c r="F62" s="352"/>
      <c r="G62" s="352"/>
      <c r="H62" s="352"/>
      <c r="I62" s="353"/>
    </row>
    <row r="63" spans="1:10" s="76" customFormat="1" ht="17.25" customHeight="1" x14ac:dyDescent="0.3">
      <c r="A63" s="328"/>
      <c r="B63" s="329"/>
      <c r="C63" s="354" t="s">
        <v>393</v>
      </c>
      <c r="D63" s="352"/>
      <c r="E63" s="352"/>
      <c r="F63" s="352"/>
      <c r="G63" s="352"/>
      <c r="H63" s="352"/>
      <c r="I63" s="353"/>
    </row>
    <row r="64" spans="1:10" s="76" customFormat="1" ht="17.25" customHeight="1" thickBot="1" x14ac:dyDescent="0.35">
      <c r="A64" s="330"/>
      <c r="B64" s="331"/>
      <c r="C64" s="345"/>
      <c r="D64" s="345"/>
      <c r="E64" s="345"/>
      <c r="F64" s="345"/>
      <c r="G64" s="345"/>
      <c r="H64" s="345"/>
      <c r="I64" s="346"/>
    </row>
    <row r="65" spans="1:9" s="76" customFormat="1" ht="17.25" customHeight="1" x14ac:dyDescent="0.3">
      <c r="A65" s="363" t="s">
        <v>46</v>
      </c>
      <c r="B65" s="366" t="s">
        <v>47</v>
      </c>
      <c r="C65" s="368"/>
      <c r="D65" s="368"/>
      <c r="E65" s="368"/>
      <c r="F65" s="368"/>
      <c r="G65" s="368"/>
      <c r="H65" s="368"/>
      <c r="I65" s="369"/>
    </row>
    <row r="66" spans="1:9" s="76" customFormat="1" ht="17.25" customHeight="1" x14ac:dyDescent="0.3">
      <c r="A66" s="364"/>
      <c r="B66" s="367"/>
      <c r="C66" s="350"/>
      <c r="D66" s="350"/>
      <c r="E66" s="350"/>
      <c r="F66" s="350"/>
      <c r="G66" s="350"/>
      <c r="H66" s="350"/>
      <c r="I66" s="351"/>
    </row>
    <row r="67" spans="1:9" s="76" customFormat="1" ht="17.25" customHeight="1" x14ac:dyDescent="0.3">
      <c r="A67" s="364"/>
      <c r="B67" s="370" t="s">
        <v>48</v>
      </c>
      <c r="C67" s="352"/>
      <c r="D67" s="352"/>
      <c r="E67" s="352"/>
      <c r="F67" s="352"/>
      <c r="G67" s="352"/>
      <c r="H67" s="352"/>
      <c r="I67" s="353"/>
    </row>
    <row r="68" spans="1:9" s="76" customFormat="1" ht="17.25" customHeight="1" x14ac:dyDescent="0.3">
      <c r="A68" s="364"/>
      <c r="B68" s="367"/>
      <c r="C68" s="350"/>
      <c r="D68" s="350"/>
      <c r="E68" s="350"/>
      <c r="F68" s="350"/>
      <c r="G68" s="350"/>
      <c r="H68" s="350"/>
      <c r="I68" s="351"/>
    </row>
    <row r="69" spans="1:9" s="76" customFormat="1" ht="17.25" customHeight="1" thickBot="1" x14ac:dyDescent="0.35">
      <c r="A69" s="365"/>
      <c r="B69" s="371"/>
      <c r="C69" s="362"/>
      <c r="D69" s="345"/>
      <c r="E69" s="345"/>
      <c r="F69" s="345"/>
      <c r="G69" s="345"/>
      <c r="H69" s="345"/>
      <c r="I69" s="346"/>
    </row>
    <row r="70" spans="1:9" s="76" customFormat="1" ht="17.25" customHeight="1" x14ac:dyDescent="0.3">
      <c r="A70" s="326" t="s">
        <v>49</v>
      </c>
      <c r="B70" s="327"/>
      <c r="C70" s="350" t="s">
        <v>383</v>
      </c>
      <c r="D70" s="350"/>
      <c r="E70" s="350"/>
      <c r="F70" s="350"/>
      <c r="G70" s="350"/>
      <c r="H70" s="350"/>
      <c r="I70" s="351"/>
    </row>
    <row r="71" spans="1:9" s="76" customFormat="1" ht="17.25" customHeight="1" x14ac:dyDescent="0.3">
      <c r="A71" s="328"/>
      <c r="B71" s="329"/>
      <c r="C71" s="350" t="s">
        <v>391</v>
      </c>
      <c r="D71" s="350"/>
      <c r="E71" s="350"/>
      <c r="F71" s="350"/>
      <c r="G71" s="350"/>
      <c r="H71" s="350"/>
      <c r="I71" s="351"/>
    </row>
    <row r="72" spans="1:9" s="76" customFormat="1" ht="17.25" customHeight="1" thickBot="1" x14ac:dyDescent="0.35">
      <c r="A72" s="330"/>
      <c r="B72" s="331"/>
      <c r="C72" s="362"/>
      <c r="D72" s="345"/>
      <c r="E72" s="345"/>
      <c r="F72" s="345"/>
      <c r="G72" s="345"/>
      <c r="H72" s="345"/>
      <c r="I72" s="346"/>
    </row>
    <row r="73" spans="1:9" s="76" customFormat="1" ht="17.25" customHeight="1" x14ac:dyDescent="0.3">
      <c r="A73" s="326" t="s">
        <v>50</v>
      </c>
      <c r="B73" s="327"/>
      <c r="C73" s="389" t="s">
        <v>384</v>
      </c>
      <c r="D73" s="368"/>
      <c r="E73" s="368"/>
      <c r="F73" s="368"/>
      <c r="G73" s="368"/>
      <c r="H73" s="368"/>
      <c r="I73" s="369"/>
    </row>
    <row r="74" spans="1:9" s="76" customFormat="1" ht="17.25" customHeight="1" thickBot="1" x14ac:dyDescent="0.35">
      <c r="A74" s="330"/>
      <c r="B74" s="331"/>
      <c r="C74" s="354"/>
      <c r="D74" s="352"/>
      <c r="E74" s="352"/>
      <c r="F74" s="352"/>
      <c r="G74" s="352"/>
      <c r="H74" s="352"/>
      <c r="I74" s="353"/>
    </row>
    <row r="75" spans="1:9" s="76" customFormat="1" ht="17.25" customHeight="1" x14ac:dyDescent="0.3">
      <c r="A75" s="326" t="s">
        <v>51</v>
      </c>
      <c r="B75" s="327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385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386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375" t="s">
        <v>61</v>
      </c>
      <c r="B78" s="376"/>
      <c r="C78" s="382" t="s">
        <v>62</v>
      </c>
      <c r="D78" s="383"/>
      <c r="E78" s="384" t="s">
        <v>63</v>
      </c>
      <c r="F78" s="383"/>
      <c r="G78" s="385" t="s">
        <v>64</v>
      </c>
      <c r="H78" s="386"/>
      <c r="I78" s="90" t="s">
        <v>65</v>
      </c>
    </row>
    <row r="79" spans="1:9" s="76" customFormat="1" ht="17.25" customHeight="1" thickBot="1" x14ac:dyDescent="0.35">
      <c r="A79" s="377"/>
      <c r="B79" s="378"/>
      <c r="C79" s="92">
        <v>0.25</v>
      </c>
      <c r="D79" s="93" t="s">
        <v>387</v>
      </c>
      <c r="E79" s="94">
        <v>0.8125</v>
      </c>
      <c r="F79" s="93" t="s">
        <v>388</v>
      </c>
      <c r="G79" s="387" t="s">
        <v>389</v>
      </c>
      <c r="H79" s="388"/>
      <c r="I79" s="95" t="s">
        <v>390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372" t="s">
        <v>66</v>
      </c>
      <c r="I80" s="372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1:I1"/>
    <mergeCell ref="A2:B2"/>
    <mergeCell ref="C2:D2"/>
    <mergeCell ref="E2:E3"/>
    <mergeCell ref="F2:G2"/>
    <mergeCell ref="H2:I2"/>
    <mergeCell ref="A3:B3"/>
    <mergeCell ref="F3:G3"/>
    <mergeCell ref="H3:I3"/>
    <mergeCell ref="A4:H4"/>
    <mergeCell ref="A7:H7"/>
    <mergeCell ref="A9:A11"/>
    <mergeCell ref="B9:B11"/>
    <mergeCell ref="C9:D9"/>
    <mergeCell ref="E9:F9"/>
    <mergeCell ref="G9:H9"/>
    <mergeCell ref="A12:A51"/>
    <mergeCell ref="A52:B56"/>
    <mergeCell ref="C53:C54"/>
    <mergeCell ref="D53:D54"/>
    <mergeCell ref="E53:E54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opLeftCell="A49" zoomScale="90" zoomScaleNormal="90" workbookViewId="0">
      <selection activeCell="H53" sqref="H53:H54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296" t="s">
        <v>0</v>
      </c>
      <c r="B1" s="297"/>
      <c r="C1" s="297"/>
      <c r="D1" s="297"/>
      <c r="E1" s="297"/>
      <c r="F1" s="297"/>
      <c r="G1" s="297"/>
      <c r="H1" s="297"/>
      <c r="I1" s="298"/>
    </row>
    <row r="2" spans="1:9" x14ac:dyDescent="0.3">
      <c r="A2" s="299" t="s">
        <v>1</v>
      </c>
      <c r="B2" s="300"/>
      <c r="C2" s="301" t="s">
        <v>395</v>
      </c>
      <c r="D2" s="302"/>
      <c r="E2" s="303" t="s">
        <v>77</v>
      </c>
      <c r="F2" s="305" t="s">
        <v>2</v>
      </c>
      <c r="G2" s="306"/>
      <c r="H2" s="307" t="s">
        <v>76</v>
      </c>
      <c r="I2" s="308"/>
    </row>
    <row r="3" spans="1:9" x14ac:dyDescent="0.3">
      <c r="A3" s="309" t="s">
        <v>3</v>
      </c>
      <c r="B3" s="310"/>
      <c r="C3" s="4" t="s">
        <v>396</v>
      </c>
      <c r="D3" s="5" t="s">
        <v>4</v>
      </c>
      <c r="E3" s="304"/>
      <c r="F3" s="311" t="s">
        <v>397</v>
      </c>
      <c r="G3" s="312"/>
      <c r="H3" s="313">
        <f>G11+'11일'!H3:I3</f>
        <v>24273400</v>
      </c>
      <c r="I3" s="314"/>
    </row>
    <row r="4" spans="1:9" ht="7.5" customHeight="1" x14ac:dyDescent="0.3">
      <c r="A4" s="315"/>
      <c r="B4" s="316"/>
      <c r="C4" s="316"/>
      <c r="D4" s="316"/>
      <c r="E4" s="316"/>
      <c r="F4" s="316"/>
      <c r="G4" s="316"/>
      <c r="H4" s="316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399</v>
      </c>
      <c r="F6" s="15" t="s">
        <v>400</v>
      </c>
      <c r="G6" s="16" t="s">
        <v>398</v>
      </c>
      <c r="H6" s="17">
        <v>0.5</v>
      </c>
      <c r="I6" s="18">
        <v>0.26</v>
      </c>
    </row>
    <row r="7" spans="1:9" ht="7.5" customHeight="1" x14ac:dyDescent="0.3">
      <c r="A7" s="315"/>
      <c r="B7" s="316"/>
      <c r="C7" s="316"/>
      <c r="D7" s="316"/>
      <c r="E7" s="316"/>
      <c r="F7" s="316"/>
      <c r="G7" s="316"/>
      <c r="H7" s="316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79" t="s">
        <v>10</v>
      </c>
      <c r="B9" s="317" t="s">
        <v>11</v>
      </c>
      <c r="C9" s="320" t="s">
        <v>68</v>
      </c>
      <c r="D9" s="303"/>
      <c r="E9" s="303" t="s">
        <v>67</v>
      </c>
      <c r="F9" s="303"/>
      <c r="G9" s="303" t="s">
        <v>69</v>
      </c>
      <c r="H9" s="303"/>
      <c r="I9" s="373" t="s">
        <v>78</v>
      </c>
    </row>
    <row r="10" spans="1:9" ht="18" customHeight="1" x14ac:dyDescent="0.3">
      <c r="A10" s="380"/>
      <c r="B10" s="318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74"/>
    </row>
    <row r="11" spans="1:9" ht="17.25" thickBot="1" x14ac:dyDescent="0.35">
      <c r="A11" s="381"/>
      <c r="B11" s="319"/>
      <c r="C11" s="101">
        <v>1995300</v>
      </c>
      <c r="D11" s="102">
        <v>149</v>
      </c>
      <c r="E11" s="109">
        <f>SUM(E55:I56)</f>
        <v>285700</v>
      </c>
      <c r="F11" s="109">
        <f>SUM(E53:I54)</f>
        <v>10</v>
      </c>
      <c r="G11" s="110">
        <f>C11+E11</f>
        <v>2281000</v>
      </c>
      <c r="H11" s="110">
        <f>D11+F11</f>
        <v>159</v>
      </c>
      <c r="I11" s="111">
        <f>G11/H11</f>
        <v>14345.911949685535</v>
      </c>
    </row>
    <row r="12" spans="1:9" ht="30" customHeight="1" x14ac:dyDescent="0.3">
      <c r="A12" s="321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24" t="s">
        <v>19</v>
      </c>
      <c r="G12" s="325"/>
      <c r="H12" s="158" t="s">
        <v>20</v>
      </c>
      <c r="I12" s="100" t="s">
        <v>21</v>
      </c>
    </row>
    <row r="13" spans="1:9" ht="17.25" customHeight="1" x14ac:dyDescent="0.3">
      <c r="A13" s="322"/>
      <c r="B13" s="21" t="s">
        <v>23</v>
      </c>
      <c r="C13" s="22">
        <v>35</v>
      </c>
      <c r="D13" s="23"/>
      <c r="E13" s="22"/>
      <c r="F13" s="24"/>
      <c r="G13" s="25"/>
      <c r="H13" s="23">
        <v>3</v>
      </c>
      <c r="I13" s="26">
        <f>C13-D13-D14*1/2-E13-E14*1/2+F13-H13-H14*1/2-I14*1/2</f>
        <v>31.5</v>
      </c>
    </row>
    <row r="14" spans="1:9" ht="17.25" customHeight="1" x14ac:dyDescent="0.3">
      <c r="A14" s="322"/>
      <c r="B14" s="27" t="s">
        <v>24</v>
      </c>
      <c r="C14" s="28"/>
      <c r="D14" s="29"/>
      <c r="E14" s="30"/>
      <c r="F14" s="31"/>
      <c r="G14" s="25"/>
      <c r="H14" s="29">
        <v>1</v>
      </c>
      <c r="I14" s="32"/>
    </row>
    <row r="15" spans="1:9" ht="17.25" customHeight="1" x14ac:dyDescent="0.3">
      <c r="A15" s="322"/>
      <c r="B15" s="27" t="s">
        <v>25</v>
      </c>
      <c r="C15" s="33">
        <v>37</v>
      </c>
      <c r="D15" s="29">
        <v>1</v>
      </c>
      <c r="E15" s="30"/>
      <c r="F15" s="34"/>
      <c r="G15" s="25"/>
      <c r="H15" s="29">
        <v>2</v>
      </c>
      <c r="I15" s="35">
        <f>C15-D15-D16*1/2-E15-E16*1/2+F15-H15-H16*1/2-I16*1/2</f>
        <v>33.5</v>
      </c>
    </row>
    <row r="16" spans="1:9" ht="17.25" customHeight="1" x14ac:dyDescent="0.3">
      <c r="A16" s="322"/>
      <c r="B16" s="27" t="s">
        <v>26</v>
      </c>
      <c r="C16" s="28"/>
      <c r="D16" s="29"/>
      <c r="E16" s="30"/>
      <c r="F16" s="31"/>
      <c r="G16" s="25"/>
      <c r="H16" s="29">
        <v>1</v>
      </c>
      <c r="I16" s="36"/>
    </row>
    <row r="17" spans="1:9" ht="17.25" customHeight="1" x14ac:dyDescent="0.3">
      <c r="A17" s="322"/>
      <c r="B17" s="27" t="s">
        <v>27</v>
      </c>
      <c r="C17" s="33">
        <v>42</v>
      </c>
      <c r="D17" s="29"/>
      <c r="E17" s="30"/>
      <c r="F17" s="34"/>
      <c r="G17" s="118"/>
      <c r="H17" s="29"/>
      <c r="I17" s="37">
        <f>C17-D17-D18*1/2-E17-E18*1/2+F17-H17-H18*1/2-I18*1/2</f>
        <v>41.5</v>
      </c>
    </row>
    <row r="18" spans="1:9" ht="17.25" customHeight="1" x14ac:dyDescent="0.3">
      <c r="A18" s="322"/>
      <c r="B18" s="27" t="s">
        <v>28</v>
      </c>
      <c r="C18" s="28"/>
      <c r="D18" s="29"/>
      <c r="E18" s="30">
        <v>1</v>
      </c>
      <c r="F18" s="31"/>
      <c r="G18" s="25"/>
      <c r="H18" s="29"/>
      <c r="I18" s="36"/>
    </row>
    <row r="19" spans="1:9" ht="17.25" customHeight="1" x14ac:dyDescent="0.3">
      <c r="A19" s="322"/>
      <c r="B19" s="27" t="s">
        <v>29</v>
      </c>
      <c r="C19" s="33">
        <v>16</v>
      </c>
      <c r="D19" s="29"/>
      <c r="E19" s="30"/>
      <c r="F19" s="34"/>
      <c r="G19" s="25"/>
      <c r="H19" s="29">
        <v>1</v>
      </c>
      <c r="I19" s="35">
        <f>C19-D19-D20*1/2-E19-E20*1/2+F19-H19-H20*1/2-I20*1/2</f>
        <v>15</v>
      </c>
    </row>
    <row r="20" spans="1:9" ht="17.25" customHeight="1" x14ac:dyDescent="0.3">
      <c r="A20" s="322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22"/>
      <c r="B21" s="39" t="s">
        <v>31</v>
      </c>
      <c r="C21" s="40">
        <v>91</v>
      </c>
      <c r="D21" s="41">
        <v>1</v>
      </c>
      <c r="E21" s="42"/>
      <c r="F21" s="43"/>
      <c r="G21" s="44"/>
      <c r="H21" s="43">
        <v>4</v>
      </c>
      <c r="I21" s="45">
        <f t="shared" ref="I21:I48" si="0">C21-D21-E21+F21-H21</f>
        <v>86</v>
      </c>
    </row>
    <row r="22" spans="1:9" ht="17.25" customHeight="1" x14ac:dyDescent="0.3">
      <c r="A22" s="322"/>
      <c r="B22" s="21" t="s">
        <v>32</v>
      </c>
      <c r="C22" s="46">
        <v>50</v>
      </c>
      <c r="D22" s="23">
        <v>2</v>
      </c>
      <c r="E22" s="47">
        <v>1</v>
      </c>
      <c r="F22" s="48"/>
      <c r="G22" s="25"/>
      <c r="H22" s="48"/>
      <c r="I22" s="49">
        <f t="shared" si="0"/>
        <v>47</v>
      </c>
    </row>
    <row r="23" spans="1:9" ht="17.25" customHeight="1" x14ac:dyDescent="0.3">
      <c r="A23" s="322"/>
      <c r="B23" s="27" t="s">
        <v>33</v>
      </c>
      <c r="C23" s="33">
        <v>170</v>
      </c>
      <c r="D23" s="29">
        <v>2</v>
      </c>
      <c r="E23" s="50"/>
      <c r="F23" s="51"/>
      <c r="G23" s="25"/>
      <c r="H23" s="51"/>
      <c r="I23" s="52">
        <f>C23-D23-D24-E23-E24+F23+F24-H23-H24-I24</f>
        <v>166</v>
      </c>
    </row>
    <row r="24" spans="1:9" ht="17.25" customHeight="1" x14ac:dyDescent="0.3">
      <c r="A24" s="322"/>
      <c r="B24" s="160" t="s">
        <v>34</v>
      </c>
      <c r="C24" s="53"/>
      <c r="D24" s="41">
        <v>1</v>
      </c>
      <c r="E24" s="42">
        <v>1</v>
      </c>
      <c r="F24" s="43"/>
      <c r="G24" s="113"/>
      <c r="H24" s="43"/>
      <c r="I24" s="54"/>
    </row>
    <row r="25" spans="1:9" ht="17.25" customHeight="1" x14ac:dyDescent="0.3">
      <c r="A25" s="322"/>
      <c r="B25" s="21" t="s">
        <v>35</v>
      </c>
      <c r="C25" s="46">
        <v>48</v>
      </c>
      <c r="D25" s="23">
        <v>2</v>
      </c>
      <c r="E25" s="47"/>
      <c r="F25" s="48"/>
      <c r="G25" s="112"/>
      <c r="H25" s="48"/>
      <c r="I25" s="49">
        <f t="shared" si="0"/>
        <v>46</v>
      </c>
    </row>
    <row r="26" spans="1:9" ht="17.25" customHeight="1" x14ac:dyDescent="0.3">
      <c r="A26" s="322"/>
      <c r="B26" s="160" t="s">
        <v>36</v>
      </c>
      <c r="C26" s="55">
        <v>44</v>
      </c>
      <c r="D26" s="41">
        <v>3</v>
      </c>
      <c r="E26" s="42"/>
      <c r="F26" s="43"/>
      <c r="G26" s="113"/>
      <c r="H26" s="43"/>
      <c r="I26" s="45">
        <f t="shared" si="0"/>
        <v>41</v>
      </c>
    </row>
    <row r="27" spans="1:9" ht="17.25" customHeight="1" x14ac:dyDescent="0.3">
      <c r="A27" s="322"/>
      <c r="B27" s="21" t="s">
        <v>37</v>
      </c>
      <c r="C27" s="46">
        <v>34</v>
      </c>
      <c r="D27" s="23"/>
      <c r="E27" s="47"/>
      <c r="F27" s="48"/>
      <c r="G27" s="112"/>
      <c r="H27" s="48"/>
      <c r="I27" s="49">
        <f t="shared" si="0"/>
        <v>34</v>
      </c>
    </row>
    <row r="28" spans="1:9" ht="17.25" customHeight="1" x14ac:dyDescent="0.3">
      <c r="A28" s="322"/>
      <c r="B28" s="160" t="s">
        <v>38</v>
      </c>
      <c r="C28" s="55">
        <v>30</v>
      </c>
      <c r="D28" s="41"/>
      <c r="E28" s="42"/>
      <c r="F28" s="43"/>
      <c r="G28" s="113"/>
      <c r="H28" s="43"/>
      <c r="I28" s="45">
        <f t="shared" si="0"/>
        <v>30</v>
      </c>
    </row>
    <row r="29" spans="1:9" ht="17.25" customHeight="1" x14ac:dyDescent="0.3">
      <c r="A29" s="322"/>
      <c r="B29" s="21" t="s">
        <v>39</v>
      </c>
      <c r="C29" s="46">
        <v>10</v>
      </c>
      <c r="D29" s="23"/>
      <c r="E29" s="47"/>
      <c r="F29" s="48"/>
      <c r="G29" s="25"/>
      <c r="H29" s="48"/>
      <c r="I29" s="49">
        <f t="shared" si="0"/>
        <v>10</v>
      </c>
    </row>
    <row r="30" spans="1:9" ht="17.25" customHeight="1" x14ac:dyDescent="0.3">
      <c r="A30" s="322"/>
      <c r="B30" s="56" t="s">
        <v>40</v>
      </c>
      <c r="C30" s="57">
        <v>107</v>
      </c>
      <c r="D30" s="29">
        <v>4</v>
      </c>
      <c r="E30" s="50"/>
      <c r="F30" s="51"/>
      <c r="G30" s="25"/>
      <c r="H30" s="51"/>
      <c r="I30" s="52">
        <f>C30-D30-D31-E30-E31+F30+F31-H30-H31-I31</f>
        <v>103</v>
      </c>
    </row>
    <row r="31" spans="1:9" ht="17.25" customHeight="1" x14ac:dyDescent="0.3">
      <c r="A31" s="322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22"/>
      <c r="B32" s="179" t="s">
        <v>117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22"/>
      <c r="B33" s="179" t="s">
        <v>119</v>
      </c>
      <c r="C33" s="185"/>
      <c r="D33" s="29"/>
      <c r="E33" s="50"/>
      <c r="F33" s="51"/>
      <c r="G33" s="25"/>
      <c r="H33" s="51"/>
      <c r="I33" s="188">
        <v>2</v>
      </c>
    </row>
    <row r="34" spans="1:9" ht="17.25" customHeight="1" x14ac:dyDescent="0.3">
      <c r="A34" s="322"/>
      <c r="B34" s="179" t="s">
        <v>121</v>
      </c>
      <c r="C34" s="186"/>
      <c r="D34" s="60"/>
      <c r="E34" s="61"/>
      <c r="F34" s="62"/>
      <c r="G34" s="113"/>
      <c r="H34" s="62"/>
      <c r="I34" s="189"/>
    </row>
    <row r="35" spans="1:9" ht="17.25" customHeight="1" x14ac:dyDescent="0.3">
      <c r="A35" s="322"/>
      <c r="B35" s="191" t="s">
        <v>79</v>
      </c>
      <c r="C35" s="281"/>
      <c r="D35" s="23"/>
      <c r="E35" s="47">
        <v>1</v>
      </c>
      <c r="F35" s="48"/>
      <c r="G35" s="116"/>
      <c r="H35" s="48"/>
      <c r="I35" s="282">
        <v>25</v>
      </c>
    </row>
    <row r="36" spans="1:9" ht="17.25" customHeight="1" x14ac:dyDescent="0.3">
      <c r="A36" s="322"/>
      <c r="B36" s="153" t="s">
        <v>80</v>
      </c>
      <c r="C36" s="121">
        <v>20</v>
      </c>
      <c r="D36" s="122"/>
      <c r="E36" s="123"/>
      <c r="F36" s="124"/>
      <c r="G36" s="112"/>
      <c r="H36" s="124"/>
      <c r="I36" s="52">
        <f>C36-D36-E36+F36-H36</f>
        <v>20</v>
      </c>
    </row>
    <row r="37" spans="1:9" ht="17.25" customHeight="1" x14ac:dyDescent="0.3">
      <c r="A37" s="322"/>
      <c r="B37" s="163" t="s">
        <v>107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22"/>
      <c r="B38" s="178" t="s">
        <v>131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22"/>
      <c r="B39" s="178" t="s">
        <v>109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22"/>
      <c r="B40" s="178" t="s">
        <v>133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22"/>
      <c r="B41" s="178" t="s">
        <v>111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22"/>
      <c r="B42" s="178" t="s">
        <v>135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22"/>
      <c r="B43" s="178" t="s">
        <v>113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22"/>
      <c r="B44" s="178" t="s">
        <v>125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22"/>
      <c r="B45" s="164" t="s">
        <v>115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22"/>
      <c r="B46" s="120" t="s">
        <v>89</v>
      </c>
      <c r="C46" s="154"/>
      <c r="D46" s="23"/>
      <c r="E46" s="47"/>
      <c r="F46" s="48"/>
      <c r="G46" s="116"/>
      <c r="H46" s="48"/>
      <c r="I46" s="49">
        <f t="shared" si="0"/>
        <v>0</v>
      </c>
    </row>
    <row r="47" spans="1:9" ht="17.25" customHeight="1" x14ac:dyDescent="0.3">
      <c r="A47" s="322"/>
      <c r="B47" s="120" t="s">
        <v>88</v>
      </c>
      <c r="C47" s="121">
        <v>14</v>
      </c>
      <c r="D47" s="122"/>
      <c r="E47" s="123"/>
      <c r="F47" s="124"/>
      <c r="G47" s="112"/>
      <c r="H47" s="124"/>
      <c r="I47" s="52">
        <f t="shared" si="0"/>
        <v>14</v>
      </c>
    </row>
    <row r="48" spans="1:9" ht="17.25" customHeight="1" x14ac:dyDescent="0.3">
      <c r="A48" s="322"/>
      <c r="B48" s="56" t="s">
        <v>123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22"/>
      <c r="B49" s="179" t="s">
        <v>127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22"/>
      <c r="B50" s="58" t="s">
        <v>129</v>
      </c>
      <c r="C50" s="59"/>
      <c r="D50" s="60"/>
      <c r="E50" s="61"/>
      <c r="F50" s="62"/>
      <c r="G50" s="113"/>
      <c r="H50" s="62"/>
      <c r="I50" s="63">
        <v>1</v>
      </c>
    </row>
    <row r="51" spans="1:10" ht="17.25" customHeight="1" thickBot="1" x14ac:dyDescent="0.35">
      <c r="A51" s="323"/>
      <c r="B51" s="64" t="s">
        <v>42</v>
      </c>
      <c r="C51" s="65">
        <f>SUM(C13:C50)</f>
        <v>748</v>
      </c>
      <c r="D51" s="66">
        <f>SUM(D13:D46)</f>
        <v>16</v>
      </c>
      <c r="E51" s="67">
        <f>SUM(E13:E46)</f>
        <v>4</v>
      </c>
      <c r="F51" s="67">
        <f>SUM(F13:F46)</f>
        <v>0</v>
      </c>
      <c r="G51" s="68" t="s">
        <v>22</v>
      </c>
      <c r="H51" s="69">
        <f>SUM(H13:H46)</f>
        <v>12</v>
      </c>
      <c r="I51" s="70">
        <f>SUM(I13:I46)</f>
        <v>731.5</v>
      </c>
    </row>
    <row r="52" spans="1:10" ht="17.25" customHeight="1" x14ac:dyDescent="0.3">
      <c r="A52" s="326" t="s">
        <v>72</v>
      </c>
      <c r="B52" s="327"/>
      <c r="C52" s="71"/>
      <c r="D52" s="72" t="s">
        <v>163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28"/>
      <c r="B53" s="329"/>
      <c r="C53" s="332" t="s">
        <v>74</v>
      </c>
      <c r="D53" s="334"/>
      <c r="E53" s="336">
        <v>1</v>
      </c>
      <c r="F53" s="336">
        <v>3</v>
      </c>
      <c r="G53" s="336">
        <v>5</v>
      </c>
      <c r="H53" s="336"/>
      <c r="I53" s="339">
        <v>1</v>
      </c>
      <c r="J53" s="174"/>
    </row>
    <row r="54" spans="1:10" s="76" customFormat="1" ht="17.25" customHeight="1" x14ac:dyDescent="0.3">
      <c r="A54" s="328"/>
      <c r="B54" s="329"/>
      <c r="C54" s="333"/>
      <c r="D54" s="335"/>
      <c r="E54" s="337"/>
      <c r="F54" s="337"/>
      <c r="G54" s="337"/>
      <c r="H54" s="338"/>
      <c r="I54" s="340"/>
    </row>
    <row r="55" spans="1:10" s="76" customFormat="1" ht="17.25" customHeight="1" x14ac:dyDescent="0.3">
      <c r="A55" s="328"/>
      <c r="B55" s="329"/>
      <c r="C55" s="332" t="s">
        <v>75</v>
      </c>
      <c r="D55" s="334"/>
      <c r="E55" s="343">
        <v>18600</v>
      </c>
      <c r="F55" s="343">
        <v>62600</v>
      </c>
      <c r="G55" s="343">
        <v>60500</v>
      </c>
      <c r="H55" s="336"/>
      <c r="I55" s="347">
        <v>144000</v>
      </c>
    </row>
    <row r="56" spans="1:10" s="76" customFormat="1" ht="17.25" customHeight="1" thickBot="1" x14ac:dyDescent="0.35">
      <c r="A56" s="330"/>
      <c r="B56" s="331"/>
      <c r="C56" s="341"/>
      <c r="D56" s="342"/>
      <c r="E56" s="344"/>
      <c r="F56" s="344"/>
      <c r="G56" s="344"/>
      <c r="H56" s="344"/>
      <c r="I56" s="348"/>
    </row>
    <row r="57" spans="1:10" s="76" customFormat="1" ht="17.25" customHeight="1" x14ac:dyDescent="0.3">
      <c r="A57" s="326" t="s">
        <v>45</v>
      </c>
      <c r="B57" s="327"/>
      <c r="C57" s="349" t="s">
        <v>408</v>
      </c>
      <c r="D57" s="350"/>
      <c r="E57" s="350"/>
      <c r="F57" s="350"/>
      <c r="G57" s="350"/>
      <c r="H57" s="350"/>
      <c r="I57" s="351"/>
    </row>
    <row r="58" spans="1:10" s="76" customFormat="1" ht="17.25" customHeight="1" x14ac:dyDescent="0.3">
      <c r="A58" s="328"/>
      <c r="B58" s="329"/>
      <c r="C58" s="352" t="s">
        <v>409</v>
      </c>
      <c r="D58" s="352"/>
      <c r="E58" s="352"/>
      <c r="F58" s="352"/>
      <c r="G58" s="352"/>
      <c r="H58" s="352"/>
      <c r="I58" s="353"/>
    </row>
    <row r="59" spans="1:10" s="76" customFormat="1" ht="17.25" customHeight="1" x14ac:dyDescent="0.3">
      <c r="A59" s="328"/>
      <c r="B59" s="329"/>
      <c r="C59" s="354" t="s">
        <v>410</v>
      </c>
      <c r="D59" s="352"/>
      <c r="E59" s="352"/>
      <c r="F59" s="352"/>
      <c r="G59" s="352"/>
      <c r="H59" s="352"/>
      <c r="I59" s="353"/>
    </row>
    <row r="60" spans="1:10" s="76" customFormat="1" ht="17.25" customHeight="1" thickBot="1" x14ac:dyDescent="0.35">
      <c r="A60" s="330"/>
      <c r="B60" s="331"/>
      <c r="C60" s="345" t="s">
        <v>411</v>
      </c>
      <c r="D60" s="345"/>
      <c r="E60" s="345"/>
      <c r="F60" s="345"/>
      <c r="G60" s="345"/>
      <c r="H60" s="345"/>
      <c r="I60" s="346"/>
    </row>
    <row r="61" spans="1:10" s="76" customFormat="1" ht="17.25" customHeight="1" x14ac:dyDescent="0.3">
      <c r="A61" s="326" t="s">
        <v>73</v>
      </c>
      <c r="B61" s="327"/>
      <c r="C61" s="389" t="s">
        <v>402</v>
      </c>
      <c r="D61" s="368"/>
      <c r="E61" s="368"/>
      <c r="F61" s="368"/>
      <c r="G61" s="368"/>
      <c r="H61" s="368"/>
      <c r="I61" s="369"/>
    </row>
    <row r="62" spans="1:10" s="76" customFormat="1" ht="17.25" customHeight="1" x14ac:dyDescent="0.3">
      <c r="A62" s="328"/>
      <c r="B62" s="329"/>
      <c r="C62" s="393"/>
      <c r="D62" s="394"/>
      <c r="E62" s="394"/>
      <c r="F62" s="394"/>
      <c r="G62" s="394"/>
      <c r="H62" s="394"/>
      <c r="I62" s="395"/>
    </row>
    <row r="63" spans="1:10" s="76" customFormat="1" ht="17.25" customHeight="1" x14ac:dyDescent="0.3">
      <c r="A63" s="328"/>
      <c r="B63" s="329"/>
      <c r="C63" s="393"/>
      <c r="D63" s="394"/>
      <c r="E63" s="394"/>
      <c r="F63" s="394"/>
      <c r="G63" s="394"/>
      <c r="H63" s="394"/>
      <c r="I63" s="395"/>
    </row>
    <row r="64" spans="1:10" s="76" customFormat="1" ht="17.25" customHeight="1" thickBot="1" x14ac:dyDescent="0.35">
      <c r="A64" s="330"/>
      <c r="B64" s="331"/>
      <c r="C64" s="345"/>
      <c r="D64" s="345"/>
      <c r="E64" s="345"/>
      <c r="F64" s="345"/>
      <c r="G64" s="345"/>
      <c r="H64" s="345"/>
      <c r="I64" s="346"/>
    </row>
    <row r="65" spans="1:9" s="76" customFormat="1" ht="17.25" customHeight="1" x14ac:dyDescent="0.3">
      <c r="A65" s="363" t="s">
        <v>46</v>
      </c>
      <c r="B65" s="366" t="s">
        <v>47</v>
      </c>
      <c r="C65" s="368"/>
      <c r="D65" s="368"/>
      <c r="E65" s="368"/>
      <c r="F65" s="368"/>
      <c r="G65" s="368"/>
      <c r="H65" s="368"/>
      <c r="I65" s="369"/>
    </row>
    <row r="66" spans="1:9" s="76" customFormat="1" ht="17.25" customHeight="1" x14ac:dyDescent="0.3">
      <c r="A66" s="364"/>
      <c r="B66" s="367"/>
      <c r="C66" s="350"/>
      <c r="D66" s="350"/>
      <c r="E66" s="350"/>
      <c r="F66" s="350"/>
      <c r="G66" s="350"/>
      <c r="H66" s="350"/>
      <c r="I66" s="351"/>
    </row>
    <row r="67" spans="1:9" s="76" customFormat="1" ht="17.25" customHeight="1" x14ac:dyDescent="0.3">
      <c r="A67" s="364"/>
      <c r="B67" s="370" t="s">
        <v>48</v>
      </c>
      <c r="C67" s="352"/>
      <c r="D67" s="352"/>
      <c r="E67" s="352"/>
      <c r="F67" s="352"/>
      <c r="G67" s="352"/>
      <c r="H67" s="352"/>
      <c r="I67" s="353"/>
    </row>
    <row r="68" spans="1:9" s="76" customFormat="1" ht="17.25" customHeight="1" x14ac:dyDescent="0.3">
      <c r="A68" s="364"/>
      <c r="B68" s="367"/>
      <c r="C68" s="350"/>
      <c r="D68" s="350"/>
      <c r="E68" s="350"/>
      <c r="F68" s="350"/>
      <c r="G68" s="350"/>
      <c r="H68" s="350"/>
      <c r="I68" s="351"/>
    </row>
    <row r="69" spans="1:9" s="76" customFormat="1" ht="17.25" customHeight="1" thickBot="1" x14ac:dyDescent="0.35">
      <c r="A69" s="365"/>
      <c r="B69" s="371"/>
      <c r="C69" s="362"/>
      <c r="D69" s="345"/>
      <c r="E69" s="345"/>
      <c r="F69" s="345"/>
      <c r="G69" s="345"/>
      <c r="H69" s="345"/>
      <c r="I69" s="346"/>
    </row>
    <row r="70" spans="1:9" s="76" customFormat="1" ht="17.25" customHeight="1" x14ac:dyDescent="0.3">
      <c r="A70" s="326" t="s">
        <v>49</v>
      </c>
      <c r="B70" s="327"/>
      <c r="C70" s="350" t="s">
        <v>401</v>
      </c>
      <c r="D70" s="350"/>
      <c r="E70" s="350"/>
      <c r="F70" s="350"/>
      <c r="G70" s="350"/>
      <c r="H70" s="350"/>
      <c r="I70" s="351"/>
    </row>
    <row r="71" spans="1:9" s="76" customFormat="1" ht="17.25" customHeight="1" x14ac:dyDescent="0.3">
      <c r="A71" s="328"/>
      <c r="B71" s="329"/>
      <c r="C71" s="350"/>
      <c r="D71" s="350"/>
      <c r="E71" s="350"/>
      <c r="F71" s="350"/>
      <c r="G71" s="350"/>
      <c r="H71" s="350"/>
      <c r="I71" s="351"/>
    </row>
    <row r="72" spans="1:9" s="76" customFormat="1" ht="17.25" customHeight="1" thickBot="1" x14ac:dyDescent="0.35">
      <c r="A72" s="330"/>
      <c r="B72" s="331"/>
      <c r="C72" s="362"/>
      <c r="D72" s="345"/>
      <c r="E72" s="345"/>
      <c r="F72" s="345"/>
      <c r="G72" s="345"/>
      <c r="H72" s="345"/>
      <c r="I72" s="346"/>
    </row>
    <row r="73" spans="1:9" s="76" customFormat="1" ht="17.25" customHeight="1" x14ac:dyDescent="0.3">
      <c r="A73" s="326" t="s">
        <v>50</v>
      </c>
      <c r="B73" s="327"/>
      <c r="C73" s="389"/>
      <c r="D73" s="368"/>
      <c r="E73" s="368"/>
      <c r="F73" s="368"/>
      <c r="G73" s="368"/>
      <c r="H73" s="368"/>
      <c r="I73" s="369"/>
    </row>
    <row r="74" spans="1:9" s="76" customFormat="1" ht="17.25" customHeight="1" thickBot="1" x14ac:dyDescent="0.35">
      <c r="A74" s="330"/>
      <c r="B74" s="331"/>
      <c r="C74" s="354"/>
      <c r="D74" s="352"/>
      <c r="E74" s="352"/>
      <c r="F74" s="352"/>
      <c r="G74" s="352"/>
      <c r="H74" s="352"/>
      <c r="I74" s="353"/>
    </row>
    <row r="75" spans="1:9" s="76" customFormat="1" ht="17.25" customHeight="1" x14ac:dyDescent="0.3">
      <c r="A75" s="326" t="s">
        <v>51</v>
      </c>
      <c r="B75" s="327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403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404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375" t="s">
        <v>61</v>
      </c>
      <c r="B78" s="376"/>
      <c r="C78" s="382" t="s">
        <v>62</v>
      </c>
      <c r="D78" s="383"/>
      <c r="E78" s="384" t="s">
        <v>63</v>
      </c>
      <c r="F78" s="383"/>
      <c r="G78" s="385" t="s">
        <v>64</v>
      </c>
      <c r="H78" s="386"/>
      <c r="I78" s="90" t="s">
        <v>65</v>
      </c>
    </row>
    <row r="79" spans="1:9" s="76" customFormat="1" ht="17.25" customHeight="1" thickBot="1" x14ac:dyDescent="0.35">
      <c r="A79" s="377"/>
      <c r="B79" s="378"/>
      <c r="C79" s="92">
        <v>0.25</v>
      </c>
      <c r="D79" s="93" t="s">
        <v>405</v>
      </c>
      <c r="E79" s="94">
        <v>0.8125</v>
      </c>
      <c r="F79" s="93" t="s">
        <v>406</v>
      </c>
      <c r="G79" s="387" t="s">
        <v>407</v>
      </c>
      <c r="H79" s="388"/>
      <c r="I79" s="95" t="s">
        <v>407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372" t="s">
        <v>66</v>
      </c>
      <c r="I80" s="372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1:I1"/>
    <mergeCell ref="A2:B2"/>
    <mergeCell ref="C2:D2"/>
    <mergeCell ref="E2:E3"/>
    <mergeCell ref="F2:G2"/>
    <mergeCell ref="H2:I2"/>
    <mergeCell ref="A3:B3"/>
    <mergeCell ref="F3:G3"/>
    <mergeCell ref="H3:I3"/>
    <mergeCell ref="A4:H4"/>
    <mergeCell ref="A7:H7"/>
    <mergeCell ref="A9:A11"/>
    <mergeCell ref="B9:B11"/>
    <mergeCell ref="C9:D9"/>
    <mergeCell ref="E9:F9"/>
    <mergeCell ref="G9:H9"/>
    <mergeCell ref="A12:A51"/>
    <mergeCell ref="A52:B56"/>
    <mergeCell ref="C53:C54"/>
    <mergeCell ref="D53:D54"/>
    <mergeCell ref="E53:E54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opLeftCell="A58" zoomScale="90" zoomScaleNormal="90" workbookViewId="0">
      <selection activeCell="G33" sqref="G33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296" t="s">
        <v>0</v>
      </c>
      <c r="B1" s="297"/>
      <c r="C1" s="297"/>
      <c r="D1" s="297"/>
      <c r="E1" s="297"/>
      <c r="F1" s="297"/>
      <c r="G1" s="297"/>
      <c r="H1" s="297"/>
      <c r="I1" s="298"/>
    </row>
    <row r="2" spans="1:9" x14ac:dyDescent="0.3">
      <c r="A2" s="299" t="s">
        <v>1</v>
      </c>
      <c r="B2" s="300"/>
      <c r="C2" s="301" t="s">
        <v>413</v>
      </c>
      <c r="D2" s="302"/>
      <c r="E2" s="303" t="s">
        <v>77</v>
      </c>
      <c r="F2" s="305" t="s">
        <v>2</v>
      </c>
      <c r="G2" s="306"/>
      <c r="H2" s="307" t="s">
        <v>76</v>
      </c>
      <c r="I2" s="308"/>
    </row>
    <row r="3" spans="1:9" x14ac:dyDescent="0.3">
      <c r="A3" s="309" t="s">
        <v>3</v>
      </c>
      <c r="B3" s="310"/>
      <c r="C3" s="4" t="s">
        <v>412</v>
      </c>
      <c r="D3" s="5" t="s">
        <v>4</v>
      </c>
      <c r="E3" s="304"/>
      <c r="F3" s="311" t="s">
        <v>414</v>
      </c>
      <c r="G3" s="312"/>
      <c r="H3" s="313">
        <f>G11+'12일'!H3:I3</f>
        <v>26716500</v>
      </c>
      <c r="I3" s="314"/>
    </row>
    <row r="4" spans="1:9" ht="7.5" customHeight="1" x14ac:dyDescent="0.3">
      <c r="A4" s="315"/>
      <c r="B4" s="316"/>
      <c r="C4" s="316"/>
      <c r="D4" s="316"/>
      <c r="E4" s="316"/>
      <c r="F4" s="316"/>
      <c r="G4" s="316"/>
      <c r="H4" s="316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415</v>
      </c>
      <c r="F6" s="15" t="s">
        <v>416</v>
      </c>
      <c r="G6" s="16" t="s">
        <v>417</v>
      </c>
      <c r="H6" s="17">
        <v>0.74</v>
      </c>
      <c r="I6" s="18">
        <v>0.26</v>
      </c>
    </row>
    <row r="7" spans="1:9" ht="7.5" customHeight="1" x14ac:dyDescent="0.3">
      <c r="A7" s="315"/>
      <c r="B7" s="316"/>
      <c r="C7" s="316"/>
      <c r="D7" s="316"/>
      <c r="E7" s="316"/>
      <c r="F7" s="316"/>
      <c r="G7" s="316"/>
      <c r="H7" s="316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79" t="s">
        <v>10</v>
      </c>
      <c r="B9" s="317" t="s">
        <v>11</v>
      </c>
      <c r="C9" s="320" t="s">
        <v>68</v>
      </c>
      <c r="D9" s="303"/>
      <c r="E9" s="303" t="s">
        <v>67</v>
      </c>
      <c r="F9" s="303"/>
      <c r="G9" s="303" t="s">
        <v>69</v>
      </c>
      <c r="H9" s="303"/>
      <c r="I9" s="373" t="s">
        <v>78</v>
      </c>
    </row>
    <row r="10" spans="1:9" ht="18" customHeight="1" x14ac:dyDescent="0.3">
      <c r="A10" s="380"/>
      <c r="B10" s="318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74"/>
    </row>
    <row r="11" spans="1:9" ht="17.25" thickBot="1" x14ac:dyDescent="0.35">
      <c r="A11" s="381"/>
      <c r="B11" s="319"/>
      <c r="C11" s="101">
        <v>2189300</v>
      </c>
      <c r="D11" s="102">
        <v>152</v>
      </c>
      <c r="E11" s="109">
        <f>SUM(E55:I56)</f>
        <v>253800</v>
      </c>
      <c r="F11" s="109">
        <f>SUM(E53:I54)</f>
        <v>13</v>
      </c>
      <c r="G11" s="110">
        <f>C11+E11</f>
        <v>2443100</v>
      </c>
      <c r="H11" s="110">
        <f>D11+F11</f>
        <v>165</v>
      </c>
      <c r="I11" s="111">
        <f>G11/H11</f>
        <v>14806.666666666666</v>
      </c>
    </row>
    <row r="12" spans="1:9" ht="30" customHeight="1" x14ac:dyDescent="0.3">
      <c r="A12" s="321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24" t="s">
        <v>19</v>
      </c>
      <c r="G12" s="325"/>
      <c r="H12" s="158" t="s">
        <v>20</v>
      </c>
      <c r="I12" s="100" t="s">
        <v>21</v>
      </c>
    </row>
    <row r="13" spans="1:9" ht="17.25" customHeight="1" x14ac:dyDescent="0.3">
      <c r="A13" s="322"/>
      <c r="B13" s="21" t="s">
        <v>23</v>
      </c>
      <c r="C13" s="22">
        <v>65</v>
      </c>
      <c r="D13" s="23"/>
      <c r="E13" s="22"/>
      <c r="F13" s="24"/>
      <c r="G13" s="25"/>
      <c r="H13" s="23"/>
      <c r="I13" s="26">
        <f>C13-D13-D14*1/2-E13-E14*1/2+F13-H13-H14*1/2-I14*1/2</f>
        <v>65</v>
      </c>
    </row>
    <row r="14" spans="1:9" ht="17.25" customHeight="1" x14ac:dyDescent="0.3">
      <c r="A14" s="322"/>
      <c r="B14" s="27" t="s">
        <v>24</v>
      </c>
      <c r="C14" s="28"/>
      <c r="D14" s="29"/>
      <c r="E14" s="30"/>
      <c r="F14" s="31"/>
      <c r="G14" s="25"/>
      <c r="H14" s="29"/>
      <c r="I14" s="32"/>
    </row>
    <row r="15" spans="1:9" ht="17.25" customHeight="1" x14ac:dyDescent="0.3">
      <c r="A15" s="322"/>
      <c r="B15" s="27" t="s">
        <v>25</v>
      </c>
      <c r="C15" s="33">
        <v>24</v>
      </c>
      <c r="D15" s="29"/>
      <c r="E15" s="30"/>
      <c r="F15" s="34"/>
      <c r="G15" s="25"/>
      <c r="H15" s="29"/>
      <c r="I15" s="35">
        <f>C15-D15-D16*1/2-E15-E16*1/2+F15-H15-H16*1/2-I16*1/2</f>
        <v>24</v>
      </c>
    </row>
    <row r="16" spans="1:9" ht="17.25" customHeight="1" x14ac:dyDescent="0.3">
      <c r="A16" s="322"/>
      <c r="B16" s="27" t="s">
        <v>26</v>
      </c>
      <c r="C16" s="28"/>
      <c r="D16" s="29"/>
      <c r="E16" s="30"/>
      <c r="F16" s="31"/>
      <c r="G16" s="25"/>
      <c r="H16" s="29"/>
      <c r="I16" s="36"/>
    </row>
    <row r="17" spans="1:9" ht="17.25" customHeight="1" x14ac:dyDescent="0.3">
      <c r="A17" s="322"/>
      <c r="B17" s="27" t="s">
        <v>27</v>
      </c>
      <c r="C17" s="33">
        <v>30</v>
      </c>
      <c r="D17" s="29"/>
      <c r="E17" s="30"/>
      <c r="F17" s="34"/>
      <c r="G17" s="118"/>
      <c r="H17" s="29"/>
      <c r="I17" s="37">
        <f>C17-D17-D18*1/2-E17-E18*1/2+F17-H17-H18*1/2-I18*1/2</f>
        <v>30</v>
      </c>
    </row>
    <row r="18" spans="1:9" ht="17.25" customHeight="1" x14ac:dyDescent="0.3">
      <c r="A18" s="322"/>
      <c r="B18" s="27" t="s">
        <v>28</v>
      </c>
      <c r="C18" s="28"/>
      <c r="D18" s="29"/>
      <c r="E18" s="30"/>
      <c r="F18" s="31"/>
      <c r="G18" s="25"/>
      <c r="H18" s="29"/>
      <c r="I18" s="36"/>
    </row>
    <row r="19" spans="1:9" ht="17.25" customHeight="1" x14ac:dyDescent="0.3">
      <c r="A19" s="322"/>
      <c r="B19" s="27" t="s">
        <v>29</v>
      </c>
      <c r="C19" s="33">
        <v>16</v>
      </c>
      <c r="D19" s="29"/>
      <c r="E19" s="30"/>
      <c r="F19" s="34"/>
      <c r="G19" s="25"/>
      <c r="H19" s="29"/>
      <c r="I19" s="35">
        <f>C19-D19-D20*1/2-E19-E20*1/2+F19-H19-H20*1/2-I20*1/2</f>
        <v>16</v>
      </c>
    </row>
    <row r="20" spans="1:9" ht="17.25" customHeight="1" x14ac:dyDescent="0.3">
      <c r="A20" s="322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22"/>
      <c r="B21" s="39" t="s">
        <v>31</v>
      </c>
      <c r="C21" s="40">
        <v>90</v>
      </c>
      <c r="D21" s="41"/>
      <c r="E21" s="42">
        <v>2</v>
      </c>
      <c r="F21" s="43"/>
      <c r="G21" s="44"/>
      <c r="H21" s="43"/>
      <c r="I21" s="45">
        <f t="shared" ref="I21:I48" si="0">C21-D21-E21+F21-H21</f>
        <v>88</v>
      </c>
    </row>
    <row r="22" spans="1:9" ht="17.25" customHeight="1" x14ac:dyDescent="0.3">
      <c r="A22" s="322"/>
      <c r="B22" s="21" t="s">
        <v>32</v>
      </c>
      <c r="C22" s="46">
        <v>100</v>
      </c>
      <c r="D22" s="23"/>
      <c r="E22" s="47"/>
      <c r="F22" s="48"/>
      <c r="G22" s="25"/>
      <c r="H22" s="48"/>
      <c r="I22" s="49">
        <f t="shared" si="0"/>
        <v>100</v>
      </c>
    </row>
    <row r="23" spans="1:9" ht="17.25" customHeight="1" x14ac:dyDescent="0.3">
      <c r="A23" s="322"/>
      <c r="B23" s="27" t="s">
        <v>33</v>
      </c>
      <c r="C23" s="33">
        <v>208</v>
      </c>
      <c r="D23" s="29"/>
      <c r="E23" s="50">
        <v>1</v>
      </c>
      <c r="F23" s="51"/>
      <c r="G23" s="25"/>
      <c r="H23" s="51"/>
      <c r="I23" s="52">
        <f>C23-D23-D24-E23-E24+F23+F24-H23-H24-I24</f>
        <v>204</v>
      </c>
    </row>
    <row r="24" spans="1:9" ht="17.25" customHeight="1" x14ac:dyDescent="0.3">
      <c r="A24" s="322"/>
      <c r="B24" s="160" t="s">
        <v>34</v>
      </c>
      <c r="C24" s="53"/>
      <c r="D24" s="41">
        <v>1</v>
      </c>
      <c r="E24" s="42">
        <v>2</v>
      </c>
      <c r="F24" s="43"/>
      <c r="G24" s="113"/>
      <c r="H24" s="43"/>
      <c r="I24" s="54"/>
    </row>
    <row r="25" spans="1:9" ht="17.25" customHeight="1" x14ac:dyDescent="0.3">
      <c r="A25" s="322"/>
      <c r="B25" s="21" t="s">
        <v>35</v>
      </c>
      <c r="C25" s="46">
        <v>45</v>
      </c>
      <c r="D25" s="23">
        <v>2</v>
      </c>
      <c r="E25" s="47"/>
      <c r="F25" s="48"/>
      <c r="G25" s="112"/>
      <c r="H25" s="48"/>
      <c r="I25" s="49">
        <f t="shared" si="0"/>
        <v>43</v>
      </c>
    </row>
    <row r="26" spans="1:9" ht="17.25" customHeight="1" x14ac:dyDescent="0.3">
      <c r="A26" s="322"/>
      <c r="B26" s="160" t="s">
        <v>36</v>
      </c>
      <c r="C26" s="55">
        <v>41</v>
      </c>
      <c r="D26" s="41"/>
      <c r="E26" s="42"/>
      <c r="F26" s="43"/>
      <c r="G26" s="113"/>
      <c r="H26" s="43"/>
      <c r="I26" s="45">
        <f t="shared" si="0"/>
        <v>41</v>
      </c>
    </row>
    <row r="27" spans="1:9" ht="17.25" customHeight="1" x14ac:dyDescent="0.3">
      <c r="A27" s="322"/>
      <c r="B27" s="21" t="s">
        <v>37</v>
      </c>
      <c r="C27" s="46">
        <v>32</v>
      </c>
      <c r="D27" s="23">
        <v>1</v>
      </c>
      <c r="E27" s="47"/>
      <c r="F27" s="48"/>
      <c r="G27" s="112"/>
      <c r="H27" s="48"/>
      <c r="I27" s="49">
        <f t="shared" si="0"/>
        <v>31</v>
      </c>
    </row>
    <row r="28" spans="1:9" ht="17.25" customHeight="1" x14ac:dyDescent="0.3">
      <c r="A28" s="322"/>
      <c r="B28" s="160" t="s">
        <v>38</v>
      </c>
      <c r="C28" s="55">
        <v>27</v>
      </c>
      <c r="D28" s="41"/>
      <c r="E28" s="42"/>
      <c r="F28" s="43"/>
      <c r="G28" s="113"/>
      <c r="H28" s="43"/>
      <c r="I28" s="45">
        <f t="shared" si="0"/>
        <v>27</v>
      </c>
    </row>
    <row r="29" spans="1:9" ht="17.25" customHeight="1" x14ac:dyDescent="0.3">
      <c r="A29" s="322"/>
      <c r="B29" s="21" t="s">
        <v>39</v>
      </c>
      <c r="C29" s="46">
        <v>10</v>
      </c>
      <c r="D29" s="23"/>
      <c r="E29" s="47"/>
      <c r="F29" s="48"/>
      <c r="G29" s="25"/>
      <c r="H29" s="48"/>
      <c r="I29" s="49">
        <f t="shared" si="0"/>
        <v>10</v>
      </c>
    </row>
    <row r="30" spans="1:9" ht="17.25" customHeight="1" x14ac:dyDescent="0.3">
      <c r="A30" s="322"/>
      <c r="B30" s="56" t="s">
        <v>40</v>
      </c>
      <c r="C30" s="57">
        <v>104</v>
      </c>
      <c r="D30" s="29">
        <v>1</v>
      </c>
      <c r="E30" s="50"/>
      <c r="F30" s="51"/>
      <c r="G30" s="25"/>
      <c r="H30" s="51"/>
      <c r="I30" s="52">
        <f>C30-D30-D31-E30-E31+F30+F31-H30-H31-I31</f>
        <v>103</v>
      </c>
    </row>
    <row r="31" spans="1:9" ht="17.25" customHeight="1" x14ac:dyDescent="0.3">
      <c r="A31" s="322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22"/>
      <c r="B32" s="179" t="s">
        <v>117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22"/>
      <c r="B33" s="179" t="s">
        <v>119</v>
      </c>
      <c r="C33" s="185"/>
      <c r="D33" s="29"/>
      <c r="E33" s="50"/>
      <c r="F33" s="51"/>
      <c r="G33" s="25"/>
      <c r="H33" s="51"/>
      <c r="I33" s="188">
        <v>1</v>
      </c>
    </row>
    <row r="34" spans="1:9" ht="17.25" customHeight="1" x14ac:dyDescent="0.3">
      <c r="A34" s="322"/>
      <c r="B34" s="179" t="s">
        <v>121</v>
      </c>
      <c r="C34" s="186"/>
      <c r="D34" s="60"/>
      <c r="E34" s="61"/>
      <c r="F34" s="62"/>
      <c r="G34" s="113"/>
      <c r="H34" s="62"/>
      <c r="I34" s="189">
        <v>8</v>
      </c>
    </row>
    <row r="35" spans="1:9" ht="17.25" customHeight="1" x14ac:dyDescent="0.3">
      <c r="A35" s="322"/>
      <c r="B35" s="191" t="s">
        <v>79</v>
      </c>
      <c r="C35" s="281"/>
      <c r="D35" s="23"/>
      <c r="E35" s="47"/>
      <c r="F35" s="48"/>
      <c r="G35" s="116"/>
      <c r="H35" s="48"/>
      <c r="I35" s="282"/>
    </row>
    <row r="36" spans="1:9" ht="17.25" customHeight="1" x14ac:dyDescent="0.3">
      <c r="A36" s="322"/>
      <c r="B36" s="153" t="s">
        <v>80</v>
      </c>
      <c r="C36" s="121">
        <v>20</v>
      </c>
      <c r="D36" s="122"/>
      <c r="E36" s="123"/>
      <c r="F36" s="124"/>
      <c r="G36" s="112"/>
      <c r="H36" s="124"/>
      <c r="I36" s="52">
        <f>C36-D36-E36+F36-H36</f>
        <v>20</v>
      </c>
    </row>
    <row r="37" spans="1:9" ht="17.25" customHeight="1" x14ac:dyDescent="0.3">
      <c r="A37" s="322"/>
      <c r="B37" s="163" t="s">
        <v>107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22"/>
      <c r="B38" s="178" t="s">
        <v>131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22"/>
      <c r="B39" s="178" t="s">
        <v>109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22"/>
      <c r="B40" s="178" t="s">
        <v>133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22"/>
      <c r="B41" s="178" t="s">
        <v>111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22"/>
      <c r="B42" s="178" t="s">
        <v>135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22"/>
      <c r="B43" s="178" t="s">
        <v>113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22"/>
      <c r="B44" s="178" t="s">
        <v>125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22"/>
      <c r="B45" s="164" t="s">
        <v>115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22"/>
      <c r="B46" s="120" t="s">
        <v>89</v>
      </c>
      <c r="C46" s="154">
        <v>13</v>
      </c>
      <c r="D46" s="23"/>
      <c r="E46" s="47"/>
      <c r="F46" s="48"/>
      <c r="G46" s="116"/>
      <c r="H46" s="48"/>
      <c r="I46" s="49">
        <f t="shared" si="0"/>
        <v>13</v>
      </c>
    </row>
    <row r="47" spans="1:9" ht="17.25" customHeight="1" x14ac:dyDescent="0.3">
      <c r="A47" s="322"/>
      <c r="B47" s="120" t="s">
        <v>88</v>
      </c>
      <c r="C47" s="121">
        <v>3</v>
      </c>
      <c r="D47" s="122"/>
      <c r="E47" s="123"/>
      <c r="F47" s="124"/>
      <c r="G47" s="112"/>
      <c r="H47" s="124"/>
      <c r="I47" s="52">
        <f t="shared" si="0"/>
        <v>3</v>
      </c>
    </row>
    <row r="48" spans="1:9" ht="17.25" customHeight="1" x14ac:dyDescent="0.3">
      <c r="A48" s="322"/>
      <c r="B48" s="56" t="s">
        <v>123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22"/>
      <c r="B49" s="179" t="s">
        <v>127</v>
      </c>
      <c r="C49" s="192"/>
      <c r="D49" s="180"/>
      <c r="E49" s="181"/>
      <c r="F49" s="182"/>
      <c r="G49" s="183"/>
      <c r="H49" s="182"/>
      <c r="I49" s="195">
        <v>1</v>
      </c>
    </row>
    <row r="50" spans="1:10" ht="17.25" customHeight="1" x14ac:dyDescent="0.3">
      <c r="A50" s="322"/>
      <c r="B50" s="58" t="s">
        <v>129</v>
      </c>
      <c r="C50" s="59"/>
      <c r="D50" s="60"/>
      <c r="E50" s="61"/>
      <c r="F50" s="62"/>
      <c r="G50" s="113"/>
      <c r="H50" s="62"/>
      <c r="I50" s="63">
        <v>1</v>
      </c>
    </row>
    <row r="51" spans="1:10" ht="17.25" customHeight="1" thickBot="1" x14ac:dyDescent="0.35">
      <c r="A51" s="323"/>
      <c r="B51" s="64" t="s">
        <v>42</v>
      </c>
      <c r="C51" s="65">
        <f>SUM(C13:C50)</f>
        <v>828</v>
      </c>
      <c r="D51" s="66">
        <f>SUM(D13:D46)</f>
        <v>5</v>
      </c>
      <c r="E51" s="67">
        <f>SUM(E13:E46)</f>
        <v>5</v>
      </c>
      <c r="F51" s="67">
        <f>SUM(F13:F46)</f>
        <v>0</v>
      </c>
      <c r="G51" s="68" t="s">
        <v>22</v>
      </c>
      <c r="H51" s="69">
        <f>SUM(H13:H46)</f>
        <v>0</v>
      </c>
      <c r="I51" s="70">
        <f>SUM(I13:I46)</f>
        <v>824</v>
      </c>
    </row>
    <row r="52" spans="1:10" ht="17.25" customHeight="1" x14ac:dyDescent="0.3">
      <c r="A52" s="326" t="s">
        <v>72</v>
      </c>
      <c r="B52" s="327"/>
      <c r="C52" s="71"/>
      <c r="D52" s="72" t="s">
        <v>163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28"/>
      <c r="B53" s="329"/>
      <c r="C53" s="332" t="s">
        <v>74</v>
      </c>
      <c r="D53" s="334"/>
      <c r="E53" s="336">
        <v>4</v>
      </c>
      <c r="F53" s="336">
        <v>2</v>
      </c>
      <c r="G53" s="336">
        <v>6</v>
      </c>
      <c r="H53" s="336"/>
      <c r="I53" s="339">
        <v>1</v>
      </c>
      <c r="J53" s="174"/>
    </row>
    <row r="54" spans="1:10" s="76" customFormat="1" ht="17.25" customHeight="1" x14ac:dyDescent="0.3">
      <c r="A54" s="328"/>
      <c r="B54" s="329"/>
      <c r="C54" s="333"/>
      <c r="D54" s="335"/>
      <c r="E54" s="337"/>
      <c r="F54" s="337"/>
      <c r="G54" s="337"/>
      <c r="H54" s="338"/>
      <c r="I54" s="340"/>
    </row>
    <row r="55" spans="1:10" s="76" customFormat="1" ht="17.25" customHeight="1" x14ac:dyDescent="0.3">
      <c r="A55" s="328"/>
      <c r="B55" s="329"/>
      <c r="C55" s="332" t="s">
        <v>75</v>
      </c>
      <c r="D55" s="334"/>
      <c r="E55" s="343">
        <v>88700</v>
      </c>
      <c r="F55" s="343">
        <v>43800</v>
      </c>
      <c r="G55" s="343">
        <v>82700</v>
      </c>
      <c r="H55" s="336"/>
      <c r="I55" s="347">
        <v>38600</v>
      </c>
    </row>
    <row r="56" spans="1:10" s="76" customFormat="1" ht="17.25" customHeight="1" thickBot="1" x14ac:dyDescent="0.35">
      <c r="A56" s="330"/>
      <c r="B56" s="331"/>
      <c r="C56" s="341"/>
      <c r="D56" s="342"/>
      <c r="E56" s="344"/>
      <c r="F56" s="344"/>
      <c r="G56" s="344"/>
      <c r="H56" s="344"/>
      <c r="I56" s="348"/>
    </row>
    <row r="57" spans="1:10" s="76" customFormat="1" ht="17.25" customHeight="1" x14ac:dyDescent="0.3">
      <c r="A57" s="326" t="s">
        <v>45</v>
      </c>
      <c r="B57" s="327"/>
      <c r="C57" s="349" t="s">
        <v>432</v>
      </c>
      <c r="D57" s="350"/>
      <c r="E57" s="350"/>
      <c r="F57" s="350"/>
      <c r="G57" s="350"/>
      <c r="H57" s="350"/>
      <c r="I57" s="351"/>
    </row>
    <row r="58" spans="1:10" s="76" customFormat="1" ht="17.25" customHeight="1" x14ac:dyDescent="0.3">
      <c r="A58" s="328"/>
      <c r="B58" s="329"/>
      <c r="C58" s="352" t="s">
        <v>429</v>
      </c>
      <c r="D58" s="352"/>
      <c r="E58" s="352"/>
      <c r="F58" s="352"/>
      <c r="G58" s="352"/>
      <c r="H58" s="352"/>
      <c r="I58" s="353"/>
    </row>
    <row r="59" spans="1:10" s="76" customFormat="1" ht="17.25" customHeight="1" x14ac:dyDescent="0.3">
      <c r="A59" s="328"/>
      <c r="B59" s="329"/>
      <c r="C59" s="354" t="s">
        <v>430</v>
      </c>
      <c r="D59" s="352"/>
      <c r="E59" s="352"/>
      <c r="F59" s="352"/>
      <c r="G59" s="352"/>
      <c r="H59" s="352"/>
      <c r="I59" s="353"/>
    </row>
    <row r="60" spans="1:10" s="76" customFormat="1" ht="17.25" customHeight="1" thickBot="1" x14ac:dyDescent="0.35">
      <c r="A60" s="330"/>
      <c r="B60" s="331"/>
      <c r="C60" s="345" t="s">
        <v>431</v>
      </c>
      <c r="D60" s="345"/>
      <c r="E60" s="345"/>
      <c r="F60" s="345"/>
      <c r="G60" s="345"/>
      <c r="H60" s="345"/>
      <c r="I60" s="346"/>
    </row>
    <row r="61" spans="1:10" s="76" customFormat="1" ht="17.25" customHeight="1" x14ac:dyDescent="0.3">
      <c r="A61" s="326" t="s">
        <v>73</v>
      </c>
      <c r="B61" s="327"/>
      <c r="C61" s="402" t="s">
        <v>424</v>
      </c>
      <c r="D61" s="403"/>
      <c r="E61" s="403"/>
      <c r="F61" s="403"/>
      <c r="G61" s="403"/>
      <c r="H61" s="403"/>
      <c r="I61" s="404"/>
    </row>
    <row r="62" spans="1:10" s="76" customFormat="1" ht="17.25" customHeight="1" x14ac:dyDescent="0.3">
      <c r="A62" s="328"/>
      <c r="B62" s="329"/>
      <c r="C62" s="405"/>
      <c r="D62" s="349"/>
      <c r="E62" s="349"/>
      <c r="F62" s="349"/>
      <c r="G62" s="349"/>
      <c r="H62" s="349"/>
      <c r="I62" s="406"/>
    </row>
    <row r="63" spans="1:10" s="76" customFormat="1" ht="30.75" customHeight="1" x14ac:dyDescent="0.3">
      <c r="A63" s="328"/>
      <c r="B63" s="329"/>
      <c r="C63" s="355" t="s">
        <v>425</v>
      </c>
      <c r="D63" s="352"/>
      <c r="E63" s="352"/>
      <c r="F63" s="352"/>
      <c r="G63" s="352"/>
      <c r="H63" s="352"/>
      <c r="I63" s="353"/>
    </row>
    <row r="64" spans="1:10" s="76" customFormat="1" ht="17.25" customHeight="1" thickBot="1" x14ac:dyDescent="0.35">
      <c r="A64" s="330"/>
      <c r="B64" s="331"/>
      <c r="C64" s="345" t="s">
        <v>428</v>
      </c>
      <c r="D64" s="345"/>
      <c r="E64" s="345"/>
      <c r="F64" s="345"/>
      <c r="G64" s="345"/>
      <c r="H64" s="345"/>
      <c r="I64" s="346"/>
    </row>
    <row r="65" spans="1:9" s="76" customFormat="1" ht="17.25" customHeight="1" x14ac:dyDescent="0.3">
      <c r="A65" s="363" t="s">
        <v>46</v>
      </c>
      <c r="B65" s="366" t="s">
        <v>47</v>
      </c>
      <c r="C65" s="368" t="s">
        <v>426</v>
      </c>
      <c r="D65" s="368"/>
      <c r="E65" s="368"/>
      <c r="F65" s="368"/>
      <c r="G65" s="368"/>
      <c r="H65" s="368"/>
      <c r="I65" s="369"/>
    </row>
    <row r="66" spans="1:9" s="76" customFormat="1" ht="17.25" customHeight="1" x14ac:dyDescent="0.3">
      <c r="A66" s="364"/>
      <c r="B66" s="367"/>
      <c r="C66" s="350"/>
      <c r="D66" s="350"/>
      <c r="E66" s="350"/>
      <c r="F66" s="350"/>
      <c r="G66" s="350"/>
      <c r="H66" s="350"/>
      <c r="I66" s="351"/>
    </row>
    <row r="67" spans="1:9" s="76" customFormat="1" ht="17.25" customHeight="1" x14ac:dyDescent="0.3">
      <c r="A67" s="364"/>
      <c r="B67" s="370" t="s">
        <v>48</v>
      </c>
      <c r="C67" s="352"/>
      <c r="D67" s="352"/>
      <c r="E67" s="352"/>
      <c r="F67" s="352"/>
      <c r="G67" s="352"/>
      <c r="H67" s="352"/>
      <c r="I67" s="353"/>
    </row>
    <row r="68" spans="1:9" s="76" customFormat="1" ht="17.25" customHeight="1" x14ac:dyDescent="0.3">
      <c r="A68" s="364"/>
      <c r="B68" s="367"/>
      <c r="C68" s="350"/>
      <c r="D68" s="350"/>
      <c r="E68" s="350"/>
      <c r="F68" s="350"/>
      <c r="G68" s="350"/>
      <c r="H68" s="350"/>
      <c r="I68" s="351"/>
    </row>
    <row r="69" spans="1:9" s="76" customFormat="1" ht="17.25" customHeight="1" thickBot="1" x14ac:dyDescent="0.35">
      <c r="A69" s="365"/>
      <c r="B69" s="371"/>
      <c r="C69" s="362"/>
      <c r="D69" s="345"/>
      <c r="E69" s="345"/>
      <c r="F69" s="345"/>
      <c r="G69" s="345"/>
      <c r="H69" s="345"/>
      <c r="I69" s="346"/>
    </row>
    <row r="70" spans="1:9" s="76" customFormat="1" ht="17.25" customHeight="1" x14ac:dyDescent="0.3">
      <c r="A70" s="326" t="s">
        <v>49</v>
      </c>
      <c r="B70" s="327"/>
      <c r="C70" s="350" t="s">
        <v>427</v>
      </c>
      <c r="D70" s="350"/>
      <c r="E70" s="350"/>
      <c r="F70" s="350"/>
      <c r="G70" s="350"/>
      <c r="H70" s="350"/>
      <c r="I70" s="351"/>
    </row>
    <row r="71" spans="1:9" s="76" customFormat="1" ht="17.25" customHeight="1" x14ac:dyDescent="0.3">
      <c r="A71" s="328"/>
      <c r="B71" s="329"/>
      <c r="C71" s="350"/>
      <c r="D71" s="350"/>
      <c r="E71" s="350"/>
      <c r="F71" s="350"/>
      <c r="G71" s="350"/>
      <c r="H71" s="350"/>
      <c r="I71" s="351"/>
    </row>
    <row r="72" spans="1:9" s="76" customFormat="1" ht="17.25" customHeight="1" thickBot="1" x14ac:dyDescent="0.35">
      <c r="A72" s="330"/>
      <c r="B72" s="331"/>
      <c r="C72" s="362"/>
      <c r="D72" s="345"/>
      <c r="E72" s="345"/>
      <c r="F72" s="345"/>
      <c r="G72" s="345"/>
      <c r="H72" s="345"/>
      <c r="I72" s="346"/>
    </row>
    <row r="73" spans="1:9" s="76" customFormat="1" ht="17.25" customHeight="1" x14ac:dyDescent="0.3">
      <c r="A73" s="326" t="s">
        <v>50</v>
      </c>
      <c r="B73" s="327"/>
      <c r="C73" s="389" t="s">
        <v>423</v>
      </c>
      <c r="D73" s="368"/>
      <c r="E73" s="368"/>
      <c r="F73" s="368"/>
      <c r="G73" s="368"/>
      <c r="H73" s="368"/>
      <c r="I73" s="369"/>
    </row>
    <row r="74" spans="1:9" s="76" customFormat="1" ht="17.25" customHeight="1" thickBot="1" x14ac:dyDescent="0.35">
      <c r="A74" s="330"/>
      <c r="B74" s="331"/>
      <c r="C74" s="354"/>
      <c r="D74" s="352"/>
      <c r="E74" s="352"/>
      <c r="F74" s="352"/>
      <c r="G74" s="352"/>
      <c r="H74" s="352"/>
      <c r="I74" s="353"/>
    </row>
    <row r="75" spans="1:9" s="76" customFormat="1" ht="17.25" customHeight="1" x14ac:dyDescent="0.3">
      <c r="A75" s="326" t="s">
        <v>51</v>
      </c>
      <c r="B75" s="327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418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419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375" t="s">
        <v>61</v>
      </c>
      <c r="B78" s="376"/>
      <c r="C78" s="382" t="s">
        <v>62</v>
      </c>
      <c r="D78" s="383"/>
      <c r="E78" s="384" t="s">
        <v>63</v>
      </c>
      <c r="F78" s="383"/>
      <c r="G78" s="385" t="s">
        <v>64</v>
      </c>
      <c r="H78" s="386"/>
      <c r="I78" s="90" t="s">
        <v>65</v>
      </c>
    </row>
    <row r="79" spans="1:9" s="76" customFormat="1" ht="17.25" customHeight="1" thickBot="1" x14ac:dyDescent="0.35">
      <c r="A79" s="377"/>
      <c r="B79" s="378"/>
      <c r="C79" s="92">
        <v>0.25</v>
      </c>
      <c r="D79" s="93" t="s">
        <v>420</v>
      </c>
      <c r="E79" s="94">
        <v>0.8125</v>
      </c>
      <c r="F79" s="93" t="s">
        <v>421</v>
      </c>
      <c r="G79" s="387" t="s">
        <v>422</v>
      </c>
      <c r="H79" s="388"/>
      <c r="I79" s="95" t="s">
        <v>422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372" t="s">
        <v>66</v>
      </c>
      <c r="I80" s="372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5">
    <mergeCell ref="A1:I1"/>
    <mergeCell ref="A2:B2"/>
    <mergeCell ref="C2:D2"/>
    <mergeCell ref="E2:E3"/>
    <mergeCell ref="F2:G2"/>
    <mergeCell ref="H2:I2"/>
    <mergeCell ref="A3:B3"/>
    <mergeCell ref="F3:G3"/>
    <mergeCell ref="H3:I3"/>
    <mergeCell ref="A4:H4"/>
    <mergeCell ref="A7:H7"/>
    <mergeCell ref="A9:A11"/>
    <mergeCell ref="B9:B11"/>
    <mergeCell ref="C9:D9"/>
    <mergeCell ref="E9:F9"/>
    <mergeCell ref="G9:H9"/>
    <mergeCell ref="C61:I62"/>
    <mergeCell ref="A12:A51"/>
    <mergeCell ref="A52:B56"/>
    <mergeCell ref="C53:C54"/>
    <mergeCell ref="D53:D54"/>
    <mergeCell ref="E53:E54"/>
    <mergeCell ref="A57:B60"/>
    <mergeCell ref="C57:I57"/>
    <mergeCell ref="C58:I58"/>
    <mergeCell ref="A61:B64"/>
    <mergeCell ref="C59:I59"/>
    <mergeCell ref="C60:I60"/>
    <mergeCell ref="C64:I64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A65:A69"/>
    <mergeCell ref="B65:B66"/>
    <mergeCell ref="B67:B69"/>
    <mergeCell ref="C67:I67"/>
    <mergeCell ref="C68:I68"/>
    <mergeCell ref="C69:I69"/>
    <mergeCell ref="C65:I65"/>
    <mergeCell ref="C66:I66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opLeftCell="A34" zoomScale="90" zoomScaleNormal="90" workbookViewId="0">
      <selection activeCell="D13" sqref="D13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296" t="s">
        <v>0</v>
      </c>
      <c r="B1" s="297"/>
      <c r="C1" s="297"/>
      <c r="D1" s="297"/>
      <c r="E1" s="297"/>
      <c r="F1" s="297"/>
      <c r="G1" s="297"/>
      <c r="H1" s="297"/>
      <c r="I1" s="298"/>
    </row>
    <row r="2" spans="1:9" x14ac:dyDescent="0.3">
      <c r="A2" s="299" t="s">
        <v>1</v>
      </c>
      <c r="B2" s="300"/>
      <c r="C2" s="301" t="s">
        <v>433</v>
      </c>
      <c r="D2" s="302"/>
      <c r="E2" s="303" t="s">
        <v>77</v>
      </c>
      <c r="F2" s="305" t="s">
        <v>2</v>
      </c>
      <c r="G2" s="306"/>
      <c r="H2" s="307" t="s">
        <v>76</v>
      </c>
      <c r="I2" s="308"/>
    </row>
    <row r="3" spans="1:9" x14ac:dyDescent="0.3">
      <c r="A3" s="309" t="s">
        <v>3</v>
      </c>
      <c r="B3" s="310"/>
      <c r="C3" s="4" t="s">
        <v>434</v>
      </c>
      <c r="D3" s="5" t="s">
        <v>4</v>
      </c>
      <c r="E3" s="304"/>
      <c r="F3" s="311" t="s">
        <v>435</v>
      </c>
      <c r="G3" s="312"/>
      <c r="H3" s="313">
        <f>G11+'13일'!H3:I3</f>
        <v>28981900</v>
      </c>
      <c r="I3" s="314"/>
    </row>
    <row r="4" spans="1:9" ht="7.5" customHeight="1" x14ac:dyDescent="0.3">
      <c r="A4" s="315"/>
      <c r="B4" s="316"/>
      <c r="C4" s="316"/>
      <c r="D4" s="316"/>
      <c r="E4" s="316"/>
      <c r="F4" s="316"/>
      <c r="G4" s="316"/>
      <c r="H4" s="316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436</v>
      </c>
      <c r="F6" s="15" t="s">
        <v>437</v>
      </c>
      <c r="G6" s="16" t="s">
        <v>438</v>
      </c>
      <c r="H6" s="17">
        <v>0.62</v>
      </c>
      <c r="I6" s="18">
        <v>0.28000000000000003</v>
      </c>
    </row>
    <row r="7" spans="1:9" ht="7.5" customHeight="1" x14ac:dyDescent="0.3">
      <c r="A7" s="315"/>
      <c r="B7" s="316"/>
      <c r="C7" s="316"/>
      <c r="D7" s="316"/>
      <c r="E7" s="316"/>
      <c r="F7" s="316"/>
      <c r="G7" s="316"/>
      <c r="H7" s="316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79" t="s">
        <v>10</v>
      </c>
      <c r="B9" s="317" t="s">
        <v>11</v>
      </c>
      <c r="C9" s="320" t="s">
        <v>68</v>
      </c>
      <c r="D9" s="303"/>
      <c r="E9" s="303" t="s">
        <v>67</v>
      </c>
      <c r="F9" s="303"/>
      <c r="G9" s="303" t="s">
        <v>69</v>
      </c>
      <c r="H9" s="303"/>
      <c r="I9" s="373" t="s">
        <v>78</v>
      </c>
    </row>
    <row r="10" spans="1:9" ht="18" customHeight="1" x14ac:dyDescent="0.3">
      <c r="A10" s="380"/>
      <c r="B10" s="318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74"/>
    </row>
    <row r="11" spans="1:9" ht="17.25" thickBot="1" x14ac:dyDescent="0.35">
      <c r="A11" s="381"/>
      <c r="B11" s="319"/>
      <c r="C11" s="101">
        <v>1936500</v>
      </c>
      <c r="D11" s="102">
        <v>125</v>
      </c>
      <c r="E11" s="109">
        <f>SUM(E55:I56)</f>
        <v>328900</v>
      </c>
      <c r="F11" s="109">
        <f>SUM(E53:I54)</f>
        <v>9</v>
      </c>
      <c r="G11" s="110">
        <f>C11+E11</f>
        <v>2265400</v>
      </c>
      <c r="H11" s="110">
        <f>D11+F11</f>
        <v>134</v>
      </c>
      <c r="I11" s="111">
        <f>G11/H11</f>
        <v>16905.970149253732</v>
      </c>
    </row>
    <row r="12" spans="1:9" ht="30" customHeight="1" x14ac:dyDescent="0.3">
      <c r="A12" s="321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24" t="s">
        <v>19</v>
      </c>
      <c r="G12" s="325"/>
      <c r="H12" s="158" t="s">
        <v>20</v>
      </c>
      <c r="I12" s="100" t="s">
        <v>21</v>
      </c>
    </row>
    <row r="13" spans="1:9" ht="17.25" customHeight="1" x14ac:dyDescent="0.3">
      <c r="A13" s="322"/>
      <c r="B13" s="21" t="s">
        <v>23</v>
      </c>
      <c r="C13" s="22">
        <v>65</v>
      </c>
      <c r="D13" s="23"/>
      <c r="E13" s="22"/>
      <c r="F13" s="24"/>
      <c r="G13" s="25"/>
      <c r="H13" s="23"/>
      <c r="I13" s="26">
        <f>C13-D13-D14*1/2-E13-E14*1/2+F13-H13-H14*1/2-I14*1/2</f>
        <v>65</v>
      </c>
    </row>
    <row r="14" spans="1:9" ht="17.25" customHeight="1" x14ac:dyDescent="0.3">
      <c r="A14" s="322"/>
      <c r="B14" s="27" t="s">
        <v>24</v>
      </c>
      <c r="C14" s="28"/>
      <c r="D14" s="29"/>
      <c r="E14" s="30"/>
      <c r="F14" s="31"/>
      <c r="G14" s="25"/>
      <c r="H14" s="29"/>
      <c r="I14" s="32"/>
    </row>
    <row r="15" spans="1:9" ht="17.25" customHeight="1" x14ac:dyDescent="0.3">
      <c r="A15" s="322"/>
      <c r="B15" s="27" t="s">
        <v>25</v>
      </c>
      <c r="C15" s="33">
        <v>24</v>
      </c>
      <c r="D15" s="29"/>
      <c r="E15" s="30"/>
      <c r="F15" s="34"/>
      <c r="G15" s="25"/>
      <c r="H15" s="29"/>
      <c r="I15" s="35">
        <f>C15-D15-D16*1/2-E15-E16*1/2+F15-H15-H16*1/2-I16*1/2</f>
        <v>24</v>
      </c>
    </row>
    <row r="16" spans="1:9" ht="17.25" customHeight="1" x14ac:dyDescent="0.3">
      <c r="A16" s="322"/>
      <c r="B16" s="27" t="s">
        <v>26</v>
      </c>
      <c r="C16" s="28"/>
      <c r="D16" s="29"/>
      <c r="E16" s="30"/>
      <c r="F16" s="31"/>
      <c r="G16" s="25"/>
      <c r="H16" s="29"/>
      <c r="I16" s="36"/>
    </row>
    <row r="17" spans="1:9" ht="17.25" customHeight="1" x14ac:dyDescent="0.3">
      <c r="A17" s="322"/>
      <c r="B17" s="27" t="s">
        <v>27</v>
      </c>
      <c r="C17" s="33">
        <v>28</v>
      </c>
      <c r="D17" s="29">
        <v>3</v>
      </c>
      <c r="E17" s="30"/>
      <c r="F17" s="34"/>
      <c r="G17" s="118"/>
      <c r="H17" s="29"/>
      <c r="I17" s="37">
        <f>C17-D17-D18*1/2-E17-E18*1/2+F17-H17-H18*1/2-I18*1/2</f>
        <v>23.5</v>
      </c>
    </row>
    <row r="18" spans="1:9" ht="17.25" customHeight="1" x14ac:dyDescent="0.3">
      <c r="A18" s="322"/>
      <c r="B18" s="27" t="s">
        <v>28</v>
      </c>
      <c r="C18" s="28"/>
      <c r="D18" s="29">
        <v>2</v>
      </c>
      <c r="E18" s="30">
        <v>1</v>
      </c>
      <c r="F18" s="31"/>
      <c r="G18" s="25"/>
      <c r="H18" s="29"/>
      <c r="I18" s="36"/>
    </row>
    <row r="19" spans="1:9" ht="17.25" customHeight="1" x14ac:dyDescent="0.3">
      <c r="A19" s="322"/>
      <c r="B19" s="27" t="s">
        <v>29</v>
      </c>
      <c r="C19" s="33">
        <v>16</v>
      </c>
      <c r="D19" s="29"/>
      <c r="E19" s="30"/>
      <c r="F19" s="34"/>
      <c r="G19" s="25"/>
      <c r="H19" s="29"/>
      <c r="I19" s="35">
        <f>C19-D19-D20*1/2-E19-E20*1/2+F19-H19-H20*1/2-I20*1/2</f>
        <v>16</v>
      </c>
    </row>
    <row r="20" spans="1:9" ht="17.25" customHeight="1" x14ac:dyDescent="0.3">
      <c r="A20" s="322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22"/>
      <c r="B21" s="39" t="s">
        <v>31</v>
      </c>
      <c r="C21" s="40">
        <v>82</v>
      </c>
      <c r="D21" s="41"/>
      <c r="E21" s="42">
        <v>1</v>
      </c>
      <c r="F21" s="43"/>
      <c r="G21" s="44"/>
      <c r="H21" s="43">
        <v>6</v>
      </c>
      <c r="I21" s="45">
        <f t="shared" ref="I21:I48" si="0">C21-D21-E21+F21-H21</f>
        <v>75</v>
      </c>
    </row>
    <row r="22" spans="1:9" ht="17.25" customHeight="1" x14ac:dyDescent="0.3">
      <c r="A22" s="322"/>
      <c r="B22" s="21" t="s">
        <v>32</v>
      </c>
      <c r="C22" s="46">
        <v>57</v>
      </c>
      <c r="D22" s="23">
        <v>2</v>
      </c>
      <c r="E22" s="47"/>
      <c r="F22" s="48"/>
      <c r="G22" s="25"/>
      <c r="H22" s="48">
        <v>8</v>
      </c>
      <c r="I22" s="49">
        <f t="shared" si="0"/>
        <v>47</v>
      </c>
    </row>
    <row r="23" spans="1:9" ht="17.25" customHeight="1" x14ac:dyDescent="0.3">
      <c r="A23" s="322"/>
      <c r="B23" s="27" t="s">
        <v>33</v>
      </c>
      <c r="C23" s="33">
        <v>183</v>
      </c>
      <c r="D23" s="29">
        <v>1</v>
      </c>
      <c r="E23" s="50">
        <v>2</v>
      </c>
      <c r="F23" s="51"/>
      <c r="G23" s="25"/>
      <c r="H23" s="51">
        <v>20</v>
      </c>
      <c r="I23" s="52">
        <f>C23-D23-D24-E23-E24+F23+F24-H23-H24-I24</f>
        <v>156</v>
      </c>
    </row>
    <row r="24" spans="1:9" ht="17.25" customHeight="1" x14ac:dyDescent="0.3">
      <c r="A24" s="322"/>
      <c r="B24" s="160" t="s">
        <v>34</v>
      </c>
      <c r="C24" s="53"/>
      <c r="D24" s="41">
        <v>1</v>
      </c>
      <c r="E24" s="42"/>
      <c r="F24" s="43"/>
      <c r="G24" s="113"/>
      <c r="H24" s="43">
        <v>3</v>
      </c>
      <c r="I24" s="54"/>
    </row>
    <row r="25" spans="1:9" ht="17.25" customHeight="1" x14ac:dyDescent="0.3">
      <c r="A25" s="322"/>
      <c r="B25" s="21" t="s">
        <v>35</v>
      </c>
      <c r="C25" s="46">
        <v>35</v>
      </c>
      <c r="D25" s="23"/>
      <c r="E25" s="47"/>
      <c r="F25" s="48"/>
      <c r="G25" s="112"/>
      <c r="H25" s="48"/>
      <c r="I25" s="49">
        <f t="shared" si="0"/>
        <v>35</v>
      </c>
    </row>
    <row r="26" spans="1:9" ht="17.25" customHeight="1" x14ac:dyDescent="0.3">
      <c r="A26" s="322"/>
      <c r="B26" s="160" t="s">
        <v>36</v>
      </c>
      <c r="C26" s="55">
        <v>55</v>
      </c>
      <c r="D26" s="41"/>
      <c r="E26" s="42"/>
      <c r="F26" s="43"/>
      <c r="G26" s="113"/>
      <c r="H26" s="43"/>
      <c r="I26" s="45">
        <f t="shared" si="0"/>
        <v>55</v>
      </c>
    </row>
    <row r="27" spans="1:9" ht="17.25" customHeight="1" x14ac:dyDescent="0.3">
      <c r="A27" s="322"/>
      <c r="B27" s="21" t="s">
        <v>37</v>
      </c>
      <c r="C27" s="46">
        <v>29</v>
      </c>
      <c r="D27" s="23">
        <v>2</v>
      </c>
      <c r="E27" s="47"/>
      <c r="F27" s="48"/>
      <c r="G27" s="112"/>
      <c r="H27" s="48"/>
      <c r="I27" s="49">
        <f t="shared" si="0"/>
        <v>27</v>
      </c>
    </row>
    <row r="28" spans="1:9" ht="17.25" customHeight="1" x14ac:dyDescent="0.3">
      <c r="A28" s="322"/>
      <c r="B28" s="160" t="s">
        <v>38</v>
      </c>
      <c r="C28" s="55">
        <v>45</v>
      </c>
      <c r="D28" s="41">
        <v>8</v>
      </c>
      <c r="E28" s="42"/>
      <c r="F28" s="43"/>
      <c r="G28" s="113"/>
      <c r="H28" s="43"/>
      <c r="I28" s="45">
        <f t="shared" si="0"/>
        <v>37</v>
      </c>
    </row>
    <row r="29" spans="1:9" ht="17.25" customHeight="1" x14ac:dyDescent="0.3">
      <c r="A29" s="322"/>
      <c r="B29" s="21" t="s">
        <v>39</v>
      </c>
      <c r="C29" s="46">
        <v>10</v>
      </c>
      <c r="D29" s="23"/>
      <c r="E29" s="47"/>
      <c r="F29" s="48"/>
      <c r="G29" s="25"/>
      <c r="H29" s="48"/>
      <c r="I29" s="49">
        <f t="shared" si="0"/>
        <v>10</v>
      </c>
    </row>
    <row r="30" spans="1:9" ht="17.25" customHeight="1" x14ac:dyDescent="0.3">
      <c r="A30" s="322"/>
      <c r="B30" s="56" t="s">
        <v>40</v>
      </c>
      <c r="C30" s="57">
        <v>102</v>
      </c>
      <c r="D30" s="29">
        <v>1</v>
      </c>
      <c r="E30" s="50"/>
      <c r="F30" s="51"/>
      <c r="G30" s="25"/>
      <c r="H30" s="51"/>
      <c r="I30" s="52">
        <f>C30-D30-D31-E30-E31+F30+F31-H30-H31-I31</f>
        <v>101</v>
      </c>
    </row>
    <row r="31" spans="1:9" ht="17.25" customHeight="1" x14ac:dyDescent="0.3">
      <c r="A31" s="322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22"/>
      <c r="B32" s="179" t="s">
        <v>117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22"/>
      <c r="B33" s="179" t="s">
        <v>119</v>
      </c>
      <c r="C33" s="185"/>
      <c r="D33" s="29"/>
      <c r="E33" s="50"/>
      <c r="F33" s="51"/>
      <c r="G33" s="25"/>
      <c r="H33" s="51"/>
      <c r="I33" s="188"/>
    </row>
    <row r="34" spans="1:9" ht="17.25" customHeight="1" x14ac:dyDescent="0.3">
      <c r="A34" s="322"/>
      <c r="B34" s="179" t="s">
        <v>121</v>
      </c>
      <c r="C34" s="186"/>
      <c r="D34" s="60"/>
      <c r="E34" s="61"/>
      <c r="F34" s="62"/>
      <c r="G34" s="113"/>
      <c r="H34" s="62"/>
      <c r="I34" s="189">
        <v>2</v>
      </c>
    </row>
    <row r="35" spans="1:9" ht="17.25" customHeight="1" x14ac:dyDescent="0.3">
      <c r="A35" s="322"/>
      <c r="B35" s="191" t="s">
        <v>79</v>
      </c>
      <c r="C35" s="281"/>
      <c r="D35" s="23"/>
      <c r="E35" s="47"/>
      <c r="F35" s="48"/>
      <c r="G35" s="116"/>
      <c r="H35" s="48"/>
      <c r="I35" s="282">
        <v>8</v>
      </c>
    </row>
    <row r="36" spans="1:9" ht="17.25" customHeight="1" x14ac:dyDescent="0.3">
      <c r="A36" s="322"/>
      <c r="B36" s="153" t="s">
        <v>80</v>
      </c>
      <c r="C36" s="121">
        <v>20</v>
      </c>
      <c r="D36" s="122"/>
      <c r="E36" s="123"/>
      <c r="F36" s="124"/>
      <c r="G36" s="112"/>
      <c r="H36" s="124"/>
      <c r="I36" s="52">
        <f>C36-D36-E36+F36-H36</f>
        <v>20</v>
      </c>
    </row>
    <row r="37" spans="1:9" ht="17.25" customHeight="1" x14ac:dyDescent="0.3">
      <c r="A37" s="322"/>
      <c r="B37" s="163" t="s">
        <v>107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22"/>
      <c r="B38" s="178" t="s">
        <v>131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22"/>
      <c r="B39" s="178" t="s">
        <v>109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22"/>
      <c r="B40" s="178" t="s">
        <v>133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22"/>
      <c r="B41" s="178" t="s">
        <v>111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22"/>
      <c r="B42" s="178" t="s">
        <v>135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22"/>
      <c r="B43" s="178" t="s">
        <v>113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22"/>
      <c r="B44" s="178" t="s">
        <v>125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22"/>
      <c r="B45" s="164" t="s">
        <v>115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22"/>
      <c r="B46" s="120" t="s">
        <v>89</v>
      </c>
      <c r="C46" s="154">
        <v>13</v>
      </c>
      <c r="D46" s="23"/>
      <c r="E46" s="47"/>
      <c r="F46" s="48"/>
      <c r="G46" s="116"/>
      <c r="H46" s="48"/>
      <c r="I46" s="49">
        <f t="shared" si="0"/>
        <v>13</v>
      </c>
    </row>
    <row r="47" spans="1:9" ht="17.25" customHeight="1" x14ac:dyDescent="0.3">
      <c r="A47" s="322"/>
      <c r="B47" s="120" t="s">
        <v>88</v>
      </c>
      <c r="C47" s="121"/>
      <c r="D47" s="122"/>
      <c r="E47" s="123"/>
      <c r="F47" s="124"/>
      <c r="G47" s="112"/>
      <c r="H47" s="124"/>
      <c r="I47" s="52">
        <f t="shared" si="0"/>
        <v>0</v>
      </c>
    </row>
    <row r="48" spans="1:9" ht="17.25" customHeight="1" x14ac:dyDescent="0.3">
      <c r="A48" s="322"/>
      <c r="B48" s="56" t="s">
        <v>123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22"/>
      <c r="B49" s="179" t="s">
        <v>127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22"/>
      <c r="B50" s="58" t="s">
        <v>129</v>
      </c>
      <c r="C50" s="59"/>
      <c r="D50" s="60"/>
      <c r="E50" s="61"/>
      <c r="F50" s="62"/>
      <c r="G50" s="113"/>
      <c r="H50" s="62"/>
      <c r="I50" s="63">
        <v>5</v>
      </c>
    </row>
    <row r="51" spans="1:10" ht="17.25" customHeight="1" thickBot="1" x14ac:dyDescent="0.35">
      <c r="A51" s="323"/>
      <c r="B51" s="64" t="s">
        <v>42</v>
      </c>
      <c r="C51" s="65">
        <f>SUM(C13:C50)</f>
        <v>764</v>
      </c>
      <c r="D51" s="66">
        <f>SUM(D13:D46)</f>
        <v>20</v>
      </c>
      <c r="E51" s="67">
        <f>SUM(E13:E46)</f>
        <v>4</v>
      </c>
      <c r="F51" s="67">
        <f>SUM(F13:F46)</f>
        <v>0</v>
      </c>
      <c r="G51" s="68" t="s">
        <v>22</v>
      </c>
      <c r="H51" s="69">
        <f>SUM(H13:H46)</f>
        <v>37</v>
      </c>
      <c r="I51" s="70">
        <f>SUM(I13:I46)</f>
        <v>714.5</v>
      </c>
    </row>
    <row r="52" spans="1:10" ht="17.25" customHeight="1" x14ac:dyDescent="0.3">
      <c r="A52" s="326" t="s">
        <v>72</v>
      </c>
      <c r="B52" s="327"/>
      <c r="C52" s="71"/>
      <c r="D52" s="72" t="s">
        <v>163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28"/>
      <c r="B53" s="329"/>
      <c r="C53" s="332" t="s">
        <v>74</v>
      </c>
      <c r="D53" s="334"/>
      <c r="E53" s="336">
        <v>3</v>
      </c>
      <c r="F53" s="336">
        <v>1</v>
      </c>
      <c r="G53" s="336">
        <v>4</v>
      </c>
      <c r="H53" s="336"/>
      <c r="I53" s="339">
        <v>1</v>
      </c>
      <c r="J53" s="174"/>
    </row>
    <row r="54" spans="1:10" s="76" customFormat="1" ht="17.25" customHeight="1" x14ac:dyDescent="0.3">
      <c r="A54" s="328"/>
      <c r="B54" s="329"/>
      <c r="C54" s="333"/>
      <c r="D54" s="335"/>
      <c r="E54" s="337"/>
      <c r="F54" s="337"/>
      <c r="G54" s="337"/>
      <c r="H54" s="338"/>
      <c r="I54" s="340"/>
    </row>
    <row r="55" spans="1:10" s="76" customFormat="1" ht="17.25" customHeight="1" x14ac:dyDescent="0.3">
      <c r="A55" s="328"/>
      <c r="B55" s="329"/>
      <c r="C55" s="332" t="s">
        <v>75</v>
      </c>
      <c r="D55" s="334"/>
      <c r="E55" s="343">
        <v>57500</v>
      </c>
      <c r="F55" s="343">
        <v>45000</v>
      </c>
      <c r="G55" s="343">
        <v>88900</v>
      </c>
      <c r="H55" s="336"/>
      <c r="I55" s="347">
        <v>137500</v>
      </c>
    </row>
    <row r="56" spans="1:10" s="76" customFormat="1" ht="17.25" customHeight="1" thickBot="1" x14ac:dyDescent="0.35">
      <c r="A56" s="330"/>
      <c r="B56" s="331"/>
      <c r="C56" s="341"/>
      <c r="D56" s="342"/>
      <c r="E56" s="344"/>
      <c r="F56" s="344"/>
      <c r="G56" s="344"/>
      <c r="H56" s="344"/>
      <c r="I56" s="348"/>
    </row>
    <row r="57" spans="1:10" s="76" customFormat="1" ht="17.25" customHeight="1" x14ac:dyDescent="0.3">
      <c r="A57" s="326" t="s">
        <v>45</v>
      </c>
      <c r="B57" s="327"/>
      <c r="C57" s="349" t="s">
        <v>449</v>
      </c>
      <c r="D57" s="350"/>
      <c r="E57" s="350"/>
      <c r="F57" s="350"/>
      <c r="G57" s="350"/>
      <c r="H57" s="350"/>
      <c r="I57" s="351"/>
    </row>
    <row r="58" spans="1:10" s="76" customFormat="1" ht="17.25" customHeight="1" x14ac:dyDescent="0.3">
      <c r="A58" s="328"/>
      <c r="B58" s="329"/>
      <c r="C58" s="352" t="s">
        <v>450</v>
      </c>
      <c r="D58" s="352"/>
      <c r="E58" s="352"/>
      <c r="F58" s="352"/>
      <c r="G58" s="352"/>
      <c r="H58" s="352"/>
      <c r="I58" s="353"/>
    </row>
    <row r="59" spans="1:10" s="76" customFormat="1" ht="17.25" customHeight="1" x14ac:dyDescent="0.3">
      <c r="A59" s="328"/>
      <c r="B59" s="329"/>
      <c r="C59" s="354" t="s">
        <v>451</v>
      </c>
      <c r="D59" s="352"/>
      <c r="E59" s="352"/>
      <c r="F59" s="352"/>
      <c r="G59" s="352"/>
      <c r="H59" s="352"/>
      <c r="I59" s="353"/>
    </row>
    <row r="60" spans="1:10" s="76" customFormat="1" ht="17.25" customHeight="1" thickBot="1" x14ac:dyDescent="0.35">
      <c r="A60" s="330"/>
      <c r="B60" s="331"/>
      <c r="C60" s="345"/>
      <c r="D60" s="345"/>
      <c r="E60" s="345"/>
      <c r="F60" s="345"/>
      <c r="G60" s="345"/>
      <c r="H60" s="345"/>
      <c r="I60" s="346"/>
    </row>
    <row r="61" spans="1:10" s="76" customFormat="1" ht="17.25" customHeight="1" x14ac:dyDescent="0.3">
      <c r="A61" s="326" t="s">
        <v>73</v>
      </c>
      <c r="B61" s="327"/>
      <c r="C61" s="389" t="s">
        <v>447</v>
      </c>
      <c r="D61" s="368"/>
      <c r="E61" s="368"/>
      <c r="F61" s="368"/>
      <c r="G61" s="368"/>
      <c r="H61" s="368"/>
      <c r="I61" s="369"/>
    </row>
    <row r="62" spans="1:10" s="76" customFormat="1" ht="17.25" customHeight="1" x14ac:dyDescent="0.3">
      <c r="A62" s="328"/>
      <c r="B62" s="329"/>
      <c r="C62" s="393" t="s">
        <v>448</v>
      </c>
      <c r="D62" s="394"/>
      <c r="E62" s="394"/>
      <c r="F62" s="394"/>
      <c r="G62" s="394"/>
      <c r="H62" s="394"/>
      <c r="I62" s="395"/>
    </row>
    <row r="63" spans="1:10" s="76" customFormat="1" ht="17.25" customHeight="1" x14ac:dyDescent="0.3">
      <c r="A63" s="328"/>
      <c r="B63" s="329"/>
      <c r="C63" s="393"/>
      <c r="D63" s="394"/>
      <c r="E63" s="394"/>
      <c r="F63" s="394"/>
      <c r="G63" s="394"/>
      <c r="H63" s="394"/>
      <c r="I63" s="395"/>
    </row>
    <row r="64" spans="1:10" s="76" customFormat="1" ht="17.25" customHeight="1" thickBot="1" x14ac:dyDescent="0.35">
      <c r="A64" s="330"/>
      <c r="B64" s="331"/>
      <c r="C64" s="345"/>
      <c r="D64" s="345"/>
      <c r="E64" s="345"/>
      <c r="F64" s="345"/>
      <c r="G64" s="345"/>
      <c r="H64" s="345"/>
      <c r="I64" s="346"/>
    </row>
    <row r="65" spans="1:9" s="76" customFormat="1" ht="17.25" customHeight="1" x14ac:dyDescent="0.3">
      <c r="A65" s="363" t="s">
        <v>46</v>
      </c>
      <c r="B65" s="366" t="s">
        <v>47</v>
      </c>
      <c r="C65" s="368"/>
      <c r="D65" s="368"/>
      <c r="E65" s="368"/>
      <c r="F65" s="368"/>
      <c r="G65" s="368"/>
      <c r="H65" s="368"/>
      <c r="I65" s="369"/>
    </row>
    <row r="66" spans="1:9" s="76" customFormat="1" ht="17.25" customHeight="1" x14ac:dyDescent="0.3">
      <c r="A66" s="364"/>
      <c r="B66" s="367"/>
      <c r="C66" s="350"/>
      <c r="D66" s="350"/>
      <c r="E66" s="350"/>
      <c r="F66" s="350"/>
      <c r="G66" s="350"/>
      <c r="H66" s="350"/>
      <c r="I66" s="351"/>
    </row>
    <row r="67" spans="1:9" s="76" customFormat="1" ht="17.25" customHeight="1" x14ac:dyDescent="0.3">
      <c r="A67" s="364"/>
      <c r="B67" s="370" t="s">
        <v>48</v>
      </c>
      <c r="C67" s="352"/>
      <c r="D67" s="352"/>
      <c r="E67" s="352"/>
      <c r="F67" s="352"/>
      <c r="G67" s="352"/>
      <c r="H67" s="352"/>
      <c r="I67" s="353"/>
    </row>
    <row r="68" spans="1:9" s="76" customFormat="1" ht="17.25" customHeight="1" x14ac:dyDescent="0.3">
      <c r="A68" s="364"/>
      <c r="B68" s="367"/>
      <c r="C68" s="350"/>
      <c r="D68" s="350"/>
      <c r="E68" s="350"/>
      <c r="F68" s="350"/>
      <c r="G68" s="350"/>
      <c r="H68" s="350"/>
      <c r="I68" s="351"/>
    </row>
    <row r="69" spans="1:9" s="76" customFormat="1" ht="17.25" customHeight="1" thickBot="1" x14ac:dyDescent="0.35">
      <c r="A69" s="365"/>
      <c r="B69" s="371"/>
      <c r="C69" s="362"/>
      <c r="D69" s="345"/>
      <c r="E69" s="345"/>
      <c r="F69" s="345"/>
      <c r="G69" s="345"/>
      <c r="H69" s="345"/>
      <c r="I69" s="346"/>
    </row>
    <row r="70" spans="1:9" s="76" customFormat="1" ht="17.25" customHeight="1" x14ac:dyDescent="0.3">
      <c r="A70" s="326" t="s">
        <v>49</v>
      </c>
      <c r="B70" s="327"/>
      <c r="C70" s="350" t="s">
        <v>439</v>
      </c>
      <c r="D70" s="350"/>
      <c r="E70" s="350"/>
      <c r="F70" s="350"/>
      <c r="G70" s="350"/>
      <c r="H70" s="350"/>
      <c r="I70" s="351"/>
    </row>
    <row r="71" spans="1:9" s="76" customFormat="1" ht="17.25" customHeight="1" x14ac:dyDescent="0.3">
      <c r="A71" s="328"/>
      <c r="B71" s="329"/>
      <c r="C71" s="350"/>
      <c r="D71" s="350"/>
      <c r="E71" s="350"/>
      <c r="F71" s="350"/>
      <c r="G71" s="350"/>
      <c r="H71" s="350"/>
      <c r="I71" s="351"/>
    </row>
    <row r="72" spans="1:9" s="76" customFormat="1" ht="17.25" customHeight="1" thickBot="1" x14ac:dyDescent="0.35">
      <c r="A72" s="330"/>
      <c r="B72" s="331"/>
      <c r="C72" s="362"/>
      <c r="D72" s="345"/>
      <c r="E72" s="345"/>
      <c r="F72" s="345"/>
      <c r="G72" s="345"/>
      <c r="H72" s="345"/>
      <c r="I72" s="346"/>
    </row>
    <row r="73" spans="1:9" s="76" customFormat="1" ht="17.25" customHeight="1" x14ac:dyDescent="0.3">
      <c r="A73" s="326" t="s">
        <v>50</v>
      </c>
      <c r="B73" s="327"/>
      <c r="C73" s="389" t="s">
        <v>446</v>
      </c>
      <c r="D73" s="368"/>
      <c r="E73" s="368"/>
      <c r="F73" s="368"/>
      <c r="G73" s="368"/>
      <c r="H73" s="368"/>
      <c r="I73" s="369"/>
    </row>
    <row r="74" spans="1:9" s="76" customFormat="1" ht="17.25" customHeight="1" thickBot="1" x14ac:dyDescent="0.35">
      <c r="A74" s="330"/>
      <c r="B74" s="331"/>
      <c r="C74" s="354"/>
      <c r="D74" s="352"/>
      <c r="E74" s="352"/>
      <c r="F74" s="352"/>
      <c r="G74" s="352"/>
      <c r="H74" s="352"/>
      <c r="I74" s="353"/>
    </row>
    <row r="75" spans="1:9" s="76" customFormat="1" ht="17.25" customHeight="1" x14ac:dyDescent="0.3">
      <c r="A75" s="326" t="s">
        <v>51</v>
      </c>
      <c r="B75" s="327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440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441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375" t="s">
        <v>61</v>
      </c>
      <c r="B78" s="376"/>
      <c r="C78" s="382" t="s">
        <v>62</v>
      </c>
      <c r="D78" s="383"/>
      <c r="E78" s="384" t="s">
        <v>63</v>
      </c>
      <c r="F78" s="383"/>
      <c r="G78" s="385" t="s">
        <v>64</v>
      </c>
      <c r="H78" s="386"/>
      <c r="I78" s="90" t="s">
        <v>65</v>
      </c>
    </row>
    <row r="79" spans="1:9" s="76" customFormat="1" ht="17.25" customHeight="1" thickBot="1" x14ac:dyDescent="0.35">
      <c r="A79" s="377"/>
      <c r="B79" s="378"/>
      <c r="C79" s="92">
        <v>0.25</v>
      </c>
      <c r="D79" s="93" t="s">
        <v>442</v>
      </c>
      <c r="E79" s="94">
        <v>0.77083333333333337</v>
      </c>
      <c r="F79" s="93" t="s">
        <v>443</v>
      </c>
      <c r="G79" s="387" t="s">
        <v>444</v>
      </c>
      <c r="H79" s="388"/>
      <c r="I79" s="95" t="s">
        <v>445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372" t="s">
        <v>66</v>
      </c>
      <c r="I80" s="372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1:I1"/>
    <mergeCell ref="A2:B2"/>
    <mergeCell ref="C2:D2"/>
    <mergeCell ref="E2:E3"/>
    <mergeCell ref="F2:G2"/>
    <mergeCell ref="H2:I2"/>
    <mergeCell ref="A3:B3"/>
    <mergeCell ref="F3:G3"/>
    <mergeCell ref="H3:I3"/>
    <mergeCell ref="A4:H4"/>
    <mergeCell ref="A7:H7"/>
    <mergeCell ref="A9:A11"/>
    <mergeCell ref="B9:B11"/>
    <mergeCell ref="C9:D9"/>
    <mergeCell ref="E9:F9"/>
    <mergeCell ref="G9:H9"/>
    <mergeCell ref="A12:A51"/>
    <mergeCell ref="A52:B56"/>
    <mergeCell ref="C53:C54"/>
    <mergeCell ref="D53:D54"/>
    <mergeCell ref="E53:E54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opLeftCell="A28" zoomScale="90" zoomScaleNormal="90" workbookViewId="0">
      <selection activeCell="D53" sqref="D53:D54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296" t="s">
        <v>0</v>
      </c>
      <c r="B1" s="297"/>
      <c r="C1" s="297"/>
      <c r="D1" s="297"/>
      <c r="E1" s="297"/>
      <c r="F1" s="297"/>
      <c r="G1" s="297"/>
      <c r="H1" s="297"/>
      <c r="I1" s="298"/>
    </row>
    <row r="2" spans="1:9" x14ac:dyDescent="0.3">
      <c r="A2" s="299" t="s">
        <v>1</v>
      </c>
      <c r="B2" s="300"/>
      <c r="C2" s="301" t="s">
        <v>452</v>
      </c>
      <c r="D2" s="302"/>
      <c r="E2" s="303" t="s">
        <v>77</v>
      </c>
      <c r="F2" s="305" t="s">
        <v>2</v>
      </c>
      <c r="G2" s="306"/>
      <c r="H2" s="307" t="s">
        <v>76</v>
      </c>
      <c r="I2" s="308"/>
    </row>
    <row r="3" spans="1:9" x14ac:dyDescent="0.3">
      <c r="A3" s="309" t="s">
        <v>3</v>
      </c>
      <c r="B3" s="310"/>
      <c r="C3" s="4" t="s">
        <v>453</v>
      </c>
      <c r="D3" s="5" t="s">
        <v>4</v>
      </c>
      <c r="E3" s="304"/>
      <c r="F3" s="311" t="s">
        <v>454</v>
      </c>
      <c r="G3" s="312"/>
      <c r="H3" s="313">
        <f>G11+'14일'!H3:I3</f>
        <v>30349100</v>
      </c>
      <c r="I3" s="314"/>
    </row>
    <row r="4" spans="1:9" ht="7.5" customHeight="1" x14ac:dyDescent="0.3">
      <c r="A4" s="315"/>
      <c r="B4" s="316"/>
      <c r="C4" s="316"/>
      <c r="D4" s="316"/>
      <c r="E4" s="316"/>
      <c r="F4" s="316"/>
      <c r="G4" s="316"/>
      <c r="H4" s="316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466</v>
      </c>
      <c r="F6" s="15" t="s">
        <v>455</v>
      </c>
      <c r="G6" s="16" t="s">
        <v>456</v>
      </c>
      <c r="H6" s="17">
        <v>0.31</v>
      </c>
      <c r="I6" s="18">
        <v>0.27</v>
      </c>
    </row>
    <row r="7" spans="1:9" ht="7.5" customHeight="1" x14ac:dyDescent="0.3">
      <c r="A7" s="315"/>
      <c r="B7" s="316"/>
      <c r="C7" s="316"/>
      <c r="D7" s="316"/>
      <c r="E7" s="316"/>
      <c r="F7" s="316"/>
      <c r="G7" s="316"/>
      <c r="H7" s="316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79" t="s">
        <v>10</v>
      </c>
      <c r="B9" s="317" t="s">
        <v>11</v>
      </c>
      <c r="C9" s="320" t="s">
        <v>68</v>
      </c>
      <c r="D9" s="303"/>
      <c r="E9" s="303" t="s">
        <v>67</v>
      </c>
      <c r="F9" s="303"/>
      <c r="G9" s="303" t="s">
        <v>69</v>
      </c>
      <c r="H9" s="303"/>
      <c r="I9" s="373" t="s">
        <v>78</v>
      </c>
    </row>
    <row r="10" spans="1:9" ht="18" customHeight="1" x14ac:dyDescent="0.3">
      <c r="A10" s="380"/>
      <c r="B10" s="318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74"/>
    </row>
    <row r="11" spans="1:9" ht="17.25" thickBot="1" x14ac:dyDescent="0.35">
      <c r="A11" s="381"/>
      <c r="B11" s="319"/>
      <c r="C11" s="101">
        <v>1180900</v>
      </c>
      <c r="D11" s="102">
        <v>70</v>
      </c>
      <c r="E11" s="109">
        <f>SUM(E55:I56)</f>
        <v>186300</v>
      </c>
      <c r="F11" s="109">
        <f>SUM(E53:I54)</f>
        <v>9</v>
      </c>
      <c r="G11" s="110">
        <f>C11+E11</f>
        <v>1367200</v>
      </c>
      <c r="H11" s="110">
        <f>D11+F11</f>
        <v>79</v>
      </c>
      <c r="I11" s="111">
        <f>G11/H11</f>
        <v>17306.32911392405</v>
      </c>
    </row>
    <row r="12" spans="1:9" ht="30" customHeight="1" x14ac:dyDescent="0.3">
      <c r="A12" s="321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24" t="s">
        <v>19</v>
      </c>
      <c r="G12" s="325"/>
      <c r="H12" s="158" t="s">
        <v>20</v>
      </c>
      <c r="I12" s="100" t="s">
        <v>21</v>
      </c>
    </row>
    <row r="13" spans="1:9" ht="17.25" customHeight="1" x14ac:dyDescent="0.3">
      <c r="A13" s="322"/>
      <c r="B13" s="21" t="s">
        <v>23</v>
      </c>
      <c r="C13" s="22">
        <v>35</v>
      </c>
      <c r="D13" s="23"/>
      <c r="E13" s="22"/>
      <c r="F13" s="24"/>
      <c r="G13" s="25"/>
      <c r="H13" s="23"/>
      <c r="I13" s="26">
        <f>C13-D13-D14*1/2-E13-E14*1/2+F13-H13-H14*1/2-I14*1/2</f>
        <v>35</v>
      </c>
    </row>
    <row r="14" spans="1:9" ht="17.25" customHeight="1" x14ac:dyDescent="0.3">
      <c r="A14" s="322"/>
      <c r="B14" s="27" t="s">
        <v>24</v>
      </c>
      <c r="C14" s="28"/>
      <c r="D14" s="29"/>
      <c r="E14" s="30"/>
      <c r="F14" s="31"/>
      <c r="G14" s="25"/>
      <c r="H14" s="29"/>
      <c r="I14" s="32"/>
    </row>
    <row r="15" spans="1:9" ht="17.25" customHeight="1" x14ac:dyDescent="0.3">
      <c r="A15" s="322"/>
      <c r="B15" s="27" t="s">
        <v>25</v>
      </c>
      <c r="C15" s="33">
        <v>25</v>
      </c>
      <c r="D15" s="29"/>
      <c r="E15" s="30"/>
      <c r="F15" s="34"/>
      <c r="G15" s="25"/>
      <c r="H15" s="29"/>
      <c r="I15" s="35">
        <f>C15-D15-D16*1/2-E15-E16*1/2+F15-H15-H16*1/2-I16*1/2</f>
        <v>25</v>
      </c>
    </row>
    <row r="16" spans="1:9" ht="17.25" customHeight="1" x14ac:dyDescent="0.3">
      <c r="A16" s="322"/>
      <c r="B16" s="27" t="s">
        <v>26</v>
      </c>
      <c r="C16" s="28"/>
      <c r="D16" s="29"/>
      <c r="E16" s="30"/>
      <c r="F16" s="31"/>
      <c r="G16" s="25"/>
      <c r="H16" s="29"/>
      <c r="I16" s="36"/>
    </row>
    <row r="17" spans="1:9" ht="17.25" customHeight="1" x14ac:dyDescent="0.3">
      <c r="A17" s="322"/>
      <c r="B17" s="27" t="s">
        <v>27</v>
      </c>
      <c r="C17" s="33">
        <v>38</v>
      </c>
      <c r="D17" s="29">
        <v>4</v>
      </c>
      <c r="E17" s="30"/>
      <c r="F17" s="34"/>
      <c r="G17" s="118"/>
      <c r="H17" s="29"/>
      <c r="I17" s="37">
        <f>C17-D17-D18*1/2-E17-E18*1/2+F17-H17-H18*1/2-I18*1/2</f>
        <v>34</v>
      </c>
    </row>
    <row r="18" spans="1:9" ht="17.25" customHeight="1" x14ac:dyDescent="0.3">
      <c r="A18" s="322"/>
      <c r="B18" s="27" t="s">
        <v>28</v>
      </c>
      <c r="C18" s="28"/>
      <c r="D18" s="29"/>
      <c r="E18" s="30"/>
      <c r="F18" s="31"/>
      <c r="G18" s="25"/>
      <c r="H18" s="29"/>
      <c r="I18" s="36"/>
    </row>
    <row r="19" spans="1:9" ht="17.25" customHeight="1" x14ac:dyDescent="0.3">
      <c r="A19" s="322"/>
      <c r="B19" s="27" t="s">
        <v>29</v>
      </c>
      <c r="C19" s="33">
        <v>16</v>
      </c>
      <c r="D19" s="29"/>
      <c r="E19" s="30"/>
      <c r="F19" s="34"/>
      <c r="G19" s="25"/>
      <c r="H19" s="29"/>
      <c r="I19" s="35">
        <f>C19-D19-D20*1/2-E19-E20*1/2+F19-H19-H20*1/2-I20*1/2</f>
        <v>16</v>
      </c>
    </row>
    <row r="20" spans="1:9" ht="17.25" customHeight="1" x14ac:dyDescent="0.3">
      <c r="A20" s="322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22"/>
      <c r="B21" s="39" t="s">
        <v>31</v>
      </c>
      <c r="C21" s="40">
        <v>95</v>
      </c>
      <c r="D21" s="41">
        <v>2</v>
      </c>
      <c r="E21" s="42"/>
      <c r="F21" s="43"/>
      <c r="G21" s="44"/>
      <c r="H21" s="43">
        <v>9</v>
      </c>
      <c r="I21" s="45">
        <f t="shared" ref="I21:I48" si="0">C21-D21-E21+F21-H21</f>
        <v>84</v>
      </c>
    </row>
    <row r="22" spans="1:9" ht="17.25" customHeight="1" x14ac:dyDescent="0.3">
      <c r="A22" s="322"/>
      <c r="B22" s="21" t="s">
        <v>32</v>
      </c>
      <c r="C22" s="46">
        <v>40</v>
      </c>
      <c r="D22" s="23"/>
      <c r="E22" s="47">
        <v>2</v>
      </c>
      <c r="F22" s="48"/>
      <c r="G22" s="25"/>
      <c r="H22" s="48">
        <v>2</v>
      </c>
      <c r="I22" s="49">
        <f t="shared" si="0"/>
        <v>36</v>
      </c>
    </row>
    <row r="23" spans="1:9" ht="17.25" customHeight="1" x14ac:dyDescent="0.3">
      <c r="A23" s="322"/>
      <c r="B23" s="27" t="s">
        <v>33</v>
      </c>
      <c r="C23" s="33">
        <v>184</v>
      </c>
      <c r="D23" s="29"/>
      <c r="E23" s="50">
        <v>2</v>
      </c>
      <c r="F23" s="51"/>
      <c r="G23" s="25"/>
      <c r="H23" s="51">
        <v>28</v>
      </c>
      <c r="I23" s="52">
        <f>C23-D23-D24-E23-E24+F23+F24-H23-H24-I24</f>
        <v>140</v>
      </c>
    </row>
    <row r="24" spans="1:9" ht="17.25" customHeight="1" x14ac:dyDescent="0.3">
      <c r="A24" s="322"/>
      <c r="B24" s="160" t="s">
        <v>34</v>
      </c>
      <c r="C24" s="53"/>
      <c r="D24" s="41">
        <v>1</v>
      </c>
      <c r="E24" s="42">
        <v>1</v>
      </c>
      <c r="F24" s="43"/>
      <c r="G24" s="113"/>
      <c r="H24" s="43">
        <v>12</v>
      </c>
      <c r="I24" s="54"/>
    </row>
    <row r="25" spans="1:9" ht="17.25" customHeight="1" x14ac:dyDescent="0.3">
      <c r="A25" s="322"/>
      <c r="B25" s="21" t="s">
        <v>35</v>
      </c>
      <c r="C25" s="46">
        <v>35</v>
      </c>
      <c r="D25" s="23"/>
      <c r="E25" s="47"/>
      <c r="F25" s="48"/>
      <c r="G25" s="112"/>
      <c r="H25" s="48">
        <v>13</v>
      </c>
      <c r="I25" s="49">
        <f t="shared" si="0"/>
        <v>22</v>
      </c>
    </row>
    <row r="26" spans="1:9" ht="17.25" customHeight="1" x14ac:dyDescent="0.3">
      <c r="A26" s="322"/>
      <c r="B26" s="160" t="s">
        <v>36</v>
      </c>
      <c r="C26" s="55">
        <v>55</v>
      </c>
      <c r="D26" s="41">
        <v>1</v>
      </c>
      <c r="E26" s="42"/>
      <c r="F26" s="43"/>
      <c r="G26" s="113"/>
      <c r="H26" s="43"/>
      <c r="I26" s="45">
        <f t="shared" si="0"/>
        <v>54</v>
      </c>
    </row>
    <row r="27" spans="1:9" ht="17.25" customHeight="1" x14ac:dyDescent="0.3">
      <c r="A27" s="322"/>
      <c r="B27" s="21" t="s">
        <v>37</v>
      </c>
      <c r="C27" s="46">
        <v>29</v>
      </c>
      <c r="D27" s="23">
        <v>1</v>
      </c>
      <c r="E27" s="47"/>
      <c r="F27" s="48"/>
      <c r="G27" s="112"/>
      <c r="H27" s="48">
        <v>1</v>
      </c>
      <c r="I27" s="49">
        <f t="shared" si="0"/>
        <v>27</v>
      </c>
    </row>
    <row r="28" spans="1:9" ht="17.25" customHeight="1" x14ac:dyDescent="0.3">
      <c r="A28" s="322"/>
      <c r="B28" s="160" t="s">
        <v>38</v>
      </c>
      <c r="C28" s="55">
        <v>45</v>
      </c>
      <c r="D28" s="41">
        <v>1</v>
      </c>
      <c r="E28" s="42"/>
      <c r="F28" s="43"/>
      <c r="G28" s="113"/>
      <c r="H28" s="43">
        <v>2</v>
      </c>
      <c r="I28" s="45">
        <f t="shared" si="0"/>
        <v>42</v>
      </c>
    </row>
    <row r="29" spans="1:9" ht="17.25" customHeight="1" x14ac:dyDescent="0.3">
      <c r="A29" s="322"/>
      <c r="B29" s="21" t="s">
        <v>39</v>
      </c>
      <c r="C29" s="46">
        <v>10</v>
      </c>
      <c r="D29" s="23"/>
      <c r="E29" s="47"/>
      <c r="F29" s="48"/>
      <c r="G29" s="25"/>
      <c r="H29" s="48">
        <v>1</v>
      </c>
      <c r="I29" s="49">
        <f t="shared" si="0"/>
        <v>9</v>
      </c>
    </row>
    <row r="30" spans="1:9" ht="17.25" customHeight="1" x14ac:dyDescent="0.3">
      <c r="A30" s="322"/>
      <c r="B30" s="56" t="s">
        <v>40</v>
      </c>
      <c r="C30" s="57">
        <v>160</v>
      </c>
      <c r="D30" s="29"/>
      <c r="E30" s="50"/>
      <c r="F30" s="51"/>
      <c r="G30" s="25"/>
      <c r="H30" s="51">
        <v>29</v>
      </c>
      <c r="I30" s="52">
        <f>C30-D30-D31-E30-E31+F30+F31-H30-H31-I31</f>
        <v>131</v>
      </c>
    </row>
    <row r="31" spans="1:9" ht="17.25" customHeight="1" x14ac:dyDescent="0.3">
      <c r="A31" s="322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22"/>
      <c r="B32" s="179" t="s">
        <v>117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22"/>
      <c r="B33" s="179" t="s">
        <v>119</v>
      </c>
      <c r="C33" s="185"/>
      <c r="D33" s="29"/>
      <c r="E33" s="50"/>
      <c r="F33" s="51"/>
      <c r="G33" s="25"/>
      <c r="H33" s="51"/>
      <c r="I33" s="188"/>
    </row>
    <row r="34" spans="1:9" ht="17.25" customHeight="1" x14ac:dyDescent="0.3">
      <c r="A34" s="322"/>
      <c r="B34" s="179" t="s">
        <v>121</v>
      </c>
      <c r="C34" s="186"/>
      <c r="D34" s="60"/>
      <c r="E34" s="61"/>
      <c r="F34" s="62"/>
      <c r="G34" s="113"/>
      <c r="H34" s="62"/>
      <c r="I34" s="189"/>
    </row>
    <row r="35" spans="1:9" ht="17.25" customHeight="1" x14ac:dyDescent="0.3">
      <c r="A35" s="322"/>
      <c r="B35" s="191" t="s">
        <v>79</v>
      </c>
      <c r="C35" s="281"/>
      <c r="D35" s="23"/>
      <c r="E35" s="47"/>
      <c r="F35" s="48"/>
      <c r="G35" s="116"/>
      <c r="H35" s="48"/>
      <c r="I35" s="282"/>
    </row>
    <row r="36" spans="1:9" ht="17.25" customHeight="1" x14ac:dyDescent="0.3">
      <c r="A36" s="322"/>
      <c r="B36" s="153" t="s">
        <v>80</v>
      </c>
      <c r="C36" s="121">
        <v>20</v>
      </c>
      <c r="D36" s="122">
        <v>1</v>
      </c>
      <c r="E36" s="123"/>
      <c r="F36" s="124"/>
      <c r="G36" s="112"/>
      <c r="H36" s="124"/>
      <c r="I36" s="52">
        <f>C36-D36-E36+F36-H36</f>
        <v>19</v>
      </c>
    </row>
    <row r="37" spans="1:9" ht="17.25" customHeight="1" x14ac:dyDescent="0.3">
      <c r="A37" s="322"/>
      <c r="B37" s="163" t="s">
        <v>107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22"/>
      <c r="B38" s="178" t="s">
        <v>131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22"/>
      <c r="B39" s="178" t="s">
        <v>109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22"/>
      <c r="B40" s="178" t="s">
        <v>133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22"/>
      <c r="B41" s="178" t="s">
        <v>111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22"/>
      <c r="B42" s="178" t="s">
        <v>135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22"/>
      <c r="B43" s="178" t="s">
        <v>113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22"/>
      <c r="B44" s="178" t="s">
        <v>125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22"/>
      <c r="B45" s="164" t="s">
        <v>115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22"/>
      <c r="B46" s="120" t="s">
        <v>89</v>
      </c>
      <c r="C46" s="154">
        <v>3</v>
      </c>
      <c r="D46" s="23"/>
      <c r="E46" s="47"/>
      <c r="F46" s="48"/>
      <c r="G46" s="116"/>
      <c r="H46" s="48"/>
      <c r="I46" s="49">
        <f t="shared" si="0"/>
        <v>3</v>
      </c>
    </row>
    <row r="47" spans="1:9" ht="17.25" customHeight="1" x14ac:dyDescent="0.3">
      <c r="A47" s="322"/>
      <c r="B47" s="120" t="s">
        <v>88</v>
      </c>
      <c r="C47" s="121">
        <v>2</v>
      </c>
      <c r="D47" s="122"/>
      <c r="E47" s="123"/>
      <c r="F47" s="124"/>
      <c r="G47" s="112"/>
      <c r="H47" s="124"/>
      <c r="I47" s="52">
        <f t="shared" si="0"/>
        <v>2</v>
      </c>
    </row>
    <row r="48" spans="1:9" ht="17.25" customHeight="1" x14ac:dyDescent="0.3">
      <c r="A48" s="322"/>
      <c r="B48" s="56" t="s">
        <v>123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22"/>
      <c r="B49" s="179" t="s">
        <v>127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22"/>
      <c r="B50" s="58" t="s">
        <v>129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23"/>
      <c r="B51" s="64" t="s">
        <v>42</v>
      </c>
      <c r="C51" s="65">
        <f>SUM(C13:C50)</f>
        <v>792</v>
      </c>
      <c r="D51" s="66">
        <f>SUM(D13:D46)</f>
        <v>11</v>
      </c>
      <c r="E51" s="67">
        <f>SUM(E13:E46)</f>
        <v>5</v>
      </c>
      <c r="F51" s="67">
        <f>SUM(F13:F46)</f>
        <v>0</v>
      </c>
      <c r="G51" s="68" t="s">
        <v>22</v>
      </c>
      <c r="H51" s="69">
        <f>SUM(H13:H46)</f>
        <v>97</v>
      </c>
      <c r="I51" s="70">
        <f>SUM(I13:I46)</f>
        <v>677</v>
      </c>
    </row>
    <row r="52" spans="1:10" ht="17.25" customHeight="1" x14ac:dyDescent="0.3">
      <c r="A52" s="326" t="s">
        <v>72</v>
      </c>
      <c r="B52" s="327"/>
      <c r="C52" s="71"/>
      <c r="D52" s="72" t="s">
        <v>163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28"/>
      <c r="B53" s="329"/>
      <c r="C53" s="332" t="s">
        <v>74</v>
      </c>
      <c r="D53" s="334"/>
      <c r="E53" s="336">
        <v>4</v>
      </c>
      <c r="F53" s="336">
        <v>3</v>
      </c>
      <c r="G53" s="336">
        <v>2</v>
      </c>
      <c r="H53" s="336"/>
      <c r="I53" s="339"/>
      <c r="J53" s="174"/>
    </row>
    <row r="54" spans="1:10" s="76" customFormat="1" ht="17.25" customHeight="1" x14ac:dyDescent="0.3">
      <c r="A54" s="328"/>
      <c r="B54" s="329"/>
      <c r="C54" s="333"/>
      <c r="D54" s="335"/>
      <c r="E54" s="337"/>
      <c r="F54" s="337"/>
      <c r="G54" s="337"/>
      <c r="H54" s="338"/>
      <c r="I54" s="340"/>
    </row>
    <row r="55" spans="1:10" s="76" customFormat="1" ht="17.25" customHeight="1" x14ac:dyDescent="0.3">
      <c r="A55" s="328"/>
      <c r="B55" s="329"/>
      <c r="C55" s="332" t="s">
        <v>75</v>
      </c>
      <c r="D55" s="334"/>
      <c r="E55" s="343">
        <v>81100</v>
      </c>
      <c r="F55" s="343">
        <v>80200</v>
      </c>
      <c r="G55" s="343">
        <v>25000</v>
      </c>
      <c r="H55" s="336"/>
      <c r="I55" s="347"/>
    </row>
    <row r="56" spans="1:10" s="76" customFormat="1" ht="17.25" customHeight="1" thickBot="1" x14ac:dyDescent="0.35">
      <c r="A56" s="330"/>
      <c r="B56" s="331"/>
      <c r="C56" s="341"/>
      <c r="D56" s="342"/>
      <c r="E56" s="344"/>
      <c r="F56" s="344"/>
      <c r="G56" s="344"/>
      <c r="H56" s="344"/>
      <c r="I56" s="348"/>
    </row>
    <row r="57" spans="1:10" s="76" customFormat="1" ht="17.25" customHeight="1" x14ac:dyDescent="0.3">
      <c r="A57" s="326" t="s">
        <v>45</v>
      </c>
      <c r="B57" s="327"/>
      <c r="C57" s="349" t="s">
        <v>472</v>
      </c>
      <c r="D57" s="350"/>
      <c r="E57" s="350"/>
      <c r="F57" s="350"/>
      <c r="G57" s="350"/>
      <c r="H57" s="350"/>
      <c r="I57" s="351"/>
    </row>
    <row r="58" spans="1:10" s="76" customFormat="1" ht="17.25" customHeight="1" x14ac:dyDescent="0.3">
      <c r="A58" s="328"/>
      <c r="B58" s="329"/>
      <c r="C58" s="352" t="s">
        <v>469</v>
      </c>
      <c r="D58" s="352"/>
      <c r="E58" s="352"/>
      <c r="F58" s="352"/>
      <c r="G58" s="352"/>
      <c r="H58" s="352"/>
      <c r="I58" s="353"/>
    </row>
    <row r="59" spans="1:10" s="76" customFormat="1" ht="17.25" customHeight="1" x14ac:dyDescent="0.3">
      <c r="A59" s="328"/>
      <c r="B59" s="329"/>
      <c r="C59" s="354" t="s">
        <v>470</v>
      </c>
      <c r="D59" s="352"/>
      <c r="E59" s="352"/>
      <c r="F59" s="352"/>
      <c r="G59" s="352"/>
      <c r="H59" s="352"/>
      <c r="I59" s="353"/>
    </row>
    <row r="60" spans="1:10" s="76" customFormat="1" ht="17.25" customHeight="1" thickBot="1" x14ac:dyDescent="0.35">
      <c r="A60" s="330"/>
      <c r="B60" s="331"/>
      <c r="C60" s="345" t="s">
        <v>471</v>
      </c>
      <c r="D60" s="345"/>
      <c r="E60" s="345"/>
      <c r="F60" s="345"/>
      <c r="G60" s="345"/>
      <c r="H60" s="345"/>
      <c r="I60" s="346"/>
    </row>
    <row r="61" spans="1:10" s="76" customFormat="1" ht="17.25" customHeight="1" x14ac:dyDescent="0.3">
      <c r="A61" s="326" t="s">
        <v>73</v>
      </c>
      <c r="B61" s="327"/>
      <c r="C61" s="389" t="s">
        <v>457</v>
      </c>
      <c r="D61" s="368"/>
      <c r="E61" s="368"/>
      <c r="F61" s="368"/>
      <c r="G61" s="368"/>
      <c r="H61" s="368"/>
      <c r="I61" s="369"/>
    </row>
    <row r="62" spans="1:10" s="76" customFormat="1" ht="17.25" customHeight="1" x14ac:dyDescent="0.3">
      <c r="A62" s="328"/>
      <c r="B62" s="329"/>
      <c r="C62" s="354" t="s">
        <v>465</v>
      </c>
      <c r="D62" s="352"/>
      <c r="E62" s="352"/>
      <c r="F62" s="352"/>
      <c r="G62" s="352"/>
      <c r="H62" s="352"/>
      <c r="I62" s="353"/>
    </row>
    <row r="63" spans="1:10" s="76" customFormat="1" ht="17.25" customHeight="1" x14ac:dyDescent="0.3">
      <c r="A63" s="328"/>
      <c r="B63" s="329"/>
      <c r="C63" s="354" t="s">
        <v>474</v>
      </c>
      <c r="D63" s="352"/>
      <c r="E63" s="352"/>
      <c r="F63" s="352"/>
      <c r="G63" s="352"/>
      <c r="H63" s="352"/>
      <c r="I63" s="353"/>
    </row>
    <row r="64" spans="1:10" s="76" customFormat="1" ht="17.25" customHeight="1" thickBot="1" x14ac:dyDescent="0.35">
      <c r="A64" s="330"/>
      <c r="B64" s="331"/>
      <c r="C64" s="345"/>
      <c r="D64" s="345"/>
      <c r="E64" s="345"/>
      <c r="F64" s="345"/>
      <c r="G64" s="345"/>
      <c r="H64" s="345"/>
      <c r="I64" s="346"/>
    </row>
    <row r="65" spans="1:9" s="76" customFormat="1" ht="17.25" customHeight="1" x14ac:dyDescent="0.3">
      <c r="A65" s="363" t="s">
        <v>46</v>
      </c>
      <c r="B65" s="366" t="s">
        <v>47</v>
      </c>
      <c r="C65" s="368"/>
      <c r="D65" s="368"/>
      <c r="E65" s="368"/>
      <c r="F65" s="368"/>
      <c r="G65" s="368"/>
      <c r="H65" s="368"/>
      <c r="I65" s="369"/>
    </row>
    <row r="66" spans="1:9" s="76" customFormat="1" ht="17.25" customHeight="1" x14ac:dyDescent="0.3">
      <c r="A66" s="364"/>
      <c r="B66" s="367"/>
      <c r="C66" s="350"/>
      <c r="D66" s="350"/>
      <c r="E66" s="350"/>
      <c r="F66" s="350"/>
      <c r="G66" s="350"/>
      <c r="H66" s="350"/>
      <c r="I66" s="351"/>
    </row>
    <row r="67" spans="1:9" s="76" customFormat="1" ht="17.25" customHeight="1" x14ac:dyDescent="0.3">
      <c r="A67" s="364"/>
      <c r="B67" s="370" t="s">
        <v>48</v>
      </c>
      <c r="C67" s="352" t="s">
        <v>467</v>
      </c>
      <c r="D67" s="352"/>
      <c r="E67" s="352"/>
      <c r="F67" s="352"/>
      <c r="G67" s="352"/>
      <c r="H67" s="352"/>
      <c r="I67" s="353"/>
    </row>
    <row r="68" spans="1:9" s="76" customFormat="1" ht="17.25" customHeight="1" x14ac:dyDescent="0.3">
      <c r="A68" s="364"/>
      <c r="B68" s="367"/>
      <c r="C68" s="350" t="s">
        <v>468</v>
      </c>
      <c r="D68" s="350"/>
      <c r="E68" s="350"/>
      <c r="F68" s="350"/>
      <c r="G68" s="350"/>
      <c r="H68" s="350"/>
      <c r="I68" s="351"/>
    </row>
    <row r="69" spans="1:9" s="76" customFormat="1" ht="17.25" customHeight="1" thickBot="1" x14ac:dyDescent="0.35">
      <c r="A69" s="365"/>
      <c r="B69" s="371"/>
      <c r="C69" s="362" t="s">
        <v>473</v>
      </c>
      <c r="D69" s="345"/>
      <c r="E69" s="345"/>
      <c r="F69" s="345"/>
      <c r="G69" s="345"/>
      <c r="H69" s="345"/>
      <c r="I69" s="346"/>
    </row>
    <row r="70" spans="1:9" s="76" customFormat="1" ht="17.25" customHeight="1" x14ac:dyDescent="0.3">
      <c r="A70" s="326" t="s">
        <v>49</v>
      </c>
      <c r="B70" s="327"/>
      <c r="C70" s="350" t="s">
        <v>458</v>
      </c>
      <c r="D70" s="350"/>
      <c r="E70" s="350"/>
      <c r="F70" s="350"/>
      <c r="G70" s="350"/>
      <c r="H70" s="350"/>
      <c r="I70" s="351"/>
    </row>
    <row r="71" spans="1:9" s="76" customFormat="1" ht="17.25" customHeight="1" x14ac:dyDescent="0.3">
      <c r="A71" s="328"/>
      <c r="B71" s="329"/>
      <c r="C71" s="350" t="s">
        <v>460</v>
      </c>
      <c r="D71" s="350"/>
      <c r="E71" s="350"/>
      <c r="F71" s="350"/>
      <c r="G71" s="350"/>
      <c r="H71" s="350"/>
      <c r="I71" s="351"/>
    </row>
    <row r="72" spans="1:9" s="76" customFormat="1" ht="17.25" customHeight="1" thickBot="1" x14ac:dyDescent="0.35">
      <c r="A72" s="330"/>
      <c r="B72" s="331"/>
      <c r="C72" s="362"/>
      <c r="D72" s="345"/>
      <c r="E72" s="345"/>
      <c r="F72" s="345"/>
      <c r="G72" s="345"/>
      <c r="H72" s="345"/>
      <c r="I72" s="346"/>
    </row>
    <row r="73" spans="1:9" s="76" customFormat="1" ht="17.25" customHeight="1" x14ac:dyDescent="0.3">
      <c r="A73" s="326" t="s">
        <v>50</v>
      </c>
      <c r="B73" s="327"/>
      <c r="C73" s="389"/>
      <c r="D73" s="368"/>
      <c r="E73" s="368"/>
      <c r="F73" s="368"/>
      <c r="G73" s="368"/>
      <c r="H73" s="368"/>
      <c r="I73" s="369"/>
    </row>
    <row r="74" spans="1:9" s="76" customFormat="1" ht="17.25" customHeight="1" thickBot="1" x14ac:dyDescent="0.35">
      <c r="A74" s="330"/>
      <c r="B74" s="331"/>
      <c r="C74" s="354"/>
      <c r="D74" s="352"/>
      <c r="E74" s="352"/>
      <c r="F74" s="352"/>
      <c r="G74" s="352"/>
      <c r="H74" s="352"/>
      <c r="I74" s="353"/>
    </row>
    <row r="75" spans="1:9" s="76" customFormat="1" ht="17.25" customHeight="1" x14ac:dyDescent="0.3">
      <c r="A75" s="326" t="s">
        <v>51</v>
      </c>
      <c r="B75" s="327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459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/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375" t="s">
        <v>61</v>
      </c>
      <c r="B78" s="376"/>
      <c r="C78" s="382" t="s">
        <v>62</v>
      </c>
      <c r="D78" s="383"/>
      <c r="E78" s="384" t="s">
        <v>63</v>
      </c>
      <c r="F78" s="383"/>
      <c r="G78" s="385" t="s">
        <v>64</v>
      </c>
      <c r="H78" s="386"/>
      <c r="I78" s="90" t="s">
        <v>65</v>
      </c>
    </row>
    <row r="79" spans="1:9" s="76" customFormat="1" ht="17.25" customHeight="1" thickBot="1" x14ac:dyDescent="0.35">
      <c r="A79" s="377"/>
      <c r="B79" s="378"/>
      <c r="C79" s="92">
        <v>0.25</v>
      </c>
      <c r="D79" s="93" t="s">
        <v>461</v>
      </c>
      <c r="E79" s="94">
        <v>0.77083333333333337</v>
      </c>
      <c r="F79" s="93" t="s">
        <v>462</v>
      </c>
      <c r="G79" s="387" t="s">
        <v>463</v>
      </c>
      <c r="H79" s="388"/>
      <c r="I79" s="95" t="s">
        <v>464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372" t="s">
        <v>66</v>
      </c>
      <c r="I80" s="372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1:I1"/>
    <mergeCell ref="A2:B2"/>
    <mergeCell ref="C2:D2"/>
    <mergeCell ref="E2:E3"/>
    <mergeCell ref="F2:G2"/>
    <mergeCell ref="H2:I2"/>
    <mergeCell ref="A3:B3"/>
    <mergeCell ref="F3:G3"/>
    <mergeCell ref="H3:I3"/>
    <mergeCell ref="A4:H4"/>
    <mergeCell ref="A7:H7"/>
    <mergeCell ref="A9:A11"/>
    <mergeCell ref="B9:B11"/>
    <mergeCell ref="C9:D9"/>
    <mergeCell ref="E9:F9"/>
    <mergeCell ref="G9:H9"/>
    <mergeCell ref="A12:A51"/>
    <mergeCell ref="A52:B56"/>
    <mergeCell ref="C53:C54"/>
    <mergeCell ref="D53:D54"/>
    <mergeCell ref="E53:E54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zoomScale="90" zoomScaleNormal="90" workbookViewId="0">
      <selection activeCell="A4" sqref="A4:H4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296" t="s">
        <v>0</v>
      </c>
      <c r="B1" s="297"/>
      <c r="C1" s="297"/>
      <c r="D1" s="297"/>
      <c r="E1" s="297"/>
      <c r="F1" s="297"/>
      <c r="G1" s="297"/>
      <c r="H1" s="297"/>
      <c r="I1" s="298"/>
    </row>
    <row r="2" spans="1:9" x14ac:dyDescent="0.3">
      <c r="A2" s="299" t="s">
        <v>1</v>
      </c>
      <c r="B2" s="300"/>
      <c r="C2" s="301" t="s">
        <v>105</v>
      </c>
      <c r="D2" s="302"/>
      <c r="E2" s="303" t="s">
        <v>77</v>
      </c>
      <c r="F2" s="305" t="s">
        <v>2</v>
      </c>
      <c r="G2" s="306"/>
      <c r="H2" s="307" t="s">
        <v>76</v>
      </c>
      <c r="I2" s="308"/>
    </row>
    <row r="3" spans="1:9" x14ac:dyDescent="0.3">
      <c r="A3" s="309" t="s">
        <v>3</v>
      </c>
      <c r="B3" s="310"/>
      <c r="C3" s="4"/>
      <c r="D3" s="5" t="s">
        <v>4</v>
      </c>
      <c r="E3" s="304"/>
      <c r="F3" s="311"/>
      <c r="G3" s="312"/>
      <c r="H3" s="313">
        <f>G11+'15일'!H3:I3</f>
        <v>30349100</v>
      </c>
      <c r="I3" s="314"/>
    </row>
    <row r="4" spans="1:9" ht="7.5" customHeight="1" x14ac:dyDescent="0.3">
      <c r="A4" s="315"/>
      <c r="B4" s="316"/>
      <c r="C4" s="316"/>
      <c r="D4" s="316"/>
      <c r="E4" s="316"/>
      <c r="F4" s="316"/>
      <c r="G4" s="316"/>
      <c r="H4" s="316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/>
      <c r="F6" s="15"/>
      <c r="G6" s="16"/>
      <c r="H6" s="17"/>
      <c r="I6" s="18"/>
    </row>
    <row r="7" spans="1:9" ht="7.5" customHeight="1" x14ac:dyDescent="0.3">
      <c r="A7" s="315"/>
      <c r="B7" s="316"/>
      <c r="C7" s="316"/>
      <c r="D7" s="316"/>
      <c r="E7" s="316"/>
      <c r="F7" s="316"/>
      <c r="G7" s="316"/>
      <c r="H7" s="316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79" t="s">
        <v>10</v>
      </c>
      <c r="B9" s="317" t="s">
        <v>11</v>
      </c>
      <c r="C9" s="320" t="s">
        <v>68</v>
      </c>
      <c r="D9" s="303"/>
      <c r="E9" s="303" t="s">
        <v>67</v>
      </c>
      <c r="F9" s="303"/>
      <c r="G9" s="303" t="s">
        <v>69</v>
      </c>
      <c r="H9" s="303"/>
      <c r="I9" s="373" t="s">
        <v>78</v>
      </c>
    </row>
    <row r="10" spans="1:9" ht="18" customHeight="1" x14ac:dyDescent="0.3">
      <c r="A10" s="380"/>
      <c r="B10" s="318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74"/>
    </row>
    <row r="11" spans="1:9" ht="17.25" thickBot="1" x14ac:dyDescent="0.35">
      <c r="A11" s="381"/>
      <c r="B11" s="319"/>
      <c r="C11" s="101"/>
      <c r="D11" s="102"/>
      <c r="E11" s="109">
        <f>SUM(E55:I56)</f>
        <v>0</v>
      </c>
      <c r="F11" s="109">
        <f>SUM(E53:I54)</f>
        <v>0</v>
      </c>
      <c r="G11" s="110">
        <f>C11+E11</f>
        <v>0</v>
      </c>
      <c r="H11" s="110">
        <f>D11+F11</f>
        <v>0</v>
      </c>
      <c r="I11" s="111" t="e">
        <f>G11/H11</f>
        <v>#DIV/0!</v>
      </c>
    </row>
    <row r="12" spans="1:9" ht="30" customHeight="1" x14ac:dyDescent="0.3">
      <c r="A12" s="321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24" t="s">
        <v>19</v>
      </c>
      <c r="G12" s="325"/>
      <c r="H12" s="158" t="s">
        <v>20</v>
      </c>
      <c r="I12" s="100" t="s">
        <v>21</v>
      </c>
    </row>
    <row r="13" spans="1:9" ht="17.25" customHeight="1" x14ac:dyDescent="0.3">
      <c r="A13" s="322"/>
      <c r="B13" s="21" t="s">
        <v>23</v>
      </c>
      <c r="C13" s="22"/>
      <c r="D13" s="23"/>
      <c r="E13" s="22"/>
      <c r="F13" s="24"/>
      <c r="G13" s="25"/>
      <c r="H13" s="23"/>
      <c r="I13" s="26">
        <f>C13-D13-D14*1/2-E13-E14*1/2+F13-H13-H14*1/2-I14*1/2</f>
        <v>0</v>
      </c>
    </row>
    <row r="14" spans="1:9" ht="17.25" customHeight="1" x14ac:dyDescent="0.3">
      <c r="A14" s="322"/>
      <c r="B14" s="27" t="s">
        <v>24</v>
      </c>
      <c r="C14" s="28"/>
      <c r="D14" s="29"/>
      <c r="E14" s="30"/>
      <c r="F14" s="31"/>
      <c r="G14" s="25"/>
      <c r="H14" s="29"/>
      <c r="I14" s="32"/>
    </row>
    <row r="15" spans="1:9" ht="17.25" customHeight="1" x14ac:dyDescent="0.3">
      <c r="A15" s="322"/>
      <c r="B15" s="27" t="s">
        <v>25</v>
      </c>
      <c r="C15" s="33"/>
      <c r="D15" s="29"/>
      <c r="E15" s="30"/>
      <c r="F15" s="34"/>
      <c r="G15" s="25"/>
      <c r="H15" s="29"/>
      <c r="I15" s="35">
        <f>C15-D15-D16*1/2-E15-E16*1/2+F15-H15-H16*1/2-I16*1/2</f>
        <v>0</v>
      </c>
    </row>
    <row r="16" spans="1:9" ht="17.25" customHeight="1" x14ac:dyDescent="0.3">
      <c r="A16" s="322"/>
      <c r="B16" s="27" t="s">
        <v>26</v>
      </c>
      <c r="C16" s="28"/>
      <c r="D16" s="29"/>
      <c r="E16" s="30"/>
      <c r="F16" s="31"/>
      <c r="G16" s="25"/>
      <c r="H16" s="29"/>
      <c r="I16" s="36"/>
    </row>
    <row r="17" spans="1:9" ht="17.25" customHeight="1" x14ac:dyDescent="0.3">
      <c r="A17" s="322"/>
      <c r="B17" s="27" t="s">
        <v>27</v>
      </c>
      <c r="C17" s="33"/>
      <c r="D17" s="29"/>
      <c r="E17" s="30"/>
      <c r="F17" s="34"/>
      <c r="G17" s="118"/>
      <c r="H17" s="29"/>
      <c r="I17" s="37">
        <f>C17-D17-D18*1/2-E17-E18*1/2+F17-H17-H18*1/2-I18*1/2</f>
        <v>0</v>
      </c>
    </row>
    <row r="18" spans="1:9" ht="17.25" customHeight="1" x14ac:dyDescent="0.3">
      <c r="A18" s="322"/>
      <c r="B18" s="27" t="s">
        <v>28</v>
      </c>
      <c r="C18" s="28"/>
      <c r="D18" s="29"/>
      <c r="E18" s="30"/>
      <c r="F18" s="31"/>
      <c r="G18" s="25"/>
      <c r="H18" s="29"/>
      <c r="I18" s="36"/>
    </row>
    <row r="19" spans="1:9" ht="17.25" customHeight="1" x14ac:dyDescent="0.3">
      <c r="A19" s="322"/>
      <c r="B19" s="27" t="s">
        <v>29</v>
      </c>
      <c r="C19" s="33"/>
      <c r="D19" s="29"/>
      <c r="E19" s="30"/>
      <c r="F19" s="34"/>
      <c r="G19" s="25"/>
      <c r="H19" s="29"/>
      <c r="I19" s="35">
        <f>C19-D19-D20*1/2-E19-E20*1/2+F19-H19-H20*1/2-I20*1/2</f>
        <v>0</v>
      </c>
    </row>
    <row r="20" spans="1:9" ht="17.25" customHeight="1" x14ac:dyDescent="0.3">
      <c r="A20" s="322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22"/>
      <c r="B21" s="39" t="s">
        <v>31</v>
      </c>
      <c r="C21" s="40"/>
      <c r="D21" s="41"/>
      <c r="E21" s="42"/>
      <c r="F21" s="43"/>
      <c r="G21" s="44"/>
      <c r="H21" s="43"/>
      <c r="I21" s="45">
        <f t="shared" ref="I21:I48" si="0">C21-D21-E21+F21-H21</f>
        <v>0</v>
      </c>
    </row>
    <row r="22" spans="1:9" ht="17.25" customHeight="1" x14ac:dyDescent="0.3">
      <c r="A22" s="322"/>
      <c r="B22" s="21" t="s">
        <v>32</v>
      </c>
      <c r="C22" s="46"/>
      <c r="D22" s="23"/>
      <c r="E22" s="47"/>
      <c r="F22" s="48"/>
      <c r="G22" s="25"/>
      <c r="H22" s="48"/>
      <c r="I22" s="49">
        <f t="shared" si="0"/>
        <v>0</v>
      </c>
    </row>
    <row r="23" spans="1:9" ht="17.25" customHeight="1" x14ac:dyDescent="0.3">
      <c r="A23" s="322"/>
      <c r="B23" s="27" t="s">
        <v>33</v>
      </c>
      <c r="C23" s="33"/>
      <c r="D23" s="29"/>
      <c r="E23" s="50"/>
      <c r="F23" s="51"/>
      <c r="G23" s="25"/>
      <c r="H23" s="51"/>
      <c r="I23" s="52">
        <f>C23-D23-D24-E23-E24+F23+F24-H23-H24-I24</f>
        <v>0</v>
      </c>
    </row>
    <row r="24" spans="1:9" ht="17.25" customHeight="1" x14ac:dyDescent="0.3">
      <c r="A24" s="322"/>
      <c r="B24" s="160" t="s">
        <v>34</v>
      </c>
      <c r="C24" s="53"/>
      <c r="D24" s="41"/>
      <c r="E24" s="42"/>
      <c r="F24" s="43"/>
      <c r="G24" s="113"/>
      <c r="H24" s="43"/>
      <c r="I24" s="54"/>
    </row>
    <row r="25" spans="1:9" ht="17.25" customHeight="1" x14ac:dyDescent="0.3">
      <c r="A25" s="322"/>
      <c r="B25" s="21" t="s">
        <v>35</v>
      </c>
      <c r="C25" s="46"/>
      <c r="D25" s="23"/>
      <c r="E25" s="47"/>
      <c r="F25" s="48"/>
      <c r="G25" s="112"/>
      <c r="H25" s="48"/>
      <c r="I25" s="49">
        <f t="shared" si="0"/>
        <v>0</v>
      </c>
    </row>
    <row r="26" spans="1:9" ht="17.25" customHeight="1" x14ac:dyDescent="0.3">
      <c r="A26" s="322"/>
      <c r="B26" s="160" t="s">
        <v>36</v>
      </c>
      <c r="C26" s="55"/>
      <c r="D26" s="41"/>
      <c r="E26" s="42"/>
      <c r="F26" s="43"/>
      <c r="G26" s="113"/>
      <c r="H26" s="43"/>
      <c r="I26" s="45">
        <f t="shared" si="0"/>
        <v>0</v>
      </c>
    </row>
    <row r="27" spans="1:9" ht="17.25" customHeight="1" x14ac:dyDescent="0.3">
      <c r="A27" s="322"/>
      <c r="B27" s="21" t="s">
        <v>37</v>
      </c>
      <c r="C27" s="46"/>
      <c r="D27" s="23"/>
      <c r="E27" s="47"/>
      <c r="F27" s="48"/>
      <c r="G27" s="112"/>
      <c r="H27" s="48"/>
      <c r="I27" s="49">
        <f t="shared" si="0"/>
        <v>0</v>
      </c>
    </row>
    <row r="28" spans="1:9" ht="17.25" customHeight="1" x14ac:dyDescent="0.3">
      <c r="A28" s="322"/>
      <c r="B28" s="160" t="s">
        <v>38</v>
      </c>
      <c r="C28" s="55"/>
      <c r="D28" s="41"/>
      <c r="E28" s="42"/>
      <c r="F28" s="43"/>
      <c r="G28" s="113"/>
      <c r="H28" s="43"/>
      <c r="I28" s="45">
        <f t="shared" si="0"/>
        <v>0</v>
      </c>
    </row>
    <row r="29" spans="1:9" ht="17.25" customHeight="1" x14ac:dyDescent="0.3">
      <c r="A29" s="322"/>
      <c r="B29" s="21" t="s">
        <v>39</v>
      </c>
      <c r="C29" s="46"/>
      <c r="D29" s="23"/>
      <c r="E29" s="47"/>
      <c r="F29" s="48"/>
      <c r="G29" s="25"/>
      <c r="H29" s="48"/>
      <c r="I29" s="49">
        <f t="shared" si="0"/>
        <v>0</v>
      </c>
    </row>
    <row r="30" spans="1:9" ht="17.25" customHeight="1" x14ac:dyDescent="0.3">
      <c r="A30" s="322"/>
      <c r="B30" s="56" t="s">
        <v>40</v>
      </c>
      <c r="C30" s="57"/>
      <c r="D30" s="29"/>
      <c r="E30" s="50"/>
      <c r="F30" s="51"/>
      <c r="G30" s="25"/>
      <c r="H30" s="51"/>
      <c r="I30" s="52">
        <f>C30-D30-D31-E30-E31+F30+F31-H30-H31-I31</f>
        <v>0</v>
      </c>
    </row>
    <row r="31" spans="1:9" ht="17.25" customHeight="1" x14ac:dyDescent="0.3">
      <c r="A31" s="322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22"/>
      <c r="B32" s="179" t="s">
        <v>117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22"/>
      <c r="B33" s="179" t="s">
        <v>119</v>
      </c>
      <c r="C33" s="185"/>
      <c r="D33" s="29"/>
      <c r="E33" s="50"/>
      <c r="F33" s="51"/>
      <c r="G33" s="25"/>
      <c r="H33" s="51"/>
      <c r="I33" s="188"/>
    </row>
    <row r="34" spans="1:9" ht="17.25" customHeight="1" x14ac:dyDescent="0.3">
      <c r="A34" s="322"/>
      <c r="B34" s="179" t="s">
        <v>121</v>
      </c>
      <c r="C34" s="186"/>
      <c r="D34" s="60"/>
      <c r="E34" s="61"/>
      <c r="F34" s="62"/>
      <c r="G34" s="113"/>
      <c r="H34" s="62"/>
      <c r="I34" s="189"/>
    </row>
    <row r="35" spans="1:9" ht="17.25" customHeight="1" x14ac:dyDescent="0.3">
      <c r="A35" s="322"/>
      <c r="B35" s="191" t="s">
        <v>79</v>
      </c>
      <c r="C35" s="281"/>
      <c r="D35" s="23"/>
      <c r="E35" s="47"/>
      <c r="F35" s="48"/>
      <c r="G35" s="116"/>
      <c r="H35" s="48"/>
      <c r="I35" s="282"/>
    </row>
    <row r="36" spans="1:9" ht="17.25" customHeight="1" x14ac:dyDescent="0.3">
      <c r="A36" s="322"/>
      <c r="B36" s="153" t="s">
        <v>80</v>
      </c>
      <c r="C36" s="121"/>
      <c r="D36" s="122"/>
      <c r="E36" s="123"/>
      <c r="F36" s="124"/>
      <c r="G36" s="112"/>
      <c r="H36" s="124"/>
      <c r="I36" s="52">
        <f>C36-D36-E36+F36-H36</f>
        <v>0</v>
      </c>
    </row>
    <row r="37" spans="1:9" ht="17.25" customHeight="1" x14ac:dyDescent="0.3">
      <c r="A37" s="322"/>
      <c r="B37" s="163" t="s">
        <v>107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22"/>
      <c r="B38" s="178" t="s">
        <v>131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22"/>
      <c r="B39" s="178" t="s">
        <v>109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22"/>
      <c r="B40" s="178" t="s">
        <v>133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22"/>
      <c r="B41" s="178" t="s">
        <v>111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22"/>
      <c r="B42" s="178" t="s">
        <v>135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22"/>
      <c r="B43" s="178" t="s">
        <v>113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22"/>
      <c r="B44" s="178" t="s">
        <v>125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22"/>
      <c r="B45" s="164" t="s">
        <v>115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22"/>
      <c r="B46" s="120" t="s">
        <v>89</v>
      </c>
      <c r="C46" s="154"/>
      <c r="D46" s="23"/>
      <c r="E46" s="47"/>
      <c r="F46" s="48"/>
      <c r="G46" s="116"/>
      <c r="H46" s="48"/>
      <c r="I46" s="49">
        <f t="shared" si="0"/>
        <v>0</v>
      </c>
    </row>
    <row r="47" spans="1:9" ht="17.25" customHeight="1" x14ac:dyDescent="0.3">
      <c r="A47" s="322"/>
      <c r="B47" s="120" t="s">
        <v>88</v>
      </c>
      <c r="C47" s="121"/>
      <c r="D47" s="122"/>
      <c r="E47" s="123"/>
      <c r="F47" s="124"/>
      <c r="G47" s="112"/>
      <c r="H47" s="124"/>
      <c r="I47" s="52">
        <f t="shared" si="0"/>
        <v>0</v>
      </c>
    </row>
    <row r="48" spans="1:9" ht="17.25" customHeight="1" x14ac:dyDescent="0.3">
      <c r="A48" s="322"/>
      <c r="B48" s="56" t="s">
        <v>123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22"/>
      <c r="B49" s="179" t="s">
        <v>127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22"/>
      <c r="B50" s="58" t="s">
        <v>129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23"/>
      <c r="B51" s="64" t="s">
        <v>42</v>
      </c>
      <c r="C51" s="65">
        <f>SUM(C13:C50)</f>
        <v>0</v>
      </c>
      <c r="D51" s="66">
        <f>SUM(D13:D46)</f>
        <v>0</v>
      </c>
      <c r="E51" s="67">
        <f>SUM(E13:E46)</f>
        <v>0</v>
      </c>
      <c r="F51" s="67">
        <f>SUM(F13:F46)</f>
        <v>0</v>
      </c>
      <c r="G51" s="68" t="s">
        <v>22</v>
      </c>
      <c r="H51" s="69">
        <f>SUM(H13:H46)</f>
        <v>0</v>
      </c>
      <c r="I51" s="70">
        <f>SUM(I13:I46)</f>
        <v>0</v>
      </c>
    </row>
    <row r="52" spans="1:10" ht="17.25" customHeight="1" x14ac:dyDescent="0.3">
      <c r="A52" s="326" t="s">
        <v>72</v>
      </c>
      <c r="B52" s="327"/>
      <c r="C52" s="71"/>
      <c r="D52" s="72" t="s">
        <v>163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28"/>
      <c r="B53" s="329"/>
      <c r="C53" s="332" t="s">
        <v>74</v>
      </c>
      <c r="D53" s="334"/>
      <c r="E53" s="336"/>
      <c r="F53" s="336"/>
      <c r="G53" s="336"/>
      <c r="H53" s="336"/>
      <c r="I53" s="339"/>
      <c r="J53" s="174"/>
    </row>
    <row r="54" spans="1:10" s="76" customFormat="1" ht="17.25" customHeight="1" x14ac:dyDescent="0.3">
      <c r="A54" s="328"/>
      <c r="B54" s="329"/>
      <c r="C54" s="333"/>
      <c r="D54" s="335"/>
      <c r="E54" s="337"/>
      <c r="F54" s="337"/>
      <c r="G54" s="337"/>
      <c r="H54" s="338"/>
      <c r="I54" s="340"/>
    </row>
    <row r="55" spans="1:10" s="76" customFormat="1" ht="17.25" customHeight="1" x14ac:dyDescent="0.3">
      <c r="A55" s="328"/>
      <c r="B55" s="329"/>
      <c r="C55" s="332" t="s">
        <v>75</v>
      </c>
      <c r="D55" s="334"/>
      <c r="E55" s="343"/>
      <c r="F55" s="343"/>
      <c r="G55" s="343"/>
      <c r="H55" s="336"/>
      <c r="I55" s="347"/>
    </row>
    <row r="56" spans="1:10" s="76" customFormat="1" ht="17.25" customHeight="1" thickBot="1" x14ac:dyDescent="0.35">
      <c r="A56" s="330"/>
      <c r="B56" s="331"/>
      <c r="C56" s="341"/>
      <c r="D56" s="342"/>
      <c r="E56" s="344"/>
      <c r="F56" s="344"/>
      <c r="G56" s="344"/>
      <c r="H56" s="344"/>
      <c r="I56" s="348"/>
    </row>
    <row r="57" spans="1:10" s="76" customFormat="1" ht="17.25" customHeight="1" x14ac:dyDescent="0.3">
      <c r="A57" s="326" t="s">
        <v>45</v>
      </c>
      <c r="B57" s="327"/>
      <c r="C57" s="349"/>
      <c r="D57" s="350"/>
      <c r="E57" s="350"/>
      <c r="F57" s="350"/>
      <c r="G57" s="350"/>
      <c r="H57" s="350"/>
      <c r="I57" s="351"/>
    </row>
    <row r="58" spans="1:10" s="76" customFormat="1" ht="17.25" customHeight="1" x14ac:dyDescent="0.3">
      <c r="A58" s="328"/>
      <c r="B58" s="329"/>
      <c r="C58" s="352"/>
      <c r="D58" s="352"/>
      <c r="E58" s="352"/>
      <c r="F58" s="352"/>
      <c r="G58" s="352"/>
      <c r="H58" s="352"/>
      <c r="I58" s="353"/>
    </row>
    <row r="59" spans="1:10" s="76" customFormat="1" ht="17.25" customHeight="1" x14ac:dyDescent="0.3">
      <c r="A59" s="328"/>
      <c r="B59" s="329"/>
      <c r="C59" s="354"/>
      <c r="D59" s="352"/>
      <c r="E59" s="352"/>
      <c r="F59" s="352"/>
      <c r="G59" s="352"/>
      <c r="H59" s="352"/>
      <c r="I59" s="353"/>
    </row>
    <row r="60" spans="1:10" s="76" customFormat="1" ht="17.25" customHeight="1" thickBot="1" x14ac:dyDescent="0.35">
      <c r="A60" s="330"/>
      <c r="B60" s="331"/>
      <c r="C60" s="345"/>
      <c r="D60" s="345"/>
      <c r="E60" s="345"/>
      <c r="F60" s="345"/>
      <c r="G60" s="345"/>
      <c r="H60" s="345"/>
      <c r="I60" s="346"/>
    </row>
    <row r="61" spans="1:10" s="76" customFormat="1" ht="17.25" customHeight="1" x14ac:dyDescent="0.3">
      <c r="A61" s="326" t="s">
        <v>73</v>
      </c>
      <c r="B61" s="327"/>
      <c r="C61" s="389"/>
      <c r="D61" s="368"/>
      <c r="E61" s="368"/>
      <c r="F61" s="368"/>
      <c r="G61" s="368"/>
      <c r="H61" s="368"/>
      <c r="I61" s="369"/>
    </row>
    <row r="62" spans="1:10" s="76" customFormat="1" ht="17.25" customHeight="1" x14ac:dyDescent="0.3">
      <c r="A62" s="328"/>
      <c r="B62" s="329"/>
      <c r="C62" s="393"/>
      <c r="D62" s="394"/>
      <c r="E62" s="394"/>
      <c r="F62" s="394"/>
      <c r="G62" s="394"/>
      <c r="H62" s="394"/>
      <c r="I62" s="395"/>
    </row>
    <row r="63" spans="1:10" s="76" customFormat="1" ht="17.25" customHeight="1" x14ac:dyDescent="0.3">
      <c r="A63" s="328"/>
      <c r="B63" s="329"/>
      <c r="C63" s="393"/>
      <c r="D63" s="394"/>
      <c r="E63" s="394"/>
      <c r="F63" s="394"/>
      <c r="G63" s="394"/>
      <c r="H63" s="394"/>
      <c r="I63" s="395"/>
    </row>
    <row r="64" spans="1:10" s="76" customFormat="1" ht="17.25" customHeight="1" thickBot="1" x14ac:dyDescent="0.35">
      <c r="A64" s="330"/>
      <c r="B64" s="331"/>
      <c r="C64" s="345"/>
      <c r="D64" s="345"/>
      <c r="E64" s="345"/>
      <c r="F64" s="345"/>
      <c r="G64" s="345"/>
      <c r="H64" s="345"/>
      <c r="I64" s="346"/>
    </row>
    <row r="65" spans="1:9" s="76" customFormat="1" ht="17.25" customHeight="1" x14ac:dyDescent="0.3">
      <c r="A65" s="363" t="s">
        <v>46</v>
      </c>
      <c r="B65" s="366" t="s">
        <v>47</v>
      </c>
      <c r="C65" s="368"/>
      <c r="D65" s="368"/>
      <c r="E65" s="368"/>
      <c r="F65" s="368"/>
      <c r="G65" s="368"/>
      <c r="H65" s="368"/>
      <c r="I65" s="369"/>
    </row>
    <row r="66" spans="1:9" s="76" customFormat="1" ht="17.25" customHeight="1" x14ac:dyDescent="0.3">
      <c r="A66" s="364"/>
      <c r="B66" s="367"/>
      <c r="C66" s="350"/>
      <c r="D66" s="350"/>
      <c r="E66" s="350"/>
      <c r="F66" s="350"/>
      <c r="G66" s="350"/>
      <c r="H66" s="350"/>
      <c r="I66" s="351"/>
    </row>
    <row r="67" spans="1:9" s="76" customFormat="1" ht="17.25" customHeight="1" x14ac:dyDescent="0.3">
      <c r="A67" s="364"/>
      <c r="B67" s="370" t="s">
        <v>48</v>
      </c>
      <c r="C67" s="352"/>
      <c r="D67" s="352"/>
      <c r="E67" s="352"/>
      <c r="F67" s="352"/>
      <c r="G67" s="352"/>
      <c r="H67" s="352"/>
      <c r="I67" s="353"/>
    </row>
    <row r="68" spans="1:9" s="76" customFormat="1" ht="17.25" customHeight="1" x14ac:dyDescent="0.3">
      <c r="A68" s="364"/>
      <c r="B68" s="367"/>
      <c r="C68" s="350"/>
      <c r="D68" s="350"/>
      <c r="E68" s="350"/>
      <c r="F68" s="350"/>
      <c r="G68" s="350"/>
      <c r="H68" s="350"/>
      <c r="I68" s="351"/>
    </row>
    <row r="69" spans="1:9" s="76" customFormat="1" ht="17.25" customHeight="1" thickBot="1" x14ac:dyDescent="0.35">
      <c r="A69" s="365"/>
      <c r="B69" s="371"/>
      <c r="C69" s="362"/>
      <c r="D69" s="345"/>
      <c r="E69" s="345"/>
      <c r="F69" s="345"/>
      <c r="G69" s="345"/>
      <c r="H69" s="345"/>
      <c r="I69" s="346"/>
    </row>
    <row r="70" spans="1:9" s="76" customFormat="1" ht="17.25" customHeight="1" x14ac:dyDescent="0.3">
      <c r="A70" s="326" t="s">
        <v>49</v>
      </c>
      <c r="B70" s="327"/>
      <c r="C70" s="350"/>
      <c r="D70" s="350"/>
      <c r="E70" s="350"/>
      <c r="F70" s="350"/>
      <c r="G70" s="350"/>
      <c r="H70" s="350"/>
      <c r="I70" s="351"/>
    </row>
    <row r="71" spans="1:9" s="76" customFormat="1" ht="17.25" customHeight="1" x14ac:dyDescent="0.3">
      <c r="A71" s="328"/>
      <c r="B71" s="329"/>
      <c r="C71" s="350"/>
      <c r="D71" s="350"/>
      <c r="E71" s="350"/>
      <c r="F71" s="350"/>
      <c r="G71" s="350"/>
      <c r="H71" s="350"/>
      <c r="I71" s="351"/>
    </row>
    <row r="72" spans="1:9" s="76" customFormat="1" ht="17.25" customHeight="1" thickBot="1" x14ac:dyDescent="0.35">
      <c r="A72" s="330"/>
      <c r="B72" s="331"/>
      <c r="C72" s="362"/>
      <c r="D72" s="345"/>
      <c r="E72" s="345"/>
      <c r="F72" s="345"/>
      <c r="G72" s="345"/>
      <c r="H72" s="345"/>
      <c r="I72" s="346"/>
    </row>
    <row r="73" spans="1:9" s="76" customFormat="1" ht="17.25" customHeight="1" x14ac:dyDescent="0.3">
      <c r="A73" s="326" t="s">
        <v>50</v>
      </c>
      <c r="B73" s="327"/>
      <c r="C73" s="389"/>
      <c r="D73" s="368"/>
      <c r="E73" s="368"/>
      <c r="F73" s="368"/>
      <c r="G73" s="368"/>
      <c r="H73" s="368"/>
      <c r="I73" s="369"/>
    </row>
    <row r="74" spans="1:9" s="76" customFormat="1" ht="17.25" customHeight="1" thickBot="1" x14ac:dyDescent="0.35">
      <c r="A74" s="330"/>
      <c r="B74" s="331"/>
      <c r="C74" s="354"/>
      <c r="D74" s="352"/>
      <c r="E74" s="352"/>
      <c r="F74" s="352"/>
      <c r="G74" s="352"/>
      <c r="H74" s="352"/>
      <c r="I74" s="353"/>
    </row>
    <row r="75" spans="1:9" s="76" customFormat="1" ht="17.25" customHeight="1" x14ac:dyDescent="0.3">
      <c r="A75" s="326" t="s">
        <v>51</v>
      </c>
      <c r="B75" s="327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/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/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375" t="s">
        <v>61</v>
      </c>
      <c r="B78" s="376"/>
      <c r="C78" s="382" t="s">
        <v>62</v>
      </c>
      <c r="D78" s="383"/>
      <c r="E78" s="384" t="s">
        <v>63</v>
      </c>
      <c r="F78" s="383"/>
      <c r="G78" s="385" t="s">
        <v>64</v>
      </c>
      <c r="H78" s="386"/>
      <c r="I78" s="90" t="s">
        <v>65</v>
      </c>
    </row>
    <row r="79" spans="1:9" s="76" customFormat="1" ht="17.25" customHeight="1" thickBot="1" x14ac:dyDescent="0.35">
      <c r="A79" s="377"/>
      <c r="B79" s="378"/>
      <c r="C79" s="92"/>
      <c r="D79" s="93"/>
      <c r="E79" s="94"/>
      <c r="F79" s="93"/>
      <c r="G79" s="387"/>
      <c r="H79" s="388"/>
      <c r="I79" s="95"/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372" t="s">
        <v>66</v>
      </c>
      <c r="I80" s="372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1:I1"/>
    <mergeCell ref="A2:B2"/>
    <mergeCell ref="C2:D2"/>
    <mergeCell ref="E2:E3"/>
    <mergeCell ref="F2:G2"/>
    <mergeCell ref="H2:I2"/>
    <mergeCell ref="A3:B3"/>
    <mergeCell ref="F3:G3"/>
    <mergeCell ref="H3:I3"/>
    <mergeCell ref="A4:H4"/>
    <mergeCell ref="A7:H7"/>
    <mergeCell ref="A9:A11"/>
    <mergeCell ref="B9:B11"/>
    <mergeCell ref="C9:D9"/>
    <mergeCell ref="E9:F9"/>
    <mergeCell ref="G9:H9"/>
    <mergeCell ref="A12:A51"/>
    <mergeCell ref="A52:B56"/>
    <mergeCell ref="C53:C54"/>
    <mergeCell ref="D53:D54"/>
    <mergeCell ref="E53:E54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opLeftCell="A22" zoomScale="90" zoomScaleNormal="90" workbookViewId="0">
      <selection activeCell="A4" sqref="A4:H4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296" t="s">
        <v>0</v>
      </c>
      <c r="B1" s="297"/>
      <c r="C1" s="297"/>
      <c r="D1" s="297"/>
      <c r="E1" s="297"/>
      <c r="F1" s="297"/>
      <c r="G1" s="297"/>
      <c r="H1" s="297"/>
      <c r="I1" s="298"/>
    </row>
    <row r="2" spans="1:9" x14ac:dyDescent="0.3">
      <c r="A2" s="299" t="s">
        <v>1</v>
      </c>
      <c r="B2" s="300"/>
      <c r="C2" s="301" t="s">
        <v>105</v>
      </c>
      <c r="D2" s="302"/>
      <c r="E2" s="303" t="s">
        <v>77</v>
      </c>
      <c r="F2" s="305" t="s">
        <v>2</v>
      </c>
      <c r="G2" s="306"/>
      <c r="H2" s="307" t="s">
        <v>76</v>
      </c>
      <c r="I2" s="308"/>
    </row>
    <row r="3" spans="1:9" x14ac:dyDescent="0.3">
      <c r="A3" s="309" t="s">
        <v>3</v>
      </c>
      <c r="B3" s="310"/>
      <c r="C3" s="4"/>
      <c r="D3" s="5" t="s">
        <v>4</v>
      </c>
      <c r="E3" s="304"/>
      <c r="F3" s="311"/>
      <c r="G3" s="312"/>
      <c r="H3" s="313">
        <f>G11+'16일'!H3:I3</f>
        <v>30349100</v>
      </c>
      <c r="I3" s="314"/>
    </row>
    <row r="4" spans="1:9" ht="7.5" customHeight="1" x14ac:dyDescent="0.3">
      <c r="A4" s="315"/>
      <c r="B4" s="316"/>
      <c r="C4" s="316"/>
      <c r="D4" s="316"/>
      <c r="E4" s="316"/>
      <c r="F4" s="316"/>
      <c r="G4" s="316"/>
      <c r="H4" s="316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/>
      <c r="F6" s="15"/>
      <c r="G6" s="16"/>
      <c r="H6" s="17"/>
      <c r="I6" s="18"/>
    </row>
    <row r="7" spans="1:9" ht="7.5" customHeight="1" x14ac:dyDescent="0.3">
      <c r="A7" s="315"/>
      <c r="B7" s="316"/>
      <c r="C7" s="316"/>
      <c r="D7" s="316"/>
      <c r="E7" s="316"/>
      <c r="F7" s="316"/>
      <c r="G7" s="316"/>
      <c r="H7" s="316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79" t="s">
        <v>10</v>
      </c>
      <c r="B9" s="317" t="s">
        <v>11</v>
      </c>
      <c r="C9" s="320" t="s">
        <v>68</v>
      </c>
      <c r="D9" s="303"/>
      <c r="E9" s="303" t="s">
        <v>67</v>
      </c>
      <c r="F9" s="303"/>
      <c r="G9" s="303" t="s">
        <v>69</v>
      </c>
      <c r="H9" s="303"/>
      <c r="I9" s="373" t="s">
        <v>78</v>
      </c>
    </row>
    <row r="10" spans="1:9" ht="18" customHeight="1" x14ac:dyDescent="0.3">
      <c r="A10" s="380"/>
      <c r="B10" s="318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74"/>
    </row>
    <row r="11" spans="1:9" ht="17.25" thickBot="1" x14ac:dyDescent="0.35">
      <c r="A11" s="381"/>
      <c r="B11" s="319"/>
      <c r="C11" s="101"/>
      <c r="D11" s="102"/>
      <c r="E11" s="109">
        <f>SUM(E55:I56)</f>
        <v>0</v>
      </c>
      <c r="F11" s="109">
        <f>SUM(E53:I54)</f>
        <v>0</v>
      </c>
      <c r="G11" s="110">
        <f>C11+E11</f>
        <v>0</v>
      </c>
      <c r="H11" s="110">
        <f>D11+F11</f>
        <v>0</v>
      </c>
      <c r="I11" s="111" t="e">
        <f>G11/H11</f>
        <v>#DIV/0!</v>
      </c>
    </row>
    <row r="12" spans="1:9" ht="30" customHeight="1" x14ac:dyDescent="0.3">
      <c r="A12" s="321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24" t="s">
        <v>19</v>
      </c>
      <c r="G12" s="325"/>
      <c r="H12" s="158" t="s">
        <v>20</v>
      </c>
      <c r="I12" s="100" t="s">
        <v>21</v>
      </c>
    </row>
    <row r="13" spans="1:9" ht="17.25" customHeight="1" x14ac:dyDescent="0.3">
      <c r="A13" s="322"/>
      <c r="B13" s="21" t="s">
        <v>23</v>
      </c>
      <c r="C13" s="22"/>
      <c r="D13" s="23"/>
      <c r="E13" s="22"/>
      <c r="F13" s="24"/>
      <c r="G13" s="25"/>
      <c r="H13" s="23"/>
      <c r="I13" s="26">
        <f>C13-D13-D14*1/2-E13-E14*1/2+F13-H13-H14*1/2-I14*1/2</f>
        <v>0</v>
      </c>
    </row>
    <row r="14" spans="1:9" ht="17.25" customHeight="1" x14ac:dyDescent="0.3">
      <c r="A14" s="322"/>
      <c r="B14" s="27" t="s">
        <v>24</v>
      </c>
      <c r="C14" s="28"/>
      <c r="D14" s="29"/>
      <c r="E14" s="30"/>
      <c r="F14" s="31"/>
      <c r="G14" s="25"/>
      <c r="H14" s="29"/>
      <c r="I14" s="32"/>
    </row>
    <row r="15" spans="1:9" ht="17.25" customHeight="1" x14ac:dyDescent="0.3">
      <c r="A15" s="322"/>
      <c r="B15" s="27" t="s">
        <v>25</v>
      </c>
      <c r="C15" s="33"/>
      <c r="D15" s="29"/>
      <c r="E15" s="30"/>
      <c r="F15" s="34"/>
      <c r="G15" s="25"/>
      <c r="H15" s="29"/>
      <c r="I15" s="35">
        <f>C15-D15-D16*1/2-E15-E16*1/2+F15-H15-H16*1/2-I16*1/2</f>
        <v>0</v>
      </c>
    </row>
    <row r="16" spans="1:9" ht="17.25" customHeight="1" x14ac:dyDescent="0.3">
      <c r="A16" s="322"/>
      <c r="B16" s="27" t="s">
        <v>26</v>
      </c>
      <c r="C16" s="28"/>
      <c r="D16" s="29"/>
      <c r="E16" s="30"/>
      <c r="F16" s="31"/>
      <c r="G16" s="25"/>
      <c r="H16" s="29"/>
      <c r="I16" s="36"/>
    </row>
    <row r="17" spans="1:9" ht="17.25" customHeight="1" x14ac:dyDescent="0.3">
      <c r="A17" s="322"/>
      <c r="B17" s="27" t="s">
        <v>27</v>
      </c>
      <c r="C17" s="33"/>
      <c r="D17" s="29"/>
      <c r="E17" s="30"/>
      <c r="F17" s="34"/>
      <c r="G17" s="118"/>
      <c r="H17" s="29"/>
      <c r="I17" s="37">
        <f>C17-D17-D18*1/2-E17-E18*1/2+F17-H17-H18*1/2-I18*1/2</f>
        <v>0</v>
      </c>
    </row>
    <row r="18" spans="1:9" ht="17.25" customHeight="1" x14ac:dyDescent="0.3">
      <c r="A18" s="322"/>
      <c r="B18" s="27" t="s">
        <v>28</v>
      </c>
      <c r="C18" s="28"/>
      <c r="D18" s="29"/>
      <c r="E18" s="30"/>
      <c r="F18" s="31"/>
      <c r="G18" s="25"/>
      <c r="H18" s="29"/>
      <c r="I18" s="36"/>
    </row>
    <row r="19" spans="1:9" ht="17.25" customHeight="1" x14ac:dyDescent="0.3">
      <c r="A19" s="322"/>
      <c r="B19" s="27" t="s">
        <v>29</v>
      </c>
      <c r="C19" s="33"/>
      <c r="D19" s="29"/>
      <c r="E19" s="30"/>
      <c r="F19" s="34"/>
      <c r="G19" s="25"/>
      <c r="H19" s="29"/>
      <c r="I19" s="35">
        <f>C19-D19-D20*1/2-E19-E20*1/2+F19-H19-H20*1/2-I20*1/2</f>
        <v>0</v>
      </c>
    </row>
    <row r="20" spans="1:9" ht="17.25" customHeight="1" x14ac:dyDescent="0.3">
      <c r="A20" s="322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22"/>
      <c r="B21" s="39" t="s">
        <v>31</v>
      </c>
      <c r="C21" s="40"/>
      <c r="D21" s="41"/>
      <c r="E21" s="42"/>
      <c r="F21" s="43"/>
      <c r="G21" s="44"/>
      <c r="H21" s="43"/>
      <c r="I21" s="45">
        <f t="shared" ref="I21:I48" si="0">C21-D21-E21+F21-H21</f>
        <v>0</v>
      </c>
    </row>
    <row r="22" spans="1:9" ht="17.25" customHeight="1" x14ac:dyDescent="0.3">
      <c r="A22" s="322"/>
      <c r="B22" s="21" t="s">
        <v>32</v>
      </c>
      <c r="C22" s="46"/>
      <c r="D22" s="23"/>
      <c r="E22" s="47"/>
      <c r="F22" s="48"/>
      <c r="G22" s="25"/>
      <c r="H22" s="48"/>
      <c r="I22" s="49">
        <f t="shared" si="0"/>
        <v>0</v>
      </c>
    </row>
    <row r="23" spans="1:9" ht="17.25" customHeight="1" x14ac:dyDescent="0.3">
      <c r="A23" s="322"/>
      <c r="B23" s="27" t="s">
        <v>33</v>
      </c>
      <c r="C23" s="33"/>
      <c r="D23" s="29"/>
      <c r="E23" s="50"/>
      <c r="F23" s="51"/>
      <c r="G23" s="25"/>
      <c r="H23" s="51"/>
      <c r="I23" s="52">
        <f>C23-D23-D24-E23-E24+F23+F24-H23-H24-I24</f>
        <v>0</v>
      </c>
    </row>
    <row r="24" spans="1:9" ht="17.25" customHeight="1" x14ac:dyDescent="0.3">
      <c r="A24" s="322"/>
      <c r="B24" s="160" t="s">
        <v>34</v>
      </c>
      <c r="C24" s="53"/>
      <c r="D24" s="41"/>
      <c r="E24" s="42"/>
      <c r="F24" s="43"/>
      <c r="G24" s="113"/>
      <c r="H24" s="43"/>
      <c r="I24" s="54"/>
    </row>
    <row r="25" spans="1:9" ht="17.25" customHeight="1" x14ac:dyDescent="0.3">
      <c r="A25" s="322"/>
      <c r="B25" s="21" t="s">
        <v>35</v>
      </c>
      <c r="C25" s="46"/>
      <c r="D25" s="23"/>
      <c r="E25" s="47"/>
      <c r="F25" s="48"/>
      <c r="G25" s="112"/>
      <c r="H25" s="48"/>
      <c r="I25" s="49">
        <f t="shared" si="0"/>
        <v>0</v>
      </c>
    </row>
    <row r="26" spans="1:9" ht="17.25" customHeight="1" x14ac:dyDescent="0.3">
      <c r="A26" s="322"/>
      <c r="B26" s="160" t="s">
        <v>36</v>
      </c>
      <c r="C26" s="55"/>
      <c r="D26" s="41"/>
      <c r="E26" s="42"/>
      <c r="F26" s="43"/>
      <c r="G26" s="113"/>
      <c r="H26" s="43"/>
      <c r="I26" s="45">
        <f t="shared" si="0"/>
        <v>0</v>
      </c>
    </row>
    <row r="27" spans="1:9" ht="17.25" customHeight="1" x14ac:dyDescent="0.3">
      <c r="A27" s="322"/>
      <c r="B27" s="21" t="s">
        <v>37</v>
      </c>
      <c r="C27" s="46"/>
      <c r="D27" s="23"/>
      <c r="E27" s="47"/>
      <c r="F27" s="48"/>
      <c r="G27" s="112"/>
      <c r="H27" s="48"/>
      <c r="I27" s="49">
        <f t="shared" si="0"/>
        <v>0</v>
      </c>
    </row>
    <row r="28" spans="1:9" ht="17.25" customHeight="1" x14ac:dyDescent="0.3">
      <c r="A28" s="322"/>
      <c r="B28" s="160" t="s">
        <v>38</v>
      </c>
      <c r="C28" s="55"/>
      <c r="D28" s="41"/>
      <c r="E28" s="42"/>
      <c r="F28" s="43"/>
      <c r="G28" s="113"/>
      <c r="H28" s="43"/>
      <c r="I28" s="45">
        <f t="shared" si="0"/>
        <v>0</v>
      </c>
    </row>
    <row r="29" spans="1:9" ht="17.25" customHeight="1" x14ac:dyDescent="0.3">
      <c r="A29" s="322"/>
      <c r="B29" s="21" t="s">
        <v>39</v>
      </c>
      <c r="C29" s="46"/>
      <c r="D29" s="23"/>
      <c r="E29" s="47"/>
      <c r="F29" s="48"/>
      <c r="G29" s="25"/>
      <c r="H29" s="48"/>
      <c r="I29" s="49">
        <f t="shared" si="0"/>
        <v>0</v>
      </c>
    </row>
    <row r="30" spans="1:9" ht="17.25" customHeight="1" x14ac:dyDescent="0.3">
      <c r="A30" s="322"/>
      <c r="B30" s="56" t="s">
        <v>40</v>
      </c>
      <c r="C30" s="57"/>
      <c r="D30" s="29"/>
      <c r="E30" s="50"/>
      <c r="F30" s="51"/>
      <c r="G30" s="25"/>
      <c r="H30" s="51"/>
      <c r="I30" s="52">
        <f>C30-D30-D31-E30-E31+F30+F31-H30-H31-I31</f>
        <v>0</v>
      </c>
    </row>
    <row r="31" spans="1:9" ht="17.25" customHeight="1" x14ac:dyDescent="0.3">
      <c r="A31" s="322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22"/>
      <c r="B32" s="179" t="s">
        <v>117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22"/>
      <c r="B33" s="179" t="s">
        <v>119</v>
      </c>
      <c r="C33" s="185"/>
      <c r="D33" s="29"/>
      <c r="E33" s="50"/>
      <c r="F33" s="51"/>
      <c r="G33" s="25"/>
      <c r="H33" s="51"/>
      <c r="I33" s="188"/>
    </row>
    <row r="34" spans="1:9" ht="17.25" customHeight="1" x14ac:dyDescent="0.3">
      <c r="A34" s="322"/>
      <c r="B34" s="179" t="s">
        <v>121</v>
      </c>
      <c r="C34" s="186"/>
      <c r="D34" s="60"/>
      <c r="E34" s="61"/>
      <c r="F34" s="62"/>
      <c r="G34" s="113"/>
      <c r="H34" s="62"/>
      <c r="I34" s="189"/>
    </row>
    <row r="35" spans="1:9" ht="17.25" customHeight="1" x14ac:dyDescent="0.3">
      <c r="A35" s="322"/>
      <c r="B35" s="191" t="s">
        <v>79</v>
      </c>
      <c r="C35" s="281"/>
      <c r="D35" s="23"/>
      <c r="E35" s="47"/>
      <c r="F35" s="48"/>
      <c r="G35" s="116"/>
      <c r="H35" s="48"/>
      <c r="I35" s="282"/>
    </row>
    <row r="36" spans="1:9" ht="17.25" customHeight="1" x14ac:dyDescent="0.3">
      <c r="A36" s="322"/>
      <c r="B36" s="153" t="s">
        <v>80</v>
      </c>
      <c r="C36" s="121"/>
      <c r="D36" s="122"/>
      <c r="E36" s="123"/>
      <c r="F36" s="124"/>
      <c r="G36" s="112"/>
      <c r="H36" s="124"/>
      <c r="I36" s="52">
        <f>C36-D36-E36+F36-H36</f>
        <v>0</v>
      </c>
    </row>
    <row r="37" spans="1:9" ht="17.25" customHeight="1" x14ac:dyDescent="0.3">
      <c r="A37" s="322"/>
      <c r="B37" s="163" t="s">
        <v>107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22"/>
      <c r="B38" s="178" t="s">
        <v>131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22"/>
      <c r="B39" s="178" t="s">
        <v>109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22"/>
      <c r="B40" s="178" t="s">
        <v>133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22"/>
      <c r="B41" s="178" t="s">
        <v>111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22"/>
      <c r="B42" s="178" t="s">
        <v>135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22"/>
      <c r="B43" s="178" t="s">
        <v>113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22"/>
      <c r="B44" s="178" t="s">
        <v>125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22"/>
      <c r="B45" s="164" t="s">
        <v>115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22"/>
      <c r="B46" s="120" t="s">
        <v>89</v>
      </c>
      <c r="C46" s="154"/>
      <c r="D46" s="23"/>
      <c r="E46" s="47"/>
      <c r="F46" s="48"/>
      <c r="G46" s="116"/>
      <c r="H46" s="48"/>
      <c r="I46" s="49">
        <f t="shared" si="0"/>
        <v>0</v>
      </c>
    </row>
    <row r="47" spans="1:9" ht="17.25" customHeight="1" x14ac:dyDescent="0.3">
      <c r="A47" s="322"/>
      <c r="B47" s="120" t="s">
        <v>88</v>
      </c>
      <c r="C47" s="121"/>
      <c r="D47" s="122"/>
      <c r="E47" s="123"/>
      <c r="F47" s="124"/>
      <c r="G47" s="112"/>
      <c r="H47" s="124"/>
      <c r="I47" s="52">
        <f t="shared" si="0"/>
        <v>0</v>
      </c>
    </row>
    <row r="48" spans="1:9" ht="17.25" customHeight="1" x14ac:dyDescent="0.3">
      <c r="A48" s="322"/>
      <c r="B48" s="56" t="s">
        <v>123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22"/>
      <c r="B49" s="179" t="s">
        <v>127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22"/>
      <c r="B50" s="58" t="s">
        <v>129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23"/>
      <c r="B51" s="64" t="s">
        <v>42</v>
      </c>
      <c r="C51" s="65">
        <f>SUM(C13:C50)</f>
        <v>0</v>
      </c>
      <c r="D51" s="66">
        <f>SUM(D13:D46)</f>
        <v>0</v>
      </c>
      <c r="E51" s="67">
        <f>SUM(E13:E46)</f>
        <v>0</v>
      </c>
      <c r="F51" s="67">
        <f>SUM(F13:F46)</f>
        <v>0</v>
      </c>
      <c r="G51" s="68" t="s">
        <v>22</v>
      </c>
      <c r="H51" s="69">
        <f>SUM(H13:H46)</f>
        <v>0</v>
      </c>
      <c r="I51" s="70">
        <f>SUM(I13:I46)</f>
        <v>0</v>
      </c>
    </row>
    <row r="52" spans="1:10" ht="17.25" customHeight="1" x14ac:dyDescent="0.3">
      <c r="A52" s="326" t="s">
        <v>72</v>
      </c>
      <c r="B52" s="327"/>
      <c r="C52" s="71"/>
      <c r="D52" s="72" t="s">
        <v>163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28"/>
      <c r="B53" s="329"/>
      <c r="C53" s="332" t="s">
        <v>74</v>
      </c>
      <c r="D53" s="334"/>
      <c r="E53" s="336"/>
      <c r="F53" s="336"/>
      <c r="G53" s="336"/>
      <c r="H53" s="336"/>
      <c r="I53" s="339"/>
      <c r="J53" s="174"/>
    </row>
    <row r="54" spans="1:10" s="76" customFormat="1" ht="17.25" customHeight="1" x14ac:dyDescent="0.3">
      <c r="A54" s="328"/>
      <c r="B54" s="329"/>
      <c r="C54" s="333"/>
      <c r="D54" s="335"/>
      <c r="E54" s="337"/>
      <c r="F54" s="337"/>
      <c r="G54" s="337"/>
      <c r="H54" s="338"/>
      <c r="I54" s="340"/>
    </row>
    <row r="55" spans="1:10" s="76" customFormat="1" ht="17.25" customHeight="1" x14ac:dyDescent="0.3">
      <c r="A55" s="328"/>
      <c r="B55" s="329"/>
      <c r="C55" s="332" t="s">
        <v>75</v>
      </c>
      <c r="D55" s="334"/>
      <c r="E55" s="343"/>
      <c r="F55" s="343"/>
      <c r="G55" s="343"/>
      <c r="H55" s="336"/>
      <c r="I55" s="347"/>
    </row>
    <row r="56" spans="1:10" s="76" customFormat="1" ht="17.25" customHeight="1" thickBot="1" x14ac:dyDescent="0.35">
      <c r="A56" s="330"/>
      <c r="B56" s="331"/>
      <c r="C56" s="341"/>
      <c r="D56" s="342"/>
      <c r="E56" s="344"/>
      <c r="F56" s="344"/>
      <c r="G56" s="344"/>
      <c r="H56" s="344"/>
      <c r="I56" s="348"/>
    </row>
    <row r="57" spans="1:10" s="76" customFormat="1" ht="17.25" customHeight="1" x14ac:dyDescent="0.3">
      <c r="A57" s="326" t="s">
        <v>45</v>
      </c>
      <c r="B57" s="327"/>
      <c r="C57" s="349"/>
      <c r="D57" s="350"/>
      <c r="E57" s="350"/>
      <c r="F57" s="350"/>
      <c r="G57" s="350"/>
      <c r="H57" s="350"/>
      <c r="I57" s="351"/>
    </row>
    <row r="58" spans="1:10" s="76" customFormat="1" ht="17.25" customHeight="1" x14ac:dyDescent="0.3">
      <c r="A58" s="328"/>
      <c r="B58" s="329"/>
      <c r="C58" s="352"/>
      <c r="D58" s="352"/>
      <c r="E58" s="352"/>
      <c r="F58" s="352"/>
      <c r="G58" s="352"/>
      <c r="H58" s="352"/>
      <c r="I58" s="353"/>
    </row>
    <row r="59" spans="1:10" s="76" customFormat="1" ht="17.25" customHeight="1" x14ac:dyDescent="0.3">
      <c r="A59" s="328"/>
      <c r="B59" s="329"/>
      <c r="C59" s="354"/>
      <c r="D59" s="352"/>
      <c r="E59" s="352"/>
      <c r="F59" s="352"/>
      <c r="G59" s="352"/>
      <c r="H59" s="352"/>
      <c r="I59" s="353"/>
    </row>
    <row r="60" spans="1:10" s="76" customFormat="1" ht="17.25" customHeight="1" thickBot="1" x14ac:dyDescent="0.35">
      <c r="A60" s="330"/>
      <c r="B60" s="331"/>
      <c r="C60" s="345"/>
      <c r="D60" s="345"/>
      <c r="E60" s="345"/>
      <c r="F60" s="345"/>
      <c r="G60" s="345"/>
      <c r="H60" s="345"/>
      <c r="I60" s="346"/>
    </row>
    <row r="61" spans="1:10" s="76" customFormat="1" ht="17.25" customHeight="1" x14ac:dyDescent="0.3">
      <c r="A61" s="326" t="s">
        <v>73</v>
      </c>
      <c r="B61" s="327"/>
      <c r="C61" s="389"/>
      <c r="D61" s="368"/>
      <c r="E61" s="368"/>
      <c r="F61" s="368"/>
      <c r="G61" s="368"/>
      <c r="H61" s="368"/>
      <c r="I61" s="369"/>
    </row>
    <row r="62" spans="1:10" s="76" customFormat="1" ht="17.25" customHeight="1" x14ac:dyDescent="0.3">
      <c r="A62" s="328"/>
      <c r="B62" s="329"/>
      <c r="C62" s="393"/>
      <c r="D62" s="394"/>
      <c r="E62" s="394"/>
      <c r="F62" s="394"/>
      <c r="G62" s="394"/>
      <c r="H62" s="394"/>
      <c r="I62" s="395"/>
    </row>
    <row r="63" spans="1:10" s="76" customFormat="1" ht="17.25" customHeight="1" x14ac:dyDescent="0.3">
      <c r="A63" s="328"/>
      <c r="B63" s="329"/>
      <c r="C63" s="393"/>
      <c r="D63" s="394"/>
      <c r="E63" s="394"/>
      <c r="F63" s="394"/>
      <c r="G63" s="394"/>
      <c r="H63" s="394"/>
      <c r="I63" s="395"/>
    </row>
    <row r="64" spans="1:10" s="76" customFormat="1" ht="17.25" customHeight="1" thickBot="1" x14ac:dyDescent="0.35">
      <c r="A64" s="330"/>
      <c r="B64" s="331"/>
      <c r="C64" s="345"/>
      <c r="D64" s="345"/>
      <c r="E64" s="345"/>
      <c r="F64" s="345"/>
      <c r="G64" s="345"/>
      <c r="H64" s="345"/>
      <c r="I64" s="346"/>
    </row>
    <row r="65" spans="1:9" s="76" customFormat="1" ht="17.25" customHeight="1" x14ac:dyDescent="0.3">
      <c r="A65" s="363" t="s">
        <v>46</v>
      </c>
      <c r="B65" s="366" t="s">
        <v>47</v>
      </c>
      <c r="C65" s="368"/>
      <c r="D65" s="368"/>
      <c r="E65" s="368"/>
      <c r="F65" s="368"/>
      <c r="G65" s="368"/>
      <c r="H65" s="368"/>
      <c r="I65" s="369"/>
    </row>
    <row r="66" spans="1:9" s="76" customFormat="1" ht="17.25" customHeight="1" x14ac:dyDescent="0.3">
      <c r="A66" s="364"/>
      <c r="B66" s="367"/>
      <c r="C66" s="350"/>
      <c r="D66" s="350"/>
      <c r="E66" s="350"/>
      <c r="F66" s="350"/>
      <c r="G66" s="350"/>
      <c r="H66" s="350"/>
      <c r="I66" s="351"/>
    </row>
    <row r="67" spans="1:9" s="76" customFormat="1" ht="17.25" customHeight="1" x14ac:dyDescent="0.3">
      <c r="A67" s="364"/>
      <c r="B67" s="370" t="s">
        <v>48</v>
      </c>
      <c r="C67" s="352"/>
      <c r="D67" s="352"/>
      <c r="E67" s="352"/>
      <c r="F67" s="352"/>
      <c r="G67" s="352"/>
      <c r="H67" s="352"/>
      <c r="I67" s="353"/>
    </row>
    <row r="68" spans="1:9" s="76" customFormat="1" ht="17.25" customHeight="1" x14ac:dyDescent="0.3">
      <c r="A68" s="364"/>
      <c r="B68" s="367"/>
      <c r="C68" s="350"/>
      <c r="D68" s="350"/>
      <c r="E68" s="350"/>
      <c r="F68" s="350"/>
      <c r="G68" s="350"/>
      <c r="H68" s="350"/>
      <c r="I68" s="351"/>
    </row>
    <row r="69" spans="1:9" s="76" customFormat="1" ht="17.25" customHeight="1" thickBot="1" x14ac:dyDescent="0.35">
      <c r="A69" s="365"/>
      <c r="B69" s="371"/>
      <c r="C69" s="362"/>
      <c r="D69" s="345"/>
      <c r="E69" s="345"/>
      <c r="F69" s="345"/>
      <c r="G69" s="345"/>
      <c r="H69" s="345"/>
      <c r="I69" s="346"/>
    </row>
    <row r="70" spans="1:9" s="76" customFormat="1" ht="17.25" customHeight="1" x14ac:dyDescent="0.3">
      <c r="A70" s="326" t="s">
        <v>49</v>
      </c>
      <c r="B70" s="327"/>
      <c r="C70" s="350"/>
      <c r="D70" s="350"/>
      <c r="E70" s="350"/>
      <c r="F70" s="350"/>
      <c r="G70" s="350"/>
      <c r="H70" s="350"/>
      <c r="I70" s="351"/>
    </row>
    <row r="71" spans="1:9" s="76" customFormat="1" ht="17.25" customHeight="1" x14ac:dyDescent="0.3">
      <c r="A71" s="328"/>
      <c r="B71" s="329"/>
      <c r="C71" s="350"/>
      <c r="D71" s="350"/>
      <c r="E71" s="350"/>
      <c r="F71" s="350"/>
      <c r="G71" s="350"/>
      <c r="H71" s="350"/>
      <c r="I71" s="351"/>
    </row>
    <row r="72" spans="1:9" s="76" customFormat="1" ht="17.25" customHeight="1" thickBot="1" x14ac:dyDescent="0.35">
      <c r="A72" s="330"/>
      <c r="B72" s="331"/>
      <c r="C72" s="362"/>
      <c r="D72" s="345"/>
      <c r="E72" s="345"/>
      <c r="F72" s="345"/>
      <c r="G72" s="345"/>
      <c r="H72" s="345"/>
      <c r="I72" s="346"/>
    </row>
    <row r="73" spans="1:9" s="76" customFormat="1" ht="17.25" customHeight="1" x14ac:dyDescent="0.3">
      <c r="A73" s="326" t="s">
        <v>50</v>
      </c>
      <c r="B73" s="327"/>
      <c r="C73" s="389"/>
      <c r="D73" s="368"/>
      <c r="E73" s="368"/>
      <c r="F73" s="368"/>
      <c r="G73" s="368"/>
      <c r="H73" s="368"/>
      <c r="I73" s="369"/>
    </row>
    <row r="74" spans="1:9" s="76" customFormat="1" ht="17.25" customHeight="1" thickBot="1" x14ac:dyDescent="0.35">
      <c r="A74" s="330"/>
      <c r="B74" s="331"/>
      <c r="C74" s="354"/>
      <c r="D74" s="352"/>
      <c r="E74" s="352"/>
      <c r="F74" s="352"/>
      <c r="G74" s="352"/>
      <c r="H74" s="352"/>
      <c r="I74" s="353"/>
    </row>
    <row r="75" spans="1:9" s="76" customFormat="1" ht="17.25" customHeight="1" x14ac:dyDescent="0.3">
      <c r="A75" s="326" t="s">
        <v>51</v>
      </c>
      <c r="B75" s="327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/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/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375" t="s">
        <v>61</v>
      </c>
      <c r="B78" s="376"/>
      <c r="C78" s="382" t="s">
        <v>62</v>
      </c>
      <c r="D78" s="383"/>
      <c r="E78" s="384" t="s">
        <v>63</v>
      </c>
      <c r="F78" s="383"/>
      <c r="G78" s="385" t="s">
        <v>64</v>
      </c>
      <c r="H78" s="386"/>
      <c r="I78" s="90" t="s">
        <v>65</v>
      </c>
    </row>
    <row r="79" spans="1:9" s="76" customFormat="1" ht="17.25" customHeight="1" thickBot="1" x14ac:dyDescent="0.35">
      <c r="A79" s="377"/>
      <c r="B79" s="378"/>
      <c r="C79" s="92"/>
      <c r="D79" s="93"/>
      <c r="E79" s="94"/>
      <c r="F79" s="93"/>
      <c r="G79" s="387"/>
      <c r="H79" s="388"/>
      <c r="I79" s="95"/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372" t="s">
        <v>66</v>
      </c>
      <c r="I80" s="372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1:I1"/>
    <mergeCell ref="A2:B2"/>
    <mergeCell ref="C2:D2"/>
    <mergeCell ref="E2:E3"/>
    <mergeCell ref="F2:G2"/>
    <mergeCell ref="H2:I2"/>
    <mergeCell ref="A3:B3"/>
    <mergeCell ref="F3:G3"/>
    <mergeCell ref="H3:I3"/>
    <mergeCell ref="A4:H4"/>
    <mergeCell ref="A7:H7"/>
    <mergeCell ref="A9:A11"/>
    <mergeCell ref="B9:B11"/>
    <mergeCell ref="C9:D9"/>
    <mergeCell ref="E9:F9"/>
    <mergeCell ref="G9:H9"/>
    <mergeCell ref="A12:A51"/>
    <mergeCell ref="A52:B56"/>
    <mergeCell ref="C53:C54"/>
    <mergeCell ref="D53:D54"/>
    <mergeCell ref="E53:E54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opLeftCell="A25" zoomScale="90" zoomScaleNormal="90" workbookViewId="0">
      <selection activeCell="L24" sqref="L24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296" t="s">
        <v>0</v>
      </c>
      <c r="B1" s="297"/>
      <c r="C1" s="297"/>
      <c r="D1" s="297"/>
      <c r="E1" s="297"/>
      <c r="F1" s="297"/>
      <c r="G1" s="297"/>
      <c r="H1" s="297"/>
      <c r="I1" s="298"/>
    </row>
    <row r="2" spans="1:9" x14ac:dyDescent="0.3">
      <c r="A2" s="299" t="s">
        <v>1</v>
      </c>
      <c r="B2" s="300"/>
      <c r="C2" s="301" t="s">
        <v>475</v>
      </c>
      <c r="D2" s="302"/>
      <c r="E2" s="303" t="s">
        <v>77</v>
      </c>
      <c r="F2" s="305" t="s">
        <v>2</v>
      </c>
      <c r="G2" s="306"/>
      <c r="H2" s="307" t="s">
        <v>76</v>
      </c>
      <c r="I2" s="308"/>
    </row>
    <row r="3" spans="1:9" x14ac:dyDescent="0.3">
      <c r="A3" s="309" t="s">
        <v>3</v>
      </c>
      <c r="B3" s="310"/>
      <c r="C3" s="4" t="s">
        <v>476</v>
      </c>
      <c r="D3" s="5" t="s">
        <v>4</v>
      </c>
      <c r="E3" s="304"/>
      <c r="F3" s="311" t="s">
        <v>484</v>
      </c>
      <c r="G3" s="312"/>
      <c r="H3" s="313">
        <f>G11+'17일'!H3:I3</f>
        <v>32032900</v>
      </c>
      <c r="I3" s="314"/>
    </row>
    <row r="4" spans="1:9" ht="7.5" customHeight="1" x14ac:dyDescent="0.3">
      <c r="A4" s="315"/>
      <c r="B4" s="316"/>
      <c r="C4" s="316"/>
      <c r="D4" s="316"/>
      <c r="E4" s="316"/>
      <c r="F4" s="316"/>
      <c r="G4" s="316"/>
      <c r="H4" s="316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485</v>
      </c>
      <c r="F6" s="15" t="s">
        <v>486</v>
      </c>
      <c r="G6" s="16" t="s">
        <v>487</v>
      </c>
      <c r="H6" s="17">
        <v>0.34</v>
      </c>
      <c r="I6" s="18">
        <v>0.25</v>
      </c>
    </row>
    <row r="7" spans="1:9" ht="7.5" customHeight="1" x14ac:dyDescent="0.3">
      <c r="A7" s="315"/>
      <c r="B7" s="316"/>
      <c r="C7" s="316"/>
      <c r="D7" s="316"/>
      <c r="E7" s="316"/>
      <c r="F7" s="316"/>
      <c r="G7" s="316"/>
      <c r="H7" s="316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79" t="s">
        <v>10</v>
      </c>
      <c r="B9" s="317" t="s">
        <v>11</v>
      </c>
      <c r="C9" s="320" t="s">
        <v>68</v>
      </c>
      <c r="D9" s="303"/>
      <c r="E9" s="303" t="s">
        <v>67</v>
      </c>
      <c r="F9" s="303"/>
      <c r="G9" s="303" t="s">
        <v>69</v>
      </c>
      <c r="H9" s="303"/>
      <c r="I9" s="373" t="s">
        <v>78</v>
      </c>
    </row>
    <row r="10" spans="1:9" ht="18" customHeight="1" x14ac:dyDescent="0.3">
      <c r="A10" s="380"/>
      <c r="B10" s="318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74"/>
    </row>
    <row r="11" spans="1:9" ht="17.25" thickBot="1" x14ac:dyDescent="0.35">
      <c r="A11" s="381"/>
      <c r="B11" s="319"/>
      <c r="C11" s="101">
        <v>1269100</v>
      </c>
      <c r="D11" s="102">
        <v>83</v>
      </c>
      <c r="E11" s="109">
        <f>SUM(E55:I56)</f>
        <v>414700</v>
      </c>
      <c r="F11" s="109">
        <f>SUM(E53:I54)</f>
        <v>19</v>
      </c>
      <c r="G11" s="110">
        <f>C11+E11</f>
        <v>1683800</v>
      </c>
      <c r="H11" s="110">
        <f>D11+F11</f>
        <v>102</v>
      </c>
      <c r="I11" s="111">
        <f>G11/H11</f>
        <v>16507.843137254902</v>
      </c>
    </row>
    <row r="12" spans="1:9" ht="30" customHeight="1" x14ac:dyDescent="0.3">
      <c r="A12" s="321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24" t="s">
        <v>19</v>
      </c>
      <c r="G12" s="325"/>
      <c r="H12" s="158" t="s">
        <v>20</v>
      </c>
      <c r="I12" s="100" t="s">
        <v>21</v>
      </c>
    </row>
    <row r="13" spans="1:9" ht="17.25" customHeight="1" x14ac:dyDescent="0.3">
      <c r="A13" s="322"/>
      <c r="B13" s="21" t="s">
        <v>23</v>
      </c>
      <c r="C13" s="22">
        <v>19</v>
      </c>
      <c r="D13" s="23"/>
      <c r="E13" s="22">
        <v>1</v>
      </c>
      <c r="F13" s="24"/>
      <c r="G13" s="25"/>
      <c r="H13" s="23"/>
      <c r="I13" s="26">
        <f>C13-D13-D14*1/2-E13-E14*1/2+F13-H13-H14*1/2-I14*1/2</f>
        <v>18</v>
      </c>
    </row>
    <row r="14" spans="1:9" ht="17.25" customHeight="1" x14ac:dyDescent="0.3">
      <c r="A14" s="322"/>
      <c r="B14" s="27" t="s">
        <v>24</v>
      </c>
      <c r="C14" s="28"/>
      <c r="D14" s="29"/>
      <c r="E14" s="30"/>
      <c r="F14" s="31"/>
      <c r="G14" s="25"/>
      <c r="H14" s="29"/>
      <c r="I14" s="32"/>
    </row>
    <row r="15" spans="1:9" ht="17.25" customHeight="1" x14ac:dyDescent="0.3">
      <c r="A15" s="322"/>
      <c r="B15" s="27" t="s">
        <v>25</v>
      </c>
      <c r="C15" s="33">
        <v>16</v>
      </c>
      <c r="D15" s="29"/>
      <c r="E15" s="30"/>
      <c r="F15" s="34"/>
      <c r="G15" s="25"/>
      <c r="H15" s="29"/>
      <c r="I15" s="35">
        <f>C15-D15-D16*1/2-E15-E16*1/2+F15-H15-H16*1/2-I16*1/2</f>
        <v>16</v>
      </c>
    </row>
    <row r="16" spans="1:9" ht="17.25" customHeight="1" x14ac:dyDescent="0.3">
      <c r="A16" s="322"/>
      <c r="B16" s="27" t="s">
        <v>26</v>
      </c>
      <c r="C16" s="28"/>
      <c r="D16" s="29"/>
      <c r="E16" s="30"/>
      <c r="F16" s="31"/>
      <c r="G16" s="25"/>
      <c r="H16" s="29"/>
      <c r="I16" s="36"/>
    </row>
    <row r="17" spans="1:9" ht="17.25" customHeight="1" x14ac:dyDescent="0.3">
      <c r="A17" s="322"/>
      <c r="B17" s="27" t="s">
        <v>27</v>
      </c>
      <c r="C17" s="33">
        <v>18</v>
      </c>
      <c r="D17" s="29"/>
      <c r="E17" s="30"/>
      <c r="F17" s="34"/>
      <c r="G17" s="118"/>
      <c r="H17" s="29"/>
      <c r="I17" s="37">
        <f>C17-D17-D18*1/2-E17-E18*1/2+F17-H17-H18*1/2-I18*1/2</f>
        <v>17.5</v>
      </c>
    </row>
    <row r="18" spans="1:9" ht="17.25" customHeight="1" x14ac:dyDescent="0.3">
      <c r="A18" s="322"/>
      <c r="B18" s="27" t="s">
        <v>28</v>
      </c>
      <c r="C18" s="28"/>
      <c r="D18" s="29">
        <v>1</v>
      </c>
      <c r="E18" s="30"/>
      <c r="F18" s="31"/>
      <c r="G18" s="25"/>
      <c r="H18" s="29"/>
      <c r="I18" s="36"/>
    </row>
    <row r="19" spans="1:9" ht="17.25" customHeight="1" x14ac:dyDescent="0.3">
      <c r="A19" s="322"/>
      <c r="B19" s="27" t="s">
        <v>29</v>
      </c>
      <c r="C19" s="33">
        <v>16</v>
      </c>
      <c r="D19" s="29"/>
      <c r="E19" s="30"/>
      <c r="F19" s="34"/>
      <c r="G19" s="25"/>
      <c r="H19" s="29">
        <v>1</v>
      </c>
      <c r="I19" s="35">
        <f>C19-D19-D20*1/2-E19-E20*1/2+F19-H19-H20*1/2-I20*1/2</f>
        <v>14.5</v>
      </c>
    </row>
    <row r="20" spans="1:9" ht="17.25" customHeight="1" x14ac:dyDescent="0.3">
      <c r="A20" s="322"/>
      <c r="B20" s="27" t="s">
        <v>30</v>
      </c>
      <c r="C20" s="28"/>
      <c r="D20" s="29"/>
      <c r="E20" s="30">
        <v>1</v>
      </c>
      <c r="F20" s="31"/>
      <c r="G20" s="25"/>
      <c r="H20" s="29"/>
      <c r="I20" s="38"/>
    </row>
    <row r="21" spans="1:9" ht="17.25" customHeight="1" x14ac:dyDescent="0.3">
      <c r="A21" s="322"/>
      <c r="B21" s="39" t="s">
        <v>31</v>
      </c>
      <c r="C21" s="40">
        <v>90</v>
      </c>
      <c r="D21" s="41"/>
      <c r="E21" s="42">
        <v>3</v>
      </c>
      <c r="F21" s="43"/>
      <c r="G21" s="44"/>
      <c r="H21" s="43">
        <v>8</v>
      </c>
      <c r="I21" s="45">
        <f t="shared" ref="I21:I48" si="0">C21-D21-E21+F21-H21</f>
        <v>79</v>
      </c>
    </row>
    <row r="22" spans="1:9" ht="17.25" customHeight="1" x14ac:dyDescent="0.3">
      <c r="A22" s="322"/>
      <c r="B22" s="21" t="s">
        <v>32</v>
      </c>
      <c r="C22" s="46">
        <v>56</v>
      </c>
      <c r="D22" s="23">
        <v>3</v>
      </c>
      <c r="E22" s="47">
        <v>8</v>
      </c>
      <c r="F22" s="48"/>
      <c r="G22" s="25"/>
      <c r="H22" s="48">
        <v>10</v>
      </c>
      <c r="I22" s="49">
        <f t="shared" si="0"/>
        <v>35</v>
      </c>
    </row>
    <row r="23" spans="1:9" ht="17.25" customHeight="1" x14ac:dyDescent="0.3">
      <c r="A23" s="322"/>
      <c r="B23" s="27" t="s">
        <v>33</v>
      </c>
      <c r="C23" s="33">
        <v>177</v>
      </c>
      <c r="D23" s="29">
        <v>1</v>
      </c>
      <c r="E23" s="50">
        <v>4</v>
      </c>
      <c r="F23" s="51"/>
      <c r="G23" s="25"/>
      <c r="H23" s="51">
        <v>8</v>
      </c>
      <c r="I23" s="52">
        <f>C23-D23-D24-E23-E24+F23+F24-H23-H24-I24</f>
        <v>154</v>
      </c>
    </row>
    <row r="24" spans="1:9" ht="17.25" customHeight="1" x14ac:dyDescent="0.3">
      <c r="A24" s="322"/>
      <c r="B24" s="160" t="s">
        <v>34</v>
      </c>
      <c r="C24" s="53"/>
      <c r="D24" s="41">
        <v>1</v>
      </c>
      <c r="E24" s="42">
        <v>2</v>
      </c>
      <c r="F24" s="43"/>
      <c r="G24" s="113"/>
      <c r="H24" s="43">
        <v>7</v>
      </c>
      <c r="I24" s="54"/>
    </row>
    <row r="25" spans="1:9" ht="17.25" customHeight="1" x14ac:dyDescent="0.3">
      <c r="A25" s="322"/>
      <c r="B25" s="21" t="s">
        <v>35</v>
      </c>
      <c r="C25" s="46">
        <v>36</v>
      </c>
      <c r="D25" s="23">
        <v>1</v>
      </c>
      <c r="E25" s="47">
        <v>2</v>
      </c>
      <c r="F25" s="48"/>
      <c r="G25" s="112"/>
      <c r="H25" s="48">
        <v>3</v>
      </c>
      <c r="I25" s="49">
        <f t="shared" si="0"/>
        <v>30</v>
      </c>
    </row>
    <row r="26" spans="1:9" ht="17.25" customHeight="1" x14ac:dyDescent="0.3">
      <c r="A26" s="322"/>
      <c r="B26" s="160" t="s">
        <v>36</v>
      </c>
      <c r="C26" s="55">
        <v>43</v>
      </c>
      <c r="D26" s="41">
        <v>1</v>
      </c>
      <c r="E26" s="42"/>
      <c r="F26" s="43"/>
      <c r="G26" s="113"/>
      <c r="H26" s="43">
        <v>2</v>
      </c>
      <c r="I26" s="45">
        <f t="shared" si="0"/>
        <v>40</v>
      </c>
    </row>
    <row r="27" spans="1:9" ht="17.25" customHeight="1" x14ac:dyDescent="0.3">
      <c r="A27" s="322"/>
      <c r="B27" s="21" t="s">
        <v>37</v>
      </c>
      <c r="C27" s="46">
        <v>33</v>
      </c>
      <c r="D27" s="23"/>
      <c r="E27" s="47"/>
      <c r="F27" s="48"/>
      <c r="G27" s="112"/>
      <c r="H27" s="48">
        <v>5</v>
      </c>
      <c r="I27" s="49">
        <f t="shared" si="0"/>
        <v>28</v>
      </c>
    </row>
    <row r="28" spans="1:9" ht="17.25" customHeight="1" x14ac:dyDescent="0.3">
      <c r="A28" s="322"/>
      <c r="B28" s="160" t="s">
        <v>38</v>
      </c>
      <c r="C28" s="55">
        <v>43</v>
      </c>
      <c r="D28" s="41"/>
      <c r="E28" s="42"/>
      <c r="F28" s="43"/>
      <c r="G28" s="113"/>
      <c r="H28" s="43">
        <v>2</v>
      </c>
      <c r="I28" s="45">
        <f t="shared" si="0"/>
        <v>41</v>
      </c>
    </row>
    <row r="29" spans="1:9" ht="17.25" customHeight="1" x14ac:dyDescent="0.3">
      <c r="A29" s="322"/>
      <c r="B29" s="21" t="s">
        <v>39</v>
      </c>
      <c r="C29" s="46">
        <v>10</v>
      </c>
      <c r="D29" s="23"/>
      <c r="E29" s="47"/>
      <c r="F29" s="48"/>
      <c r="G29" s="25"/>
      <c r="H29" s="48"/>
      <c r="I29" s="49">
        <f t="shared" si="0"/>
        <v>10</v>
      </c>
    </row>
    <row r="30" spans="1:9" ht="17.25" customHeight="1" x14ac:dyDescent="0.3">
      <c r="A30" s="322"/>
      <c r="B30" s="56" t="s">
        <v>40</v>
      </c>
      <c r="C30" s="57">
        <v>89</v>
      </c>
      <c r="D30" s="29"/>
      <c r="E30" s="50"/>
      <c r="F30" s="51"/>
      <c r="G30" s="25"/>
      <c r="H30" s="51">
        <v>1</v>
      </c>
      <c r="I30" s="52">
        <f>C30-D30-D31-E30-E31+F30+F31-H30-H31-I31</f>
        <v>88</v>
      </c>
    </row>
    <row r="31" spans="1:9" ht="17.25" customHeight="1" x14ac:dyDescent="0.3">
      <c r="A31" s="322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22"/>
      <c r="B32" s="179" t="s">
        <v>117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22"/>
      <c r="B33" s="179" t="s">
        <v>119</v>
      </c>
      <c r="C33" s="185"/>
      <c r="D33" s="29"/>
      <c r="E33" s="50"/>
      <c r="F33" s="51"/>
      <c r="G33" s="25"/>
      <c r="H33" s="51"/>
      <c r="I33" s="188"/>
    </row>
    <row r="34" spans="1:9" ht="17.25" customHeight="1" x14ac:dyDescent="0.3">
      <c r="A34" s="322"/>
      <c r="B34" s="179" t="s">
        <v>121</v>
      </c>
      <c r="C34" s="186"/>
      <c r="D34" s="60"/>
      <c r="E34" s="61"/>
      <c r="F34" s="62"/>
      <c r="G34" s="113"/>
      <c r="H34" s="62"/>
      <c r="I34" s="189">
        <v>2</v>
      </c>
    </row>
    <row r="35" spans="1:9" ht="17.25" customHeight="1" x14ac:dyDescent="0.3">
      <c r="A35" s="322"/>
      <c r="B35" s="191" t="s">
        <v>79</v>
      </c>
      <c r="C35" s="281"/>
      <c r="D35" s="23"/>
      <c r="E35" s="47"/>
      <c r="F35" s="48"/>
      <c r="G35" s="116"/>
      <c r="H35" s="48"/>
      <c r="I35" s="282">
        <v>11</v>
      </c>
    </row>
    <row r="36" spans="1:9" ht="17.25" customHeight="1" x14ac:dyDescent="0.3">
      <c r="A36" s="322"/>
      <c r="B36" s="153" t="s">
        <v>80</v>
      </c>
      <c r="C36" s="121">
        <v>19</v>
      </c>
      <c r="D36" s="122"/>
      <c r="E36" s="123"/>
      <c r="F36" s="124"/>
      <c r="G36" s="112"/>
      <c r="H36" s="124"/>
      <c r="I36" s="52">
        <f>C36-D36-E36+F36-H36</f>
        <v>19</v>
      </c>
    </row>
    <row r="37" spans="1:9" ht="17.25" customHeight="1" x14ac:dyDescent="0.3">
      <c r="A37" s="322"/>
      <c r="B37" s="163" t="s">
        <v>107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22"/>
      <c r="B38" s="178" t="s">
        <v>131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22"/>
      <c r="B39" s="178" t="s">
        <v>109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22"/>
      <c r="B40" s="178" t="s">
        <v>133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22"/>
      <c r="B41" s="178" t="s">
        <v>111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22"/>
      <c r="B42" s="178" t="s">
        <v>135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22"/>
      <c r="B43" s="178" t="s">
        <v>113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22"/>
      <c r="B44" s="178" t="s">
        <v>125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22"/>
      <c r="B45" s="164" t="s">
        <v>115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22"/>
      <c r="B46" s="120" t="s">
        <v>89</v>
      </c>
      <c r="C46" s="154">
        <v>10</v>
      </c>
      <c r="D46" s="23"/>
      <c r="E46" s="47"/>
      <c r="F46" s="48"/>
      <c r="G46" s="116"/>
      <c r="H46" s="48"/>
      <c r="I46" s="49">
        <f t="shared" si="0"/>
        <v>10</v>
      </c>
    </row>
    <row r="47" spans="1:9" ht="17.25" customHeight="1" x14ac:dyDescent="0.3">
      <c r="A47" s="322"/>
      <c r="B47" s="120" t="s">
        <v>88</v>
      </c>
      <c r="C47" s="121"/>
      <c r="D47" s="122"/>
      <c r="E47" s="123"/>
      <c r="F47" s="124"/>
      <c r="G47" s="112"/>
      <c r="H47" s="124"/>
      <c r="I47" s="52">
        <f t="shared" si="0"/>
        <v>0</v>
      </c>
    </row>
    <row r="48" spans="1:9" ht="17.25" customHeight="1" x14ac:dyDescent="0.3">
      <c r="A48" s="322"/>
      <c r="B48" s="56" t="s">
        <v>123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22"/>
      <c r="B49" s="179" t="s">
        <v>127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22"/>
      <c r="B50" s="58" t="s">
        <v>129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23"/>
      <c r="B51" s="64" t="s">
        <v>42</v>
      </c>
      <c r="C51" s="65">
        <f>SUM(C13:C50)</f>
        <v>675</v>
      </c>
      <c r="D51" s="66">
        <f>SUM(D13:D46)</f>
        <v>8</v>
      </c>
      <c r="E51" s="67">
        <f>SUM(E13:E46)</f>
        <v>21</v>
      </c>
      <c r="F51" s="67">
        <f>SUM(F13:F46)</f>
        <v>0</v>
      </c>
      <c r="G51" s="68" t="s">
        <v>22</v>
      </c>
      <c r="H51" s="69">
        <f>SUM(H13:H46)</f>
        <v>47</v>
      </c>
      <c r="I51" s="70">
        <f>SUM(I13:I46)</f>
        <v>613</v>
      </c>
    </row>
    <row r="52" spans="1:10" ht="17.25" customHeight="1" x14ac:dyDescent="0.3">
      <c r="A52" s="326" t="s">
        <v>72</v>
      </c>
      <c r="B52" s="327"/>
      <c r="C52" s="71"/>
      <c r="D52" s="72" t="s">
        <v>163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28"/>
      <c r="B53" s="329"/>
      <c r="C53" s="332" t="s">
        <v>74</v>
      </c>
      <c r="D53" s="334"/>
      <c r="E53" s="336">
        <v>11</v>
      </c>
      <c r="F53" s="336">
        <v>1</v>
      </c>
      <c r="G53" s="336">
        <v>6</v>
      </c>
      <c r="H53" s="336"/>
      <c r="I53" s="339">
        <v>1</v>
      </c>
      <c r="J53" s="174"/>
    </row>
    <row r="54" spans="1:10" s="76" customFormat="1" ht="17.25" customHeight="1" x14ac:dyDescent="0.3">
      <c r="A54" s="328"/>
      <c r="B54" s="329"/>
      <c r="C54" s="333"/>
      <c r="D54" s="335"/>
      <c r="E54" s="337"/>
      <c r="F54" s="337"/>
      <c r="G54" s="337"/>
      <c r="H54" s="338"/>
      <c r="I54" s="340"/>
    </row>
    <row r="55" spans="1:10" s="76" customFormat="1" ht="17.25" customHeight="1" x14ac:dyDescent="0.3">
      <c r="A55" s="328"/>
      <c r="B55" s="329"/>
      <c r="C55" s="332" t="s">
        <v>75</v>
      </c>
      <c r="D55" s="334"/>
      <c r="E55" s="343">
        <v>217200</v>
      </c>
      <c r="F55" s="343">
        <v>19000</v>
      </c>
      <c r="G55" s="343">
        <v>68500</v>
      </c>
      <c r="H55" s="336"/>
      <c r="I55" s="347">
        <v>110000</v>
      </c>
    </row>
    <row r="56" spans="1:10" s="76" customFormat="1" ht="17.25" customHeight="1" thickBot="1" x14ac:dyDescent="0.35">
      <c r="A56" s="330"/>
      <c r="B56" s="331"/>
      <c r="C56" s="341"/>
      <c r="D56" s="342"/>
      <c r="E56" s="344"/>
      <c r="F56" s="344"/>
      <c r="G56" s="344"/>
      <c r="H56" s="344"/>
      <c r="I56" s="348"/>
    </row>
    <row r="57" spans="1:10" s="76" customFormat="1" ht="17.25" customHeight="1" x14ac:dyDescent="0.3">
      <c r="A57" s="326" t="s">
        <v>45</v>
      </c>
      <c r="B57" s="327"/>
      <c r="C57" s="349"/>
      <c r="D57" s="350"/>
      <c r="E57" s="350"/>
      <c r="F57" s="350"/>
      <c r="G57" s="350"/>
      <c r="H57" s="350"/>
      <c r="I57" s="351"/>
    </row>
    <row r="58" spans="1:10" s="76" customFormat="1" ht="17.25" customHeight="1" x14ac:dyDescent="0.3">
      <c r="A58" s="328"/>
      <c r="B58" s="329"/>
      <c r="C58" s="352"/>
      <c r="D58" s="352"/>
      <c r="E58" s="352"/>
      <c r="F58" s="352"/>
      <c r="G58" s="352"/>
      <c r="H58" s="352"/>
      <c r="I58" s="353"/>
    </row>
    <row r="59" spans="1:10" s="76" customFormat="1" ht="17.25" customHeight="1" x14ac:dyDescent="0.3">
      <c r="A59" s="328"/>
      <c r="B59" s="329"/>
      <c r="C59" s="354"/>
      <c r="D59" s="352"/>
      <c r="E59" s="352"/>
      <c r="F59" s="352"/>
      <c r="G59" s="352"/>
      <c r="H59" s="352"/>
      <c r="I59" s="353"/>
    </row>
    <row r="60" spans="1:10" s="76" customFormat="1" ht="17.25" customHeight="1" thickBot="1" x14ac:dyDescent="0.35">
      <c r="A60" s="330"/>
      <c r="B60" s="331"/>
      <c r="C60" s="345"/>
      <c r="D60" s="345"/>
      <c r="E60" s="345"/>
      <c r="F60" s="345"/>
      <c r="G60" s="345"/>
      <c r="H60" s="345"/>
      <c r="I60" s="346"/>
    </row>
    <row r="61" spans="1:10" s="76" customFormat="1" ht="17.25" customHeight="1" x14ac:dyDescent="0.3">
      <c r="A61" s="326" t="s">
        <v>73</v>
      </c>
      <c r="B61" s="327"/>
      <c r="C61" s="389" t="s">
        <v>483</v>
      </c>
      <c r="D61" s="368"/>
      <c r="E61" s="368"/>
      <c r="F61" s="368"/>
      <c r="G61" s="368"/>
      <c r="H61" s="368"/>
      <c r="I61" s="369"/>
    </row>
    <row r="62" spans="1:10" s="76" customFormat="1" ht="17.25" customHeight="1" x14ac:dyDescent="0.3">
      <c r="A62" s="328"/>
      <c r="B62" s="329"/>
      <c r="C62" s="354" t="s">
        <v>488</v>
      </c>
      <c r="D62" s="352"/>
      <c r="E62" s="352"/>
      <c r="F62" s="352"/>
      <c r="G62" s="352"/>
      <c r="H62" s="352"/>
      <c r="I62" s="353"/>
    </row>
    <row r="63" spans="1:10" s="76" customFormat="1" ht="17.25" customHeight="1" x14ac:dyDescent="0.3">
      <c r="A63" s="328"/>
      <c r="B63" s="329"/>
      <c r="C63" s="354" t="s">
        <v>489</v>
      </c>
      <c r="D63" s="352"/>
      <c r="E63" s="352"/>
      <c r="F63" s="352"/>
      <c r="G63" s="352"/>
      <c r="H63" s="352"/>
      <c r="I63" s="353"/>
    </row>
    <row r="64" spans="1:10" s="76" customFormat="1" ht="17.25" customHeight="1" thickBot="1" x14ac:dyDescent="0.35">
      <c r="A64" s="330"/>
      <c r="B64" s="331"/>
      <c r="C64" s="345"/>
      <c r="D64" s="345"/>
      <c r="E64" s="345"/>
      <c r="F64" s="345"/>
      <c r="G64" s="345"/>
      <c r="H64" s="345"/>
      <c r="I64" s="346"/>
    </row>
    <row r="65" spans="1:9" s="76" customFormat="1" ht="17.25" customHeight="1" x14ac:dyDescent="0.3">
      <c r="A65" s="363" t="s">
        <v>46</v>
      </c>
      <c r="B65" s="366" t="s">
        <v>47</v>
      </c>
      <c r="C65" s="368" t="s">
        <v>492</v>
      </c>
      <c r="D65" s="368"/>
      <c r="E65" s="368"/>
      <c r="F65" s="368"/>
      <c r="G65" s="368"/>
      <c r="H65" s="368"/>
      <c r="I65" s="369"/>
    </row>
    <row r="66" spans="1:9" s="76" customFormat="1" ht="17.25" customHeight="1" x14ac:dyDescent="0.3">
      <c r="A66" s="364"/>
      <c r="B66" s="367"/>
      <c r="C66" s="350"/>
      <c r="D66" s="350"/>
      <c r="E66" s="350"/>
      <c r="F66" s="350"/>
      <c r="G66" s="350"/>
      <c r="H66" s="350"/>
      <c r="I66" s="351"/>
    </row>
    <row r="67" spans="1:9" s="76" customFormat="1" ht="17.25" customHeight="1" x14ac:dyDescent="0.3">
      <c r="A67" s="364"/>
      <c r="B67" s="370" t="s">
        <v>48</v>
      </c>
      <c r="C67" s="352"/>
      <c r="D67" s="352"/>
      <c r="E67" s="352"/>
      <c r="F67" s="352"/>
      <c r="G67" s="352"/>
      <c r="H67" s="352"/>
      <c r="I67" s="353"/>
    </row>
    <row r="68" spans="1:9" s="76" customFormat="1" ht="17.25" customHeight="1" x14ac:dyDescent="0.3">
      <c r="A68" s="364"/>
      <c r="B68" s="367"/>
      <c r="C68" s="350"/>
      <c r="D68" s="350"/>
      <c r="E68" s="350"/>
      <c r="F68" s="350"/>
      <c r="G68" s="350"/>
      <c r="H68" s="350"/>
      <c r="I68" s="351"/>
    </row>
    <row r="69" spans="1:9" s="76" customFormat="1" ht="17.25" customHeight="1" thickBot="1" x14ac:dyDescent="0.35">
      <c r="A69" s="365"/>
      <c r="B69" s="371"/>
      <c r="C69" s="362"/>
      <c r="D69" s="345"/>
      <c r="E69" s="345"/>
      <c r="F69" s="345"/>
      <c r="G69" s="345"/>
      <c r="H69" s="345"/>
      <c r="I69" s="346"/>
    </row>
    <row r="70" spans="1:9" s="76" customFormat="1" ht="17.25" customHeight="1" x14ac:dyDescent="0.3">
      <c r="A70" s="326" t="s">
        <v>49</v>
      </c>
      <c r="B70" s="327"/>
      <c r="C70" s="350" t="s">
        <v>491</v>
      </c>
      <c r="D70" s="350"/>
      <c r="E70" s="350"/>
      <c r="F70" s="350"/>
      <c r="G70" s="350"/>
      <c r="H70" s="350"/>
      <c r="I70" s="351"/>
    </row>
    <row r="71" spans="1:9" s="76" customFormat="1" ht="17.25" customHeight="1" x14ac:dyDescent="0.3">
      <c r="A71" s="328"/>
      <c r="B71" s="329"/>
      <c r="C71" s="350"/>
      <c r="D71" s="350"/>
      <c r="E71" s="350"/>
      <c r="F71" s="350"/>
      <c r="G71" s="350"/>
      <c r="H71" s="350"/>
      <c r="I71" s="351"/>
    </row>
    <row r="72" spans="1:9" s="76" customFormat="1" ht="17.25" customHeight="1" thickBot="1" x14ac:dyDescent="0.35">
      <c r="A72" s="330"/>
      <c r="B72" s="331"/>
      <c r="C72" s="362"/>
      <c r="D72" s="345"/>
      <c r="E72" s="345"/>
      <c r="F72" s="345"/>
      <c r="G72" s="345"/>
      <c r="H72" s="345"/>
      <c r="I72" s="346"/>
    </row>
    <row r="73" spans="1:9" s="76" customFormat="1" ht="17.25" customHeight="1" x14ac:dyDescent="0.3">
      <c r="A73" s="326" t="s">
        <v>50</v>
      </c>
      <c r="B73" s="327"/>
      <c r="C73" s="389" t="s">
        <v>490</v>
      </c>
      <c r="D73" s="368"/>
      <c r="E73" s="368"/>
      <c r="F73" s="368"/>
      <c r="G73" s="368"/>
      <c r="H73" s="368"/>
      <c r="I73" s="369"/>
    </row>
    <row r="74" spans="1:9" s="76" customFormat="1" ht="17.25" customHeight="1" thickBot="1" x14ac:dyDescent="0.35">
      <c r="A74" s="330"/>
      <c r="B74" s="331"/>
      <c r="C74" s="354"/>
      <c r="D74" s="352"/>
      <c r="E74" s="352"/>
      <c r="F74" s="352"/>
      <c r="G74" s="352"/>
      <c r="H74" s="352"/>
      <c r="I74" s="353"/>
    </row>
    <row r="75" spans="1:9" s="76" customFormat="1" ht="17.25" customHeight="1" x14ac:dyDescent="0.3">
      <c r="A75" s="326" t="s">
        <v>51</v>
      </c>
      <c r="B75" s="327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477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478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375" t="s">
        <v>61</v>
      </c>
      <c r="B78" s="376"/>
      <c r="C78" s="382" t="s">
        <v>62</v>
      </c>
      <c r="D78" s="383"/>
      <c r="E78" s="384" t="s">
        <v>63</v>
      </c>
      <c r="F78" s="383"/>
      <c r="G78" s="385" t="s">
        <v>64</v>
      </c>
      <c r="H78" s="386"/>
      <c r="I78" s="90" t="s">
        <v>65</v>
      </c>
    </row>
    <row r="79" spans="1:9" s="76" customFormat="1" ht="17.25" customHeight="1" thickBot="1" x14ac:dyDescent="0.35">
      <c r="A79" s="377"/>
      <c r="B79" s="378"/>
      <c r="C79" s="92">
        <v>0.25</v>
      </c>
      <c r="D79" s="93" t="s">
        <v>479</v>
      </c>
      <c r="E79" s="94">
        <v>0.8125</v>
      </c>
      <c r="F79" s="93" t="s">
        <v>480</v>
      </c>
      <c r="G79" s="387" t="s">
        <v>481</v>
      </c>
      <c r="H79" s="388"/>
      <c r="I79" s="95" t="s">
        <v>482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372" t="s">
        <v>66</v>
      </c>
      <c r="I80" s="372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1:I1"/>
    <mergeCell ref="A2:B2"/>
    <mergeCell ref="C2:D2"/>
    <mergeCell ref="E2:E3"/>
    <mergeCell ref="F2:G2"/>
    <mergeCell ref="H2:I2"/>
    <mergeCell ref="A3:B3"/>
    <mergeCell ref="F3:G3"/>
    <mergeCell ref="H3:I3"/>
    <mergeCell ref="A4:H4"/>
    <mergeCell ref="A7:H7"/>
    <mergeCell ref="A9:A11"/>
    <mergeCell ref="B9:B11"/>
    <mergeCell ref="C9:D9"/>
    <mergeCell ref="E9:F9"/>
    <mergeCell ref="G9:H9"/>
    <mergeCell ref="A12:A51"/>
    <mergeCell ref="A52:B56"/>
    <mergeCell ref="C53:C54"/>
    <mergeCell ref="D53:D54"/>
    <mergeCell ref="E53:E54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opLeftCell="A16" zoomScale="90" zoomScaleNormal="90" workbookViewId="0">
      <selection activeCell="E13" sqref="E13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296" t="s">
        <v>0</v>
      </c>
      <c r="B1" s="297"/>
      <c r="C1" s="297"/>
      <c r="D1" s="297"/>
      <c r="E1" s="297"/>
      <c r="F1" s="297"/>
      <c r="G1" s="297"/>
      <c r="H1" s="297"/>
      <c r="I1" s="298"/>
    </row>
    <row r="2" spans="1:9" x14ac:dyDescent="0.3">
      <c r="A2" s="299" t="s">
        <v>1</v>
      </c>
      <c r="B2" s="300"/>
      <c r="C2" s="301" t="s">
        <v>493</v>
      </c>
      <c r="D2" s="302"/>
      <c r="E2" s="303" t="s">
        <v>77</v>
      </c>
      <c r="F2" s="305" t="s">
        <v>2</v>
      </c>
      <c r="G2" s="306"/>
      <c r="H2" s="307" t="s">
        <v>76</v>
      </c>
      <c r="I2" s="308"/>
    </row>
    <row r="3" spans="1:9" x14ac:dyDescent="0.3">
      <c r="A3" s="309" t="s">
        <v>3</v>
      </c>
      <c r="B3" s="310"/>
      <c r="C3" s="4" t="s">
        <v>494</v>
      </c>
      <c r="D3" s="5" t="s">
        <v>4</v>
      </c>
      <c r="E3" s="304"/>
      <c r="F3" s="311" t="s">
        <v>495</v>
      </c>
      <c r="G3" s="312"/>
      <c r="H3" s="313">
        <f>G11+'18일'!H3:I3</f>
        <v>34858700</v>
      </c>
      <c r="I3" s="314"/>
    </row>
    <row r="4" spans="1:9" ht="7.5" customHeight="1" x14ac:dyDescent="0.3">
      <c r="A4" s="315"/>
      <c r="B4" s="316"/>
      <c r="C4" s="316"/>
      <c r="D4" s="316"/>
      <c r="E4" s="316"/>
      <c r="F4" s="316"/>
      <c r="G4" s="316"/>
      <c r="H4" s="316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510</v>
      </c>
      <c r="F6" s="15" t="s">
        <v>496</v>
      </c>
      <c r="G6" s="16" t="s">
        <v>497</v>
      </c>
      <c r="H6" s="17">
        <v>0.34</v>
      </c>
      <c r="I6" s="18">
        <v>0.25</v>
      </c>
    </row>
    <row r="7" spans="1:9" ht="7.5" customHeight="1" x14ac:dyDescent="0.3">
      <c r="A7" s="315"/>
      <c r="B7" s="316"/>
      <c r="C7" s="316"/>
      <c r="D7" s="316"/>
      <c r="E7" s="316"/>
      <c r="F7" s="316"/>
      <c r="G7" s="316"/>
      <c r="H7" s="316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79" t="s">
        <v>10</v>
      </c>
      <c r="B9" s="317" t="s">
        <v>11</v>
      </c>
      <c r="C9" s="320" t="s">
        <v>68</v>
      </c>
      <c r="D9" s="303"/>
      <c r="E9" s="303" t="s">
        <v>67</v>
      </c>
      <c r="F9" s="303"/>
      <c r="G9" s="303" t="s">
        <v>69</v>
      </c>
      <c r="H9" s="303"/>
      <c r="I9" s="373" t="s">
        <v>78</v>
      </c>
    </row>
    <row r="10" spans="1:9" ht="18" customHeight="1" x14ac:dyDescent="0.3">
      <c r="A10" s="380"/>
      <c r="B10" s="318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74"/>
    </row>
    <row r="11" spans="1:9" ht="17.25" thickBot="1" x14ac:dyDescent="0.35">
      <c r="A11" s="381"/>
      <c r="B11" s="319"/>
      <c r="C11" s="101">
        <v>2186300</v>
      </c>
      <c r="D11" s="102">
        <v>153</v>
      </c>
      <c r="E11" s="109">
        <f>SUM(E55:I56)</f>
        <v>639500</v>
      </c>
      <c r="F11" s="109">
        <f>SUM(E53:I54)</f>
        <v>14</v>
      </c>
      <c r="G11" s="110">
        <f>C11+E11</f>
        <v>2825800</v>
      </c>
      <c r="H11" s="110">
        <f>D11+F11</f>
        <v>167</v>
      </c>
      <c r="I11" s="111">
        <f>G11/H11</f>
        <v>16920.958083832335</v>
      </c>
    </row>
    <row r="12" spans="1:9" ht="30" customHeight="1" x14ac:dyDescent="0.3">
      <c r="A12" s="321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24" t="s">
        <v>19</v>
      </c>
      <c r="G12" s="325"/>
      <c r="H12" s="158" t="s">
        <v>20</v>
      </c>
      <c r="I12" s="100" t="s">
        <v>21</v>
      </c>
    </row>
    <row r="13" spans="1:9" ht="17.25" customHeight="1" x14ac:dyDescent="0.3">
      <c r="A13" s="322"/>
      <c r="B13" s="21" t="s">
        <v>23</v>
      </c>
      <c r="C13" s="22">
        <v>40</v>
      </c>
      <c r="D13" s="23"/>
      <c r="E13" s="22"/>
      <c r="F13" s="24"/>
      <c r="G13" s="25"/>
      <c r="H13" s="23"/>
      <c r="I13" s="26">
        <f>C13-D13-D14*1/2-E13-E14*1/2+F13-H13-H14*1/2-I14*1/2</f>
        <v>39.5</v>
      </c>
    </row>
    <row r="14" spans="1:9" ht="17.25" customHeight="1" x14ac:dyDescent="0.3">
      <c r="A14" s="322"/>
      <c r="B14" s="27" t="s">
        <v>24</v>
      </c>
      <c r="C14" s="28"/>
      <c r="D14" s="29">
        <v>1</v>
      </c>
      <c r="E14" s="30"/>
      <c r="F14" s="31"/>
      <c r="G14" s="25"/>
      <c r="H14" s="29"/>
      <c r="I14" s="32"/>
    </row>
    <row r="15" spans="1:9" ht="17.25" customHeight="1" x14ac:dyDescent="0.3">
      <c r="A15" s="322"/>
      <c r="B15" s="27" t="s">
        <v>25</v>
      </c>
      <c r="C15" s="33">
        <v>37</v>
      </c>
      <c r="D15" s="29"/>
      <c r="E15" s="30"/>
      <c r="F15" s="34"/>
      <c r="G15" s="25"/>
      <c r="H15" s="29"/>
      <c r="I15" s="35">
        <f>C15-D15-D16*1/2-E15-E16*1/2+F15-H15-H16*1/2-I16*1/2</f>
        <v>37</v>
      </c>
    </row>
    <row r="16" spans="1:9" ht="17.25" customHeight="1" x14ac:dyDescent="0.3">
      <c r="A16" s="322"/>
      <c r="B16" s="27" t="s">
        <v>26</v>
      </c>
      <c r="C16" s="28"/>
      <c r="D16" s="29"/>
      <c r="E16" s="30"/>
      <c r="F16" s="31"/>
      <c r="G16" s="25"/>
      <c r="H16" s="29"/>
      <c r="I16" s="36"/>
    </row>
    <row r="17" spans="1:9" ht="17.25" customHeight="1" x14ac:dyDescent="0.3">
      <c r="A17" s="322"/>
      <c r="B17" s="27" t="s">
        <v>27</v>
      </c>
      <c r="C17" s="33">
        <v>76</v>
      </c>
      <c r="D17" s="29">
        <v>1</v>
      </c>
      <c r="E17" s="30"/>
      <c r="F17" s="34"/>
      <c r="G17" s="118"/>
      <c r="H17" s="29"/>
      <c r="I17" s="37">
        <f>C17-D17-D18*1/2-E17-E18*1/2+F17-H17-H18*1/2-I18*1/2</f>
        <v>74</v>
      </c>
    </row>
    <row r="18" spans="1:9" ht="17.25" customHeight="1" x14ac:dyDescent="0.3">
      <c r="A18" s="322"/>
      <c r="B18" s="27" t="s">
        <v>28</v>
      </c>
      <c r="C18" s="28"/>
      <c r="D18" s="29">
        <v>2</v>
      </c>
      <c r="E18" s="30"/>
      <c r="F18" s="31"/>
      <c r="G18" s="25"/>
      <c r="H18" s="29"/>
      <c r="I18" s="36"/>
    </row>
    <row r="19" spans="1:9" ht="17.25" customHeight="1" x14ac:dyDescent="0.3">
      <c r="A19" s="322"/>
      <c r="B19" s="27" t="s">
        <v>29</v>
      </c>
      <c r="C19" s="33">
        <v>16</v>
      </c>
      <c r="D19" s="29"/>
      <c r="E19" s="30"/>
      <c r="F19" s="34"/>
      <c r="G19" s="25"/>
      <c r="H19" s="29"/>
      <c r="I19" s="35">
        <f>C19-D19-D20*1/2-E19-E20*1/2+F19-H19-H20*1/2-I20*1/2</f>
        <v>16</v>
      </c>
    </row>
    <row r="20" spans="1:9" ht="17.25" customHeight="1" x14ac:dyDescent="0.3">
      <c r="A20" s="322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22"/>
      <c r="B21" s="39" t="s">
        <v>31</v>
      </c>
      <c r="C21" s="40">
        <v>89</v>
      </c>
      <c r="D21" s="41"/>
      <c r="E21" s="42">
        <v>1</v>
      </c>
      <c r="F21" s="43"/>
      <c r="G21" s="44"/>
      <c r="H21" s="43"/>
      <c r="I21" s="45">
        <f t="shared" ref="I21:I48" si="0">C21-D21-E21+F21-H21</f>
        <v>88</v>
      </c>
    </row>
    <row r="22" spans="1:9" ht="17.25" customHeight="1" x14ac:dyDescent="0.3">
      <c r="A22" s="322"/>
      <c r="B22" s="21" t="s">
        <v>32</v>
      </c>
      <c r="C22" s="46">
        <v>49</v>
      </c>
      <c r="D22" s="23"/>
      <c r="E22" s="47"/>
      <c r="F22" s="48"/>
      <c r="G22" s="25"/>
      <c r="H22" s="48"/>
      <c r="I22" s="49">
        <f t="shared" si="0"/>
        <v>49</v>
      </c>
    </row>
    <row r="23" spans="1:9" ht="17.25" customHeight="1" x14ac:dyDescent="0.3">
      <c r="A23" s="322"/>
      <c r="B23" s="27" t="s">
        <v>33</v>
      </c>
      <c r="C23" s="33">
        <v>190</v>
      </c>
      <c r="D23" s="29">
        <v>1</v>
      </c>
      <c r="E23" s="50"/>
      <c r="F23" s="51"/>
      <c r="G23" s="25"/>
      <c r="H23" s="51"/>
      <c r="I23" s="52">
        <f>C23-D23-D24-E23-E24+F23+F24-H23-H24-I24</f>
        <v>189</v>
      </c>
    </row>
    <row r="24" spans="1:9" ht="17.25" customHeight="1" x14ac:dyDescent="0.3">
      <c r="A24" s="322"/>
      <c r="B24" s="160" t="s">
        <v>34</v>
      </c>
      <c r="C24" s="53"/>
      <c r="D24" s="41"/>
      <c r="E24" s="42"/>
      <c r="F24" s="43"/>
      <c r="G24" s="113"/>
      <c r="H24" s="43"/>
      <c r="I24" s="54"/>
    </row>
    <row r="25" spans="1:9" ht="17.25" customHeight="1" x14ac:dyDescent="0.3">
      <c r="A25" s="322"/>
      <c r="B25" s="21" t="s">
        <v>35</v>
      </c>
      <c r="C25" s="46">
        <v>36</v>
      </c>
      <c r="D25" s="23"/>
      <c r="E25" s="47"/>
      <c r="F25" s="48"/>
      <c r="G25" s="112"/>
      <c r="H25" s="48"/>
      <c r="I25" s="49">
        <f t="shared" si="0"/>
        <v>36</v>
      </c>
    </row>
    <row r="26" spans="1:9" ht="17.25" customHeight="1" x14ac:dyDescent="0.3">
      <c r="A26" s="322"/>
      <c r="B26" s="160" t="s">
        <v>36</v>
      </c>
      <c r="C26" s="55">
        <v>43</v>
      </c>
      <c r="D26" s="41"/>
      <c r="E26" s="42"/>
      <c r="F26" s="43"/>
      <c r="G26" s="113"/>
      <c r="H26" s="43"/>
      <c r="I26" s="45">
        <f t="shared" si="0"/>
        <v>43</v>
      </c>
    </row>
    <row r="27" spans="1:9" ht="17.25" customHeight="1" x14ac:dyDescent="0.3">
      <c r="A27" s="322"/>
      <c r="B27" s="21" t="s">
        <v>37</v>
      </c>
      <c r="C27" s="46">
        <v>33</v>
      </c>
      <c r="D27" s="23"/>
      <c r="E27" s="47"/>
      <c r="F27" s="48"/>
      <c r="G27" s="112"/>
      <c r="H27" s="48"/>
      <c r="I27" s="49">
        <f t="shared" si="0"/>
        <v>33</v>
      </c>
    </row>
    <row r="28" spans="1:9" ht="17.25" customHeight="1" x14ac:dyDescent="0.3">
      <c r="A28" s="322"/>
      <c r="B28" s="160" t="s">
        <v>38</v>
      </c>
      <c r="C28" s="55">
        <v>33</v>
      </c>
      <c r="D28" s="41"/>
      <c r="E28" s="42"/>
      <c r="F28" s="43"/>
      <c r="G28" s="113"/>
      <c r="H28" s="43"/>
      <c r="I28" s="45">
        <f t="shared" si="0"/>
        <v>33</v>
      </c>
    </row>
    <row r="29" spans="1:9" ht="17.25" customHeight="1" x14ac:dyDescent="0.3">
      <c r="A29" s="322"/>
      <c r="B29" s="21" t="s">
        <v>39</v>
      </c>
      <c r="C29" s="46">
        <v>10</v>
      </c>
      <c r="D29" s="23"/>
      <c r="E29" s="47"/>
      <c r="F29" s="48"/>
      <c r="G29" s="25"/>
      <c r="H29" s="48"/>
      <c r="I29" s="49">
        <f t="shared" si="0"/>
        <v>10</v>
      </c>
    </row>
    <row r="30" spans="1:9" ht="17.25" customHeight="1" x14ac:dyDescent="0.3">
      <c r="A30" s="322"/>
      <c r="B30" s="56" t="s">
        <v>40</v>
      </c>
      <c r="C30" s="57">
        <v>119</v>
      </c>
      <c r="D30" s="29">
        <v>3</v>
      </c>
      <c r="E30" s="50"/>
      <c r="F30" s="51"/>
      <c r="G30" s="25"/>
      <c r="H30" s="51"/>
      <c r="I30" s="52">
        <f>C30-D30-D31-E30-E31+F30+F31-H30-H31-I31</f>
        <v>116</v>
      </c>
    </row>
    <row r="31" spans="1:9" ht="17.25" customHeight="1" x14ac:dyDescent="0.3">
      <c r="A31" s="322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22"/>
      <c r="B32" s="179" t="s">
        <v>117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22"/>
      <c r="B33" s="179" t="s">
        <v>119</v>
      </c>
      <c r="C33" s="185"/>
      <c r="D33" s="29"/>
      <c r="E33" s="50"/>
      <c r="F33" s="51"/>
      <c r="G33" s="25"/>
      <c r="H33" s="51"/>
      <c r="I33" s="188"/>
    </row>
    <row r="34" spans="1:9" ht="17.25" customHeight="1" x14ac:dyDescent="0.3">
      <c r="A34" s="322"/>
      <c r="B34" s="179" t="s">
        <v>121</v>
      </c>
      <c r="C34" s="186"/>
      <c r="D34" s="60"/>
      <c r="E34" s="61"/>
      <c r="F34" s="62"/>
      <c r="G34" s="113"/>
      <c r="H34" s="62"/>
      <c r="I34" s="189">
        <v>2</v>
      </c>
    </row>
    <row r="35" spans="1:9" ht="17.25" customHeight="1" x14ac:dyDescent="0.3">
      <c r="A35" s="322"/>
      <c r="B35" s="191" t="s">
        <v>79</v>
      </c>
      <c r="C35" s="281"/>
      <c r="D35" s="23"/>
      <c r="E35" s="47">
        <v>2</v>
      </c>
      <c r="F35" s="48"/>
      <c r="G35" s="116"/>
      <c r="H35" s="48"/>
      <c r="I35" s="282">
        <v>39</v>
      </c>
    </row>
    <row r="36" spans="1:9" ht="17.25" customHeight="1" x14ac:dyDescent="0.3">
      <c r="A36" s="322"/>
      <c r="B36" s="153" t="s">
        <v>80</v>
      </c>
      <c r="C36" s="121">
        <v>20</v>
      </c>
      <c r="D36" s="122"/>
      <c r="E36" s="123"/>
      <c r="F36" s="124"/>
      <c r="G36" s="112"/>
      <c r="H36" s="124"/>
      <c r="I36" s="52">
        <f>C36-D36-E36+F36-H36</f>
        <v>20</v>
      </c>
    </row>
    <row r="37" spans="1:9" ht="17.25" customHeight="1" x14ac:dyDescent="0.3">
      <c r="A37" s="322"/>
      <c r="B37" s="163" t="s">
        <v>107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22"/>
      <c r="B38" s="178" t="s">
        <v>131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22"/>
      <c r="B39" s="178" t="s">
        <v>109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22"/>
      <c r="B40" s="178" t="s">
        <v>133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22"/>
      <c r="B41" s="178" t="s">
        <v>111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22"/>
      <c r="B42" s="178" t="s">
        <v>135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22"/>
      <c r="B43" s="178" t="s">
        <v>113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22"/>
      <c r="B44" s="178" t="s">
        <v>125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22"/>
      <c r="B45" s="164" t="s">
        <v>115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22"/>
      <c r="B46" s="120" t="s">
        <v>89</v>
      </c>
      <c r="C46" s="154">
        <v>12</v>
      </c>
      <c r="D46" s="23"/>
      <c r="E46" s="47"/>
      <c r="F46" s="48"/>
      <c r="G46" s="116"/>
      <c r="H46" s="48"/>
      <c r="I46" s="49">
        <f t="shared" si="0"/>
        <v>12</v>
      </c>
    </row>
    <row r="47" spans="1:9" ht="17.25" customHeight="1" x14ac:dyDescent="0.3">
      <c r="A47" s="322"/>
      <c r="B47" s="120" t="s">
        <v>88</v>
      </c>
      <c r="C47" s="121">
        <v>22</v>
      </c>
      <c r="D47" s="122"/>
      <c r="E47" s="123"/>
      <c r="F47" s="124"/>
      <c r="G47" s="112"/>
      <c r="H47" s="124"/>
      <c r="I47" s="52">
        <f t="shared" si="0"/>
        <v>22</v>
      </c>
    </row>
    <row r="48" spans="1:9" ht="17.25" customHeight="1" x14ac:dyDescent="0.3">
      <c r="A48" s="322"/>
      <c r="B48" s="56" t="s">
        <v>123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22"/>
      <c r="B49" s="179" t="s">
        <v>127</v>
      </c>
      <c r="C49" s="192"/>
      <c r="D49" s="180"/>
      <c r="E49" s="181"/>
      <c r="F49" s="182"/>
      <c r="G49" s="183"/>
      <c r="H49" s="182"/>
      <c r="I49" s="195">
        <v>2</v>
      </c>
    </row>
    <row r="50" spans="1:10" ht="17.25" customHeight="1" x14ac:dyDescent="0.3">
      <c r="A50" s="322"/>
      <c r="B50" s="58" t="s">
        <v>129</v>
      </c>
      <c r="C50" s="59"/>
      <c r="D50" s="60"/>
      <c r="E50" s="61"/>
      <c r="F50" s="62"/>
      <c r="G50" s="113"/>
      <c r="H50" s="62"/>
      <c r="I50" s="63">
        <v>1</v>
      </c>
    </row>
    <row r="51" spans="1:10" ht="17.25" customHeight="1" thickBot="1" x14ac:dyDescent="0.35">
      <c r="A51" s="323"/>
      <c r="B51" s="64" t="s">
        <v>42</v>
      </c>
      <c r="C51" s="65">
        <f>SUM(C13:C50)</f>
        <v>825</v>
      </c>
      <c r="D51" s="66">
        <f>SUM(D13:D46)</f>
        <v>8</v>
      </c>
      <c r="E51" s="67">
        <f>SUM(E13:E46)</f>
        <v>3</v>
      </c>
      <c r="F51" s="67">
        <f>SUM(F13:F46)</f>
        <v>0</v>
      </c>
      <c r="G51" s="68" t="s">
        <v>22</v>
      </c>
      <c r="H51" s="69">
        <f>SUM(H13:H46)</f>
        <v>0</v>
      </c>
      <c r="I51" s="70">
        <f>SUM(I13:I46)</f>
        <v>836.5</v>
      </c>
    </row>
    <row r="52" spans="1:10" ht="17.25" customHeight="1" x14ac:dyDescent="0.3">
      <c r="A52" s="326" t="s">
        <v>72</v>
      </c>
      <c r="B52" s="327"/>
      <c r="C52" s="71"/>
      <c r="D52" s="72" t="s">
        <v>163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28"/>
      <c r="B53" s="329"/>
      <c r="C53" s="332" t="s">
        <v>74</v>
      </c>
      <c r="D53" s="334">
        <v>1</v>
      </c>
      <c r="E53" s="336">
        <v>1</v>
      </c>
      <c r="F53" s="336">
        <v>2</v>
      </c>
      <c r="G53" s="336">
        <v>9</v>
      </c>
      <c r="H53" s="336"/>
      <c r="I53" s="339">
        <v>2</v>
      </c>
      <c r="J53" s="174"/>
    </row>
    <row r="54" spans="1:10" s="76" customFormat="1" ht="17.25" customHeight="1" x14ac:dyDescent="0.3">
      <c r="A54" s="328"/>
      <c r="B54" s="329"/>
      <c r="C54" s="333"/>
      <c r="D54" s="335"/>
      <c r="E54" s="337"/>
      <c r="F54" s="337"/>
      <c r="G54" s="337"/>
      <c r="H54" s="338"/>
      <c r="I54" s="340"/>
    </row>
    <row r="55" spans="1:10" s="76" customFormat="1" ht="17.25" customHeight="1" x14ac:dyDescent="0.3">
      <c r="A55" s="328"/>
      <c r="B55" s="329"/>
      <c r="C55" s="332" t="s">
        <v>75</v>
      </c>
      <c r="D55" s="407">
        <v>36900</v>
      </c>
      <c r="E55" s="343">
        <v>36600</v>
      </c>
      <c r="F55" s="343">
        <v>39100</v>
      </c>
      <c r="G55" s="343">
        <v>94800</v>
      </c>
      <c r="H55" s="336"/>
      <c r="I55" s="347">
        <v>469000</v>
      </c>
    </row>
    <row r="56" spans="1:10" s="76" customFormat="1" ht="17.25" customHeight="1" thickBot="1" x14ac:dyDescent="0.35">
      <c r="A56" s="330"/>
      <c r="B56" s="331"/>
      <c r="C56" s="341"/>
      <c r="D56" s="342"/>
      <c r="E56" s="344"/>
      <c r="F56" s="344"/>
      <c r="G56" s="344"/>
      <c r="H56" s="344"/>
      <c r="I56" s="348"/>
    </row>
    <row r="57" spans="1:10" s="76" customFormat="1" ht="17.25" customHeight="1" x14ac:dyDescent="0.3">
      <c r="A57" s="326" t="s">
        <v>45</v>
      </c>
      <c r="B57" s="327"/>
      <c r="C57" s="349" t="s">
        <v>512</v>
      </c>
      <c r="D57" s="350"/>
      <c r="E57" s="350"/>
      <c r="F57" s="350"/>
      <c r="G57" s="350"/>
      <c r="H57" s="350"/>
      <c r="I57" s="351"/>
    </row>
    <row r="58" spans="1:10" s="76" customFormat="1" ht="17.25" customHeight="1" x14ac:dyDescent="0.3">
      <c r="A58" s="328"/>
      <c r="B58" s="329"/>
      <c r="C58" s="352" t="s">
        <v>513</v>
      </c>
      <c r="D58" s="352"/>
      <c r="E58" s="352"/>
      <c r="F58" s="352"/>
      <c r="G58" s="352"/>
      <c r="H58" s="352"/>
      <c r="I58" s="353"/>
    </row>
    <row r="59" spans="1:10" s="76" customFormat="1" ht="17.25" customHeight="1" x14ac:dyDescent="0.3">
      <c r="A59" s="328"/>
      <c r="B59" s="329"/>
      <c r="C59" s="354" t="s">
        <v>515</v>
      </c>
      <c r="D59" s="352"/>
      <c r="E59" s="352"/>
      <c r="F59" s="352"/>
      <c r="G59" s="352"/>
      <c r="H59" s="352"/>
      <c r="I59" s="353"/>
    </row>
    <row r="60" spans="1:10" s="76" customFormat="1" ht="17.25" customHeight="1" thickBot="1" x14ac:dyDescent="0.35">
      <c r="A60" s="330"/>
      <c r="B60" s="331"/>
      <c r="C60" s="345" t="s">
        <v>514</v>
      </c>
      <c r="D60" s="345"/>
      <c r="E60" s="345"/>
      <c r="F60" s="345"/>
      <c r="G60" s="345"/>
      <c r="H60" s="345"/>
      <c r="I60" s="346"/>
    </row>
    <row r="61" spans="1:10" s="76" customFormat="1" ht="17.25" customHeight="1" x14ac:dyDescent="0.3">
      <c r="A61" s="326" t="s">
        <v>73</v>
      </c>
      <c r="B61" s="327"/>
      <c r="C61" s="389" t="s">
        <v>498</v>
      </c>
      <c r="D61" s="368"/>
      <c r="E61" s="368"/>
      <c r="F61" s="368"/>
      <c r="G61" s="368"/>
      <c r="H61" s="368"/>
      <c r="I61" s="369"/>
    </row>
    <row r="62" spans="1:10" s="76" customFormat="1" ht="17.25" customHeight="1" x14ac:dyDescent="0.3">
      <c r="A62" s="328"/>
      <c r="B62" s="329"/>
      <c r="C62" s="354" t="s">
        <v>499</v>
      </c>
      <c r="D62" s="352"/>
      <c r="E62" s="352"/>
      <c r="F62" s="352"/>
      <c r="G62" s="352"/>
      <c r="H62" s="352"/>
      <c r="I62" s="353"/>
    </row>
    <row r="63" spans="1:10" s="76" customFormat="1" ht="17.25" customHeight="1" x14ac:dyDescent="0.3">
      <c r="A63" s="328"/>
      <c r="B63" s="329"/>
      <c r="C63" s="354" t="s">
        <v>508</v>
      </c>
      <c r="D63" s="352"/>
      <c r="E63" s="352"/>
      <c r="F63" s="352"/>
      <c r="G63" s="352"/>
      <c r="H63" s="352"/>
      <c r="I63" s="353"/>
    </row>
    <row r="64" spans="1:10" s="76" customFormat="1" ht="17.25" customHeight="1" thickBot="1" x14ac:dyDescent="0.35">
      <c r="A64" s="330"/>
      <c r="B64" s="331"/>
      <c r="C64" s="345"/>
      <c r="D64" s="345"/>
      <c r="E64" s="345"/>
      <c r="F64" s="345"/>
      <c r="G64" s="345"/>
      <c r="H64" s="345"/>
      <c r="I64" s="346"/>
    </row>
    <row r="65" spans="1:9" s="76" customFormat="1" ht="17.25" customHeight="1" x14ac:dyDescent="0.3">
      <c r="A65" s="363" t="s">
        <v>46</v>
      </c>
      <c r="B65" s="366" t="s">
        <v>47</v>
      </c>
      <c r="C65" s="368" t="s">
        <v>500</v>
      </c>
      <c r="D65" s="368"/>
      <c r="E65" s="368"/>
      <c r="F65" s="368"/>
      <c r="G65" s="368"/>
      <c r="H65" s="368"/>
      <c r="I65" s="369"/>
    </row>
    <row r="66" spans="1:9" s="76" customFormat="1" ht="17.25" customHeight="1" x14ac:dyDescent="0.3">
      <c r="A66" s="364"/>
      <c r="B66" s="367"/>
      <c r="C66" s="350"/>
      <c r="D66" s="350"/>
      <c r="E66" s="350"/>
      <c r="F66" s="350"/>
      <c r="G66" s="350"/>
      <c r="H66" s="350"/>
      <c r="I66" s="351"/>
    </row>
    <row r="67" spans="1:9" s="76" customFormat="1" ht="17.25" customHeight="1" x14ac:dyDescent="0.3">
      <c r="A67" s="364"/>
      <c r="B67" s="370" t="s">
        <v>48</v>
      </c>
      <c r="C67" s="352"/>
      <c r="D67" s="352"/>
      <c r="E67" s="352"/>
      <c r="F67" s="352"/>
      <c r="G67" s="352"/>
      <c r="H67" s="352"/>
      <c r="I67" s="353"/>
    </row>
    <row r="68" spans="1:9" s="76" customFormat="1" ht="17.25" customHeight="1" x14ac:dyDescent="0.3">
      <c r="A68" s="364"/>
      <c r="B68" s="367"/>
      <c r="C68" s="350"/>
      <c r="D68" s="350"/>
      <c r="E68" s="350"/>
      <c r="F68" s="350"/>
      <c r="G68" s="350"/>
      <c r="H68" s="350"/>
      <c r="I68" s="351"/>
    </row>
    <row r="69" spans="1:9" s="76" customFormat="1" ht="17.25" customHeight="1" thickBot="1" x14ac:dyDescent="0.35">
      <c r="A69" s="365"/>
      <c r="B69" s="371"/>
      <c r="C69" s="362"/>
      <c r="D69" s="345"/>
      <c r="E69" s="345"/>
      <c r="F69" s="345"/>
      <c r="G69" s="345"/>
      <c r="H69" s="345"/>
      <c r="I69" s="346"/>
    </row>
    <row r="70" spans="1:9" s="76" customFormat="1" ht="17.25" customHeight="1" x14ac:dyDescent="0.3">
      <c r="A70" s="326" t="s">
        <v>49</v>
      </c>
      <c r="B70" s="327"/>
      <c r="C70" s="350" t="s">
        <v>501</v>
      </c>
      <c r="D70" s="350"/>
      <c r="E70" s="350"/>
      <c r="F70" s="350"/>
      <c r="G70" s="350"/>
      <c r="H70" s="350"/>
      <c r="I70" s="351"/>
    </row>
    <row r="71" spans="1:9" s="76" customFormat="1" ht="17.25" customHeight="1" x14ac:dyDescent="0.3">
      <c r="A71" s="328"/>
      <c r="B71" s="329"/>
      <c r="C71" s="350" t="s">
        <v>509</v>
      </c>
      <c r="D71" s="350"/>
      <c r="E71" s="350"/>
      <c r="F71" s="350"/>
      <c r="G71" s="350"/>
      <c r="H71" s="350"/>
      <c r="I71" s="351"/>
    </row>
    <row r="72" spans="1:9" s="76" customFormat="1" ht="17.25" customHeight="1" thickBot="1" x14ac:dyDescent="0.35">
      <c r="A72" s="330"/>
      <c r="B72" s="331"/>
      <c r="C72" s="362" t="s">
        <v>511</v>
      </c>
      <c r="D72" s="345"/>
      <c r="E72" s="345"/>
      <c r="F72" s="345"/>
      <c r="G72" s="345"/>
      <c r="H72" s="345"/>
      <c r="I72" s="346"/>
    </row>
    <row r="73" spans="1:9" s="76" customFormat="1" ht="17.25" customHeight="1" x14ac:dyDescent="0.3">
      <c r="A73" s="326" t="s">
        <v>50</v>
      </c>
      <c r="B73" s="327"/>
      <c r="C73" s="389"/>
      <c r="D73" s="368"/>
      <c r="E73" s="368"/>
      <c r="F73" s="368"/>
      <c r="G73" s="368"/>
      <c r="H73" s="368"/>
      <c r="I73" s="369"/>
    </row>
    <row r="74" spans="1:9" s="76" customFormat="1" ht="17.25" customHeight="1" thickBot="1" x14ac:dyDescent="0.35">
      <c r="A74" s="330"/>
      <c r="B74" s="331"/>
      <c r="C74" s="354"/>
      <c r="D74" s="352"/>
      <c r="E74" s="352"/>
      <c r="F74" s="352"/>
      <c r="G74" s="352"/>
      <c r="H74" s="352"/>
      <c r="I74" s="353"/>
    </row>
    <row r="75" spans="1:9" s="76" customFormat="1" ht="17.25" customHeight="1" x14ac:dyDescent="0.3">
      <c r="A75" s="326" t="s">
        <v>51</v>
      </c>
      <c r="B75" s="327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502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503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375" t="s">
        <v>61</v>
      </c>
      <c r="B78" s="376"/>
      <c r="C78" s="382" t="s">
        <v>62</v>
      </c>
      <c r="D78" s="383"/>
      <c r="E78" s="384" t="s">
        <v>63</v>
      </c>
      <c r="F78" s="383"/>
      <c r="G78" s="385" t="s">
        <v>64</v>
      </c>
      <c r="H78" s="386"/>
      <c r="I78" s="90" t="s">
        <v>65</v>
      </c>
    </row>
    <row r="79" spans="1:9" s="76" customFormat="1" ht="17.25" customHeight="1" thickBot="1" x14ac:dyDescent="0.35">
      <c r="A79" s="377"/>
      <c r="B79" s="378"/>
      <c r="C79" s="92">
        <v>0.25</v>
      </c>
      <c r="D79" s="93" t="s">
        <v>504</v>
      </c>
      <c r="E79" s="94">
        <v>0.8125</v>
      </c>
      <c r="F79" s="93" t="s">
        <v>505</v>
      </c>
      <c r="G79" s="387" t="s">
        <v>506</v>
      </c>
      <c r="H79" s="388"/>
      <c r="I79" s="95" t="s">
        <v>507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372" t="s">
        <v>66</v>
      </c>
      <c r="I80" s="372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1:I1"/>
    <mergeCell ref="A2:B2"/>
    <mergeCell ref="C2:D2"/>
    <mergeCell ref="E2:E3"/>
    <mergeCell ref="F2:G2"/>
    <mergeCell ref="H2:I2"/>
    <mergeCell ref="A3:B3"/>
    <mergeCell ref="F3:G3"/>
    <mergeCell ref="H3:I3"/>
    <mergeCell ref="A4:H4"/>
    <mergeCell ref="A7:H7"/>
    <mergeCell ref="A9:A11"/>
    <mergeCell ref="B9:B11"/>
    <mergeCell ref="C9:D9"/>
    <mergeCell ref="E9:F9"/>
    <mergeCell ref="G9:H9"/>
    <mergeCell ref="A12:A51"/>
    <mergeCell ref="A52:B56"/>
    <mergeCell ref="C53:C54"/>
    <mergeCell ref="D53:D54"/>
    <mergeCell ref="E53:E54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opLeftCell="A52" zoomScale="90" zoomScaleNormal="90" workbookViewId="0">
      <selection activeCell="C69" sqref="C69:I69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296" t="s">
        <v>0</v>
      </c>
      <c r="B1" s="297"/>
      <c r="C1" s="297"/>
      <c r="D1" s="297"/>
      <c r="E1" s="297"/>
      <c r="F1" s="297"/>
      <c r="G1" s="297"/>
      <c r="H1" s="297"/>
      <c r="I1" s="298"/>
    </row>
    <row r="2" spans="1:9" x14ac:dyDescent="0.3">
      <c r="A2" s="299" t="s">
        <v>1</v>
      </c>
      <c r="B2" s="300"/>
      <c r="C2" s="301" t="s">
        <v>516</v>
      </c>
      <c r="D2" s="302"/>
      <c r="E2" s="303" t="s">
        <v>77</v>
      </c>
      <c r="F2" s="305" t="s">
        <v>2</v>
      </c>
      <c r="G2" s="306"/>
      <c r="H2" s="307" t="s">
        <v>76</v>
      </c>
      <c r="I2" s="308"/>
    </row>
    <row r="3" spans="1:9" x14ac:dyDescent="0.3">
      <c r="A3" s="309" t="s">
        <v>3</v>
      </c>
      <c r="B3" s="310"/>
      <c r="C3" s="4" t="s">
        <v>517</v>
      </c>
      <c r="D3" s="5" t="s">
        <v>4</v>
      </c>
      <c r="E3" s="304"/>
      <c r="F3" s="311" t="s">
        <v>518</v>
      </c>
      <c r="G3" s="312"/>
      <c r="H3" s="313">
        <f>G11+'19일'!H3:I3</f>
        <v>37167200</v>
      </c>
      <c r="I3" s="314"/>
    </row>
    <row r="4" spans="1:9" ht="7.5" customHeight="1" x14ac:dyDescent="0.3">
      <c r="A4" s="315"/>
      <c r="B4" s="316"/>
      <c r="C4" s="316"/>
      <c r="D4" s="316"/>
      <c r="E4" s="316"/>
      <c r="F4" s="316"/>
      <c r="G4" s="316"/>
      <c r="H4" s="316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519</v>
      </c>
      <c r="F6" s="15" t="s">
        <v>521</v>
      </c>
      <c r="G6" s="16" t="s">
        <v>520</v>
      </c>
      <c r="H6" s="17">
        <v>0.48</v>
      </c>
      <c r="I6" s="18">
        <v>0.26</v>
      </c>
    </row>
    <row r="7" spans="1:9" ht="7.5" customHeight="1" x14ac:dyDescent="0.3">
      <c r="A7" s="315"/>
      <c r="B7" s="316"/>
      <c r="C7" s="316"/>
      <c r="D7" s="316"/>
      <c r="E7" s="316"/>
      <c r="F7" s="316"/>
      <c r="G7" s="316"/>
      <c r="H7" s="316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79" t="s">
        <v>10</v>
      </c>
      <c r="B9" s="317" t="s">
        <v>11</v>
      </c>
      <c r="C9" s="320" t="s">
        <v>68</v>
      </c>
      <c r="D9" s="303"/>
      <c r="E9" s="303" t="s">
        <v>67</v>
      </c>
      <c r="F9" s="303"/>
      <c r="G9" s="303" t="s">
        <v>69</v>
      </c>
      <c r="H9" s="303"/>
      <c r="I9" s="373" t="s">
        <v>78</v>
      </c>
    </row>
    <row r="10" spans="1:9" ht="18" customHeight="1" x14ac:dyDescent="0.3">
      <c r="A10" s="380"/>
      <c r="B10" s="318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74"/>
    </row>
    <row r="11" spans="1:9" ht="17.25" thickBot="1" x14ac:dyDescent="0.35">
      <c r="A11" s="381"/>
      <c r="B11" s="319"/>
      <c r="C11" s="101">
        <v>2137300</v>
      </c>
      <c r="D11" s="102">
        <v>184</v>
      </c>
      <c r="E11" s="109">
        <f>SUM(E55:I56)</f>
        <v>171200</v>
      </c>
      <c r="F11" s="109">
        <f>SUM(E53:I54)</f>
        <v>10</v>
      </c>
      <c r="G11" s="110">
        <f>C11+E11</f>
        <v>2308500</v>
      </c>
      <c r="H11" s="110">
        <f>D11+F11</f>
        <v>194</v>
      </c>
      <c r="I11" s="111">
        <f>G11/H11</f>
        <v>11899.484536082475</v>
      </c>
    </row>
    <row r="12" spans="1:9" ht="30" customHeight="1" x14ac:dyDescent="0.3">
      <c r="A12" s="321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24" t="s">
        <v>19</v>
      </c>
      <c r="G12" s="325"/>
      <c r="H12" s="158" t="s">
        <v>20</v>
      </c>
      <c r="I12" s="100" t="s">
        <v>21</v>
      </c>
    </row>
    <row r="13" spans="1:9" ht="17.25" customHeight="1" x14ac:dyDescent="0.3">
      <c r="A13" s="322"/>
      <c r="B13" s="21" t="s">
        <v>23</v>
      </c>
      <c r="C13" s="22">
        <v>50</v>
      </c>
      <c r="D13" s="23"/>
      <c r="E13" s="22"/>
      <c r="F13" s="24"/>
      <c r="G13" s="25"/>
      <c r="H13" s="23"/>
      <c r="I13" s="26">
        <f>C13-D13-D14*1/2-E13-E14*1/2+F13-H13-H14*1/2-I14*1/2</f>
        <v>50</v>
      </c>
    </row>
    <row r="14" spans="1:9" ht="17.25" customHeight="1" x14ac:dyDescent="0.3">
      <c r="A14" s="322"/>
      <c r="B14" s="27" t="s">
        <v>24</v>
      </c>
      <c r="C14" s="28"/>
      <c r="D14" s="29"/>
      <c r="E14" s="30"/>
      <c r="F14" s="31"/>
      <c r="G14" s="25"/>
      <c r="H14" s="29"/>
      <c r="I14" s="32"/>
    </row>
    <row r="15" spans="1:9" ht="17.25" customHeight="1" x14ac:dyDescent="0.3">
      <c r="A15" s="322"/>
      <c r="B15" s="27" t="s">
        <v>25</v>
      </c>
      <c r="C15" s="33">
        <v>26</v>
      </c>
      <c r="D15" s="29"/>
      <c r="E15" s="30"/>
      <c r="F15" s="34"/>
      <c r="G15" s="25"/>
      <c r="H15" s="29"/>
      <c r="I15" s="35">
        <f>C15-D15-D16*1/2-E15-E16*1/2+F15-H15-H16*1/2-I16*1/2</f>
        <v>26</v>
      </c>
    </row>
    <row r="16" spans="1:9" ht="17.25" customHeight="1" x14ac:dyDescent="0.3">
      <c r="A16" s="322"/>
      <c r="B16" s="27" t="s">
        <v>26</v>
      </c>
      <c r="C16" s="28"/>
      <c r="D16" s="29"/>
      <c r="E16" s="30"/>
      <c r="F16" s="31"/>
      <c r="G16" s="25"/>
      <c r="H16" s="29"/>
      <c r="I16" s="36"/>
    </row>
    <row r="17" spans="1:9" ht="17.25" customHeight="1" x14ac:dyDescent="0.3">
      <c r="A17" s="322"/>
      <c r="B17" s="27" t="s">
        <v>27</v>
      </c>
      <c r="C17" s="33">
        <v>20</v>
      </c>
      <c r="D17" s="29"/>
      <c r="E17" s="30"/>
      <c r="F17" s="34"/>
      <c r="G17" s="118"/>
      <c r="H17" s="29"/>
      <c r="I17" s="37">
        <f>C17-D17-D18*1/2-E17-E18*1/2+F17-H17-H18*1/2-I18*1/2</f>
        <v>19.5</v>
      </c>
    </row>
    <row r="18" spans="1:9" ht="17.25" customHeight="1" x14ac:dyDescent="0.3">
      <c r="A18" s="322"/>
      <c r="B18" s="27" t="s">
        <v>28</v>
      </c>
      <c r="C18" s="28"/>
      <c r="D18" s="29"/>
      <c r="E18" s="30">
        <v>1</v>
      </c>
      <c r="F18" s="31"/>
      <c r="G18" s="25"/>
      <c r="H18" s="29"/>
      <c r="I18" s="36"/>
    </row>
    <row r="19" spans="1:9" ht="17.25" customHeight="1" x14ac:dyDescent="0.3">
      <c r="A19" s="322"/>
      <c r="B19" s="27" t="s">
        <v>29</v>
      </c>
      <c r="C19" s="33">
        <v>16</v>
      </c>
      <c r="D19" s="29"/>
      <c r="E19" s="30"/>
      <c r="F19" s="34"/>
      <c r="G19" s="25"/>
      <c r="H19" s="29"/>
      <c r="I19" s="35">
        <f>C19-D19-D20*1/2-E19-E20*1/2+F19-H19-H20*1/2-I20*1/2</f>
        <v>16</v>
      </c>
    </row>
    <row r="20" spans="1:9" ht="17.25" customHeight="1" x14ac:dyDescent="0.3">
      <c r="A20" s="322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22"/>
      <c r="B21" s="39" t="s">
        <v>31</v>
      </c>
      <c r="C21" s="40">
        <v>82</v>
      </c>
      <c r="D21" s="41"/>
      <c r="E21" s="42"/>
      <c r="F21" s="43"/>
      <c r="G21" s="44"/>
      <c r="H21" s="43"/>
      <c r="I21" s="45">
        <f t="shared" ref="I21:I48" si="0">C21-D21-E21+F21-H21</f>
        <v>82</v>
      </c>
    </row>
    <row r="22" spans="1:9" ht="17.25" customHeight="1" x14ac:dyDescent="0.3">
      <c r="A22" s="322"/>
      <c r="B22" s="21" t="s">
        <v>32</v>
      </c>
      <c r="C22" s="46">
        <v>37</v>
      </c>
      <c r="D22" s="23">
        <v>1</v>
      </c>
      <c r="E22" s="47">
        <v>1</v>
      </c>
      <c r="F22" s="48"/>
      <c r="G22" s="25"/>
      <c r="H22" s="48">
        <v>6</v>
      </c>
      <c r="I22" s="49">
        <f t="shared" si="0"/>
        <v>29</v>
      </c>
    </row>
    <row r="23" spans="1:9" ht="17.25" customHeight="1" x14ac:dyDescent="0.3">
      <c r="A23" s="322"/>
      <c r="B23" s="27" t="s">
        <v>33</v>
      </c>
      <c r="C23" s="33">
        <v>81</v>
      </c>
      <c r="D23" s="29">
        <v>2</v>
      </c>
      <c r="E23" s="50">
        <v>1</v>
      </c>
      <c r="F23" s="51"/>
      <c r="G23" s="25"/>
      <c r="H23" s="51"/>
      <c r="I23" s="52">
        <f>C23-D23-D24-E23-E24+F23+F24-H23-H24-I24</f>
        <v>76</v>
      </c>
    </row>
    <row r="24" spans="1:9" ht="17.25" customHeight="1" x14ac:dyDescent="0.3">
      <c r="A24" s="322"/>
      <c r="B24" s="160" t="s">
        <v>34</v>
      </c>
      <c r="C24" s="53"/>
      <c r="D24" s="41"/>
      <c r="E24" s="42">
        <v>2</v>
      </c>
      <c r="F24" s="43"/>
      <c r="G24" s="113"/>
      <c r="H24" s="43"/>
      <c r="I24" s="54"/>
    </row>
    <row r="25" spans="1:9" ht="17.25" customHeight="1" x14ac:dyDescent="0.3">
      <c r="A25" s="322"/>
      <c r="B25" s="21" t="s">
        <v>35</v>
      </c>
      <c r="C25" s="46">
        <v>36</v>
      </c>
      <c r="D25" s="23"/>
      <c r="E25" s="47"/>
      <c r="F25" s="48"/>
      <c r="G25" s="112"/>
      <c r="H25" s="48">
        <v>2</v>
      </c>
      <c r="I25" s="49">
        <f t="shared" si="0"/>
        <v>34</v>
      </c>
    </row>
    <row r="26" spans="1:9" ht="17.25" customHeight="1" x14ac:dyDescent="0.3">
      <c r="A26" s="322"/>
      <c r="B26" s="160" t="s">
        <v>36</v>
      </c>
      <c r="C26" s="55">
        <v>43</v>
      </c>
      <c r="D26" s="41"/>
      <c r="E26" s="42"/>
      <c r="F26" s="43"/>
      <c r="G26" s="113"/>
      <c r="H26" s="43"/>
      <c r="I26" s="45">
        <f t="shared" si="0"/>
        <v>43</v>
      </c>
    </row>
    <row r="27" spans="1:9" ht="17.25" customHeight="1" x14ac:dyDescent="0.3">
      <c r="A27" s="322"/>
      <c r="B27" s="21" t="s">
        <v>37</v>
      </c>
      <c r="C27" s="46">
        <v>29</v>
      </c>
      <c r="D27" s="23">
        <v>2</v>
      </c>
      <c r="E27" s="47"/>
      <c r="F27" s="48"/>
      <c r="G27" s="112"/>
      <c r="H27" s="48"/>
      <c r="I27" s="49">
        <f t="shared" si="0"/>
        <v>27</v>
      </c>
    </row>
    <row r="28" spans="1:9" ht="17.25" customHeight="1" x14ac:dyDescent="0.3">
      <c r="A28" s="322"/>
      <c r="B28" s="160" t="s">
        <v>38</v>
      </c>
      <c r="C28" s="55">
        <v>44</v>
      </c>
      <c r="D28" s="41">
        <v>1</v>
      </c>
      <c r="E28" s="42"/>
      <c r="F28" s="43"/>
      <c r="G28" s="113"/>
      <c r="H28" s="43"/>
      <c r="I28" s="45">
        <f t="shared" si="0"/>
        <v>43</v>
      </c>
    </row>
    <row r="29" spans="1:9" ht="17.25" customHeight="1" x14ac:dyDescent="0.3">
      <c r="A29" s="322"/>
      <c r="B29" s="21" t="s">
        <v>39</v>
      </c>
      <c r="C29" s="46">
        <v>10</v>
      </c>
      <c r="D29" s="23">
        <v>1</v>
      </c>
      <c r="E29" s="47"/>
      <c r="F29" s="48"/>
      <c r="G29" s="25"/>
      <c r="H29" s="48"/>
      <c r="I29" s="49">
        <f t="shared" si="0"/>
        <v>9</v>
      </c>
    </row>
    <row r="30" spans="1:9" ht="17.25" customHeight="1" x14ac:dyDescent="0.3">
      <c r="A30" s="322"/>
      <c r="B30" s="56" t="s">
        <v>40</v>
      </c>
      <c r="C30" s="57">
        <v>107</v>
      </c>
      <c r="D30" s="29">
        <v>1</v>
      </c>
      <c r="E30" s="50">
        <v>4</v>
      </c>
      <c r="F30" s="51"/>
      <c r="G30" s="25"/>
      <c r="H30" s="51"/>
      <c r="I30" s="52">
        <f>C30-D30-D31-E30-E31+F30+F31-H30-H31-I31</f>
        <v>102</v>
      </c>
    </row>
    <row r="31" spans="1:9" ht="17.25" customHeight="1" x14ac:dyDescent="0.3">
      <c r="A31" s="322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22"/>
      <c r="B32" s="179" t="s">
        <v>117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22"/>
      <c r="B33" s="179" t="s">
        <v>119</v>
      </c>
      <c r="C33" s="185"/>
      <c r="D33" s="29"/>
      <c r="E33" s="50"/>
      <c r="F33" s="51"/>
      <c r="G33" s="25"/>
      <c r="H33" s="51"/>
      <c r="I33" s="188"/>
    </row>
    <row r="34" spans="1:9" ht="17.25" customHeight="1" x14ac:dyDescent="0.3">
      <c r="A34" s="322"/>
      <c r="B34" s="179" t="s">
        <v>121</v>
      </c>
      <c r="C34" s="186"/>
      <c r="D34" s="60"/>
      <c r="E34" s="61"/>
      <c r="F34" s="62"/>
      <c r="G34" s="113"/>
      <c r="H34" s="62"/>
      <c r="I34" s="189">
        <v>2</v>
      </c>
    </row>
    <row r="35" spans="1:9" ht="17.25" customHeight="1" x14ac:dyDescent="0.3">
      <c r="A35" s="322"/>
      <c r="B35" s="191" t="s">
        <v>79</v>
      </c>
      <c r="C35" s="281">
        <v>32</v>
      </c>
      <c r="D35" s="23"/>
      <c r="E35" s="47"/>
      <c r="F35" s="48"/>
      <c r="G35" s="116"/>
      <c r="H35" s="48"/>
      <c r="I35" s="282">
        <v>24</v>
      </c>
    </row>
    <row r="36" spans="1:9" ht="17.25" customHeight="1" x14ac:dyDescent="0.3">
      <c r="A36" s="322"/>
      <c r="B36" s="153" t="s">
        <v>80</v>
      </c>
      <c r="C36" s="121">
        <v>20</v>
      </c>
      <c r="D36" s="122">
        <v>1</v>
      </c>
      <c r="E36" s="123"/>
      <c r="F36" s="124"/>
      <c r="G36" s="112"/>
      <c r="H36" s="124"/>
      <c r="I36" s="52">
        <f>C36-D36-E36+F36-H36</f>
        <v>19</v>
      </c>
    </row>
    <row r="37" spans="1:9" ht="17.25" customHeight="1" x14ac:dyDescent="0.3">
      <c r="A37" s="322"/>
      <c r="B37" s="163" t="s">
        <v>107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22"/>
      <c r="B38" s="178" t="s">
        <v>131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22"/>
      <c r="B39" s="178" t="s">
        <v>109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22"/>
      <c r="B40" s="178" t="s">
        <v>133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22"/>
      <c r="B41" s="178" t="s">
        <v>111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22"/>
      <c r="B42" s="178" t="s">
        <v>135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22"/>
      <c r="B43" s="178" t="s">
        <v>113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22"/>
      <c r="B44" s="178" t="s">
        <v>125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22"/>
      <c r="B45" s="164" t="s">
        <v>115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22"/>
      <c r="B46" s="120" t="s">
        <v>89</v>
      </c>
      <c r="C46" s="154">
        <v>12</v>
      </c>
      <c r="D46" s="23"/>
      <c r="E46" s="47"/>
      <c r="F46" s="48"/>
      <c r="G46" s="116"/>
      <c r="H46" s="48"/>
      <c r="I46" s="49">
        <f t="shared" si="0"/>
        <v>12</v>
      </c>
    </row>
    <row r="47" spans="1:9" ht="17.25" customHeight="1" x14ac:dyDescent="0.3">
      <c r="A47" s="322"/>
      <c r="B47" s="120" t="s">
        <v>88</v>
      </c>
      <c r="C47" s="121"/>
      <c r="D47" s="122"/>
      <c r="E47" s="123"/>
      <c r="F47" s="124"/>
      <c r="G47" s="112"/>
      <c r="H47" s="124"/>
      <c r="I47" s="52">
        <f t="shared" si="0"/>
        <v>0</v>
      </c>
    </row>
    <row r="48" spans="1:9" ht="17.25" customHeight="1" x14ac:dyDescent="0.3">
      <c r="A48" s="322"/>
      <c r="B48" s="56" t="s">
        <v>123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22"/>
      <c r="B49" s="179" t="s">
        <v>127</v>
      </c>
      <c r="C49" s="192"/>
      <c r="D49" s="180"/>
      <c r="E49" s="181"/>
      <c r="F49" s="182"/>
      <c r="G49" s="183"/>
      <c r="H49" s="182"/>
      <c r="I49" s="195">
        <v>1</v>
      </c>
    </row>
    <row r="50" spans="1:10" ht="17.25" customHeight="1" x14ac:dyDescent="0.3">
      <c r="A50" s="322"/>
      <c r="B50" s="58" t="s">
        <v>129</v>
      </c>
      <c r="C50" s="59"/>
      <c r="D50" s="60"/>
      <c r="E50" s="61"/>
      <c r="F50" s="62"/>
      <c r="G50" s="113"/>
      <c r="H50" s="62"/>
      <c r="I50" s="63">
        <v>2</v>
      </c>
    </row>
    <row r="51" spans="1:10" ht="17.25" customHeight="1" thickBot="1" x14ac:dyDescent="0.35">
      <c r="A51" s="323"/>
      <c r="B51" s="64" t="s">
        <v>42</v>
      </c>
      <c r="C51" s="65">
        <f>SUM(C13:C50)</f>
        <v>645</v>
      </c>
      <c r="D51" s="66">
        <f>SUM(D13:D46)</f>
        <v>9</v>
      </c>
      <c r="E51" s="67">
        <f>SUM(E13:E46)</f>
        <v>9</v>
      </c>
      <c r="F51" s="67">
        <f>SUM(F13:F46)</f>
        <v>0</v>
      </c>
      <c r="G51" s="68" t="s">
        <v>22</v>
      </c>
      <c r="H51" s="69">
        <f>SUM(H13:H46)</f>
        <v>8</v>
      </c>
      <c r="I51" s="70">
        <f>SUM(I13:I46)</f>
        <v>613.5</v>
      </c>
    </row>
    <row r="52" spans="1:10" ht="17.25" customHeight="1" x14ac:dyDescent="0.3">
      <c r="A52" s="326" t="s">
        <v>72</v>
      </c>
      <c r="B52" s="327"/>
      <c r="C52" s="71"/>
      <c r="D52" s="72" t="s">
        <v>162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28"/>
      <c r="B53" s="329"/>
      <c r="C53" s="332" t="s">
        <v>74</v>
      </c>
      <c r="D53" s="334">
        <v>4</v>
      </c>
      <c r="E53" s="336">
        <v>1</v>
      </c>
      <c r="F53" s="336"/>
      <c r="G53" s="336">
        <v>8</v>
      </c>
      <c r="H53" s="336"/>
      <c r="I53" s="339">
        <v>1</v>
      </c>
      <c r="J53" s="174"/>
    </row>
    <row r="54" spans="1:10" s="76" customFormat="1" ht="17.25" customHeight="1" x14ac:dyDescent="0.3">
      <c r="A54" s="328"/>
      <c r="B54" s="329"/>
      <c r="C54" s="333"/>
      <c r="D54" s="335"/>
      <c r="E54" s="337"/>
      <c r="F54" s="337"/>
      <c r="G54" s="337"/>
      <c r="H54" s="338"/>
      <c r="I54" s="340"/>
    </row>
    <row r="55" spans="1:10" s="76" customFormat="1" ht="17.25" customHeight="1" x14ac:dyDescent="0.3">
      <c r="A55" s="328"/>
      <c r="B55" s="329"/>
      <c r="C55" s="332" t="s">
        <v>75</v>
      </c>
      <c r="D55" s="334">
        <v>77300</v>
      </c>
      <c r="E55" s="343">
        <v>24700</v>
      </c>
      <c r="F55" s="343"/>
      <c r="G55" s="343">
        <v>107900</v>
      </c>
      <c r="H55" s="336"/>
      <c r="I55" s="347">
        <v>38600</v>
      </c>
    </row>
    <row r="56" spans="1:10" s="76" customFormat="1" ht="17.25" customHeight="1" thickBot="1" x14ac:dyDescent="0.35">
      <c r="A56" s="330"/>
      <c r="B56" s="331"/>
      <c r="C56" s="341"/>
      <c r="D56" s="342"/>
      <c r="E56" s="344"/>
      <c r="F56" s="344"/>
      <c r="G56" s="344"/>
      <c r="H56" s="344"/>
      <c r="I56" s="348"/>
    </row>
    <row r="57" spans="1:10" s="76" customFormat="1" ht="17.25" customHeight="1" x14ac:dyDescent="0.3">
      <c r="A57" s="326" t="s">
        <v>45</v>
      </c>
      <c r="B57" s="327"/>
      <c r="C57" s="349" t="s">
        <v>537</v>
      </c>
      <c r="D57" s="350"/>
      <c r="E57" s="350"/>
      <c r="F57" s="350"/>
      <c r="G57" s="350"/>
      <c r="H57" s="350"/>
      <c r="I57" s="351"/>
    </row>
    <row r="58" spans="1:10" s="76" customFormat="1" ht="17.25" customHeight="1" x14ac:dyDescent="0.3">
      <c r="A58" s="328"/>
      <c r="B58" s="329"/>
      <c r="C58" s="352" t="s">
        <v>540</v>
      </c>
      <c r="D58" s="352"/>
      <c r="E58" s="352"/>
      <c r="F58" s="352"/>
      <c r="G58" s="352"/>
      <c r="H58" s="352"/>
      <c r="I58" s="353"/>
    </row>
    <row r="59" spans="1:10" s="76" customFormat="1" ht="17.25" customHeight="1" x14ac:dyDescent="0.3">
      <c r="A59" s="328"/>
      <c r="B59" s="329"/>
      <c r="C59" s="354" t="s">
        <v>539</v>
      </c>
      <c r="D59" s="352"/>
      <c r="E59" s="352"/>
      <c r="F59" s="352"/>
      <c r="G59" s="352"/>
      <c r="H59" s="352"/>
      <c r="I59" s="353"/>
    </row>
    <row r="60" spans="1:10" s="76" customFormat="1" ht="17.25" customHeight="1" thickBot="1" x14ac:dyDescent="0.35">
      <c r="A60" s="330"/>
      <c r="B60" s="331"/>
      <c r="C60" s="345" t="s">
        <v>538</v>
      </c>
      <c r="D60" s="345"/>
      <c r="E60" s="345"/>
      <c r="F60" s="345"/>
      <c r="G60" s="345"/>
      <c r="H60" s="345"/>
      <c r="I60" s="346"/>
    </row>
    <row r="61" spans="1:10" s="76" customFormat="1" ht="17.25" customHeight="1" x14ac:dyDescent="0.3">
      <c r="A61" s="326" t="s">
        <v>73</v>
      </c>
      <c r="B61" s="327"/>
      <c r="C61" s="389" t="s">
        <v>528</v>
      </c>
      <c r="D61" s="368"/>
      <c r="E61" s="368"/>
      <c r="F61" s="368"/>
      <c r="G61" s="368"/>
      <c r="H61" s="368"/>
      <c r="I61" s="369"/>
    </row>
    <row r="62" spans="1:10" s="76" customFormat="1" ht="17.25" customHeight="1" x14ac:dyDescent="0.3">
      <c r="A62" s="328"/>
      <c r="B62" s="329"/>
      <c r="C62" s="354" t="s">
        <v>529</v>
      </c>
      <c r="D62" s="352"/>
      <c r="E62" s="352"/>
      <c r="F62" s="352"/>
      <c r="G62" s="352"/>
      <c r="H62" s="352"/>
      <c r="I62" s="353"/>
    </row>
    <row r="63" spans="1:10" s="76" customFormat="1" ht="17.25" customHeight="1" x14ac:dyDescent="0.3">
      <c r="A63" s="328"/>
      <c r="B63" s="329"/>
      <c r="C63" s="354" t="s">
        <v>532</v>
      </c>
      <c r="D63" s="352"/>
      <c r="E63" s="352"/>
      <c r="F63" s="352"/>
      <c r="G63" s="352"/>
      <c r="H63" s="352"/>
      <c r="I63" s="353"/>
    </row>
    <row r="64" spans="1:10" s="76" customFormat="1" ht="17.25" customHeight="1" thickBot="1" x14ac:dyDescent="0.35">
      <c r="A64" s="330"/>
      <c r="B64" s="331"/>
      <c r="C64" s="345" t="s">
        <v>533</v>
      </c>
      <c r="D64" s="345"/>
      <c r="E64" s="345"/>
      <c r="F64" s="345"/>
      <c r="G64" s="345"/>
      <c r="H64" s="345"/>
      <c r="I64" s="346"/>
    </row>
    <row r="65" spans="1:9" s="76" customFormat="1" ht="17.25" customHeight="1" x14ac:dyDescent="0.3">
      <c r="A65" s="363" t="s">
        <v>46</v>
      </c>
      <c r="B65" s="366" t="s">
        <v>47</v>
      </c>
      <c r="C65" s="368"/>
      <c r="D65" s="368"/>
      <c r="E65" s="368"/>
      <c r="F65" s="368"/>
      <c r="G65" s="368"/>
      <c r="H65" s="368"/>
      <c r="I65" s="369"/>
    </row>
    <row r="66" spans="1:9" s="76" customFormat="1" ht="17.25" customHeight="1" x14ac:dyDescent="0.3">
      <c r="A66" s="364"/>
      <c r="B66" s="367"/>
      <c r="C66" s="350"/>
      <c r="D66" s="350"/>
      <c r="E66" s="350"/>
      <c r="F66" s="350"/>
      <c r="G66" s="350"/>
      <c r="H66" s="350"/>
      <c r="I66" s="351"/>
    </row>
    <row r="67" spans="1:9" s="76" customFormat="1" ht="17.25" customHeight="1" x14ac:dyDescent="0.3">
      <c r="A67" s="364"/>
      <c r="B67" s="370" t="s">
        <v>48</v>
      </c>
      <c r="C67" s="352" t="s">
        <v>534</v>
      </c>
      <c r="D67" s="352"/>
      <c r="E67" s="352"/>
      <c r="F67" s="352"/>
      <c r="G67" s="352"/>
      <c r="H67" s="352"/>
      <c r="I67" s="353"/>
    </row>
    <row r="68" spans="1:9" s="76" customFormat="1" ht="17.25" customHeight="1" x14ac:dyDescent="0.3">
      <c r="A68" s="364"/>
      <c r="B68" s="367"/>
      <c r="C68" s="350"/>
      <c r="D68" s="350"/>
      <c r="E68" s="350"/>
      <c r="F68" s="350"/>
      <c r="G68" s="350"/>
      <c r="H68" s="350"/>
      <c r="I68" s="351"/>
    </row>
    <row r="69" spans="1:9" s="76" customFormat="1" ht="17.25" customHeight="1" thickBot="1" x14ac:dyDescent="0.35">
      <c r="A69" s="365"/>
      <c r="B69" s="371"/>
      <c r="C69" s="362"/>
      <c r="D69" s="345"/>
      <c r="E69" s="345"/>
      <c r="F69" s="345"/>
      <c r="G69" s="345"/>
      <c r="H69" s="345"/>
      <c r="I69" s="346"/>
    </row>
    <row r="70" spans="1:9" s="76" customFormat="1" ht="17.25" customHeight="1" x14ac:dyDescent="0.3">
      <c r="A70" s="326" t="s">
        <v>49</v>
      </c>
      <c r="B70" s="327"/>
      <c r="C70" s="350" t="s">
        <v>530</v>
      </c>
      <c r="D70" s="350"/>
      <c r="E70" s="350"/>
      <c r="F70" s="350"/>
      <c r="G70" s="350"/>
      <c r="H70" s="350"/>
      <c r="I70" s="351"/>
    </row>
    <row r="71" spans="1:9" s="76" customFormat="1" ht="17.25" customHeight="1" x14ac:dyDescent="0.3">
      <c r="A71" s="328"/>
      <c r="B71" s="329"/>
      <c r="C71" s="350" t="s">
        <v>531</v>
      </c>
      <c r="D71" s="350"/>
      <c r="E71" s="350"/>
      <c r="F71" s="350"/>
      <c r="G71" s="350"/>
      <c r="H71" s="350"/>
      <c r="I71" s="351"/>
    </row>
    <row r="72" spans="1:9" s="76" customFormat="1" ht="17.25" customHeight="1" thickBot="1" x14ac:dyDescent="0.35">
      <c r="A72" s="330"/>
      <c r="B72" s="331"/>
      <c r="C72" s="362" t="s">
        <v>536</v>
      </c>
      <c r="D72" s="345"/>
      <c r="E72" s="345"/>
      <c r="F72" s="345"/>
      <c r="G72" s="345"/>
      <c r="H72" s="345"/>
      <c r="I72" s="346"/>
    </row>
    <row r="73" spans="1:9" s="76" customFormat="1" ht="17.25" customHeight="1" x14ac:dyDescent="0.3">
      <c r="A73" s="326" t="s">
        <v>50</v>
      </c>
      <c r="B73" s="327"/>
      <c r="C73" s="389" t="s">
        <v>535</v>
      </c>
      <c r="D73" s="368"/>
      <c r="E73" s="368"/>
      <c r="F73" s="368"/>
      <c r="G73" s="368"/>
      <c r="H73" s="368"/>
      <c r="I73" s="369"/>
    </row>
    <row r="74" spans="1:9" s="76" customFormat="1" ht="17.25" customHeight="1" thickBot="1" x14ac:dyDescent="0.35">
      <c r="A74" s="330"/>
      <c r="B74" s="331"/>
      <c r="C74" s="354"/>
      <c r="D74" s="352"/>
      <c r="E74" s="352"/>
      <c r="F74" s="352"/>
      <c r="G74" s="352"/>
      <c r="H74" s="352"/>
      <c r="I74" s="353"/>
    </row>
    <row r="75" spans="1:9" s="76" customFormat="1" ht="17.25" customHeight="1" x14ac:dyDescent="0.3">
      <c r="A75" s="326" t="s">
        <v>51</v>
      </c>
      <c r="B75" s="327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522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523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375" t="s">
        <v>61</v>
      </c>
      <c r="B78" s="376"/>
      <c r="C78" s="382" t="s">
        <v>62</v>
      </c>
      <c r="D78" s="383"/>
      <c r="E78" s="384" t="s">
        <v>63</v>
      </c>
      <c r="F78" s="383"/>
      <c r="G78" s="385" t="s">
        <v>64</v>
      </c>
      <c r="H78" s="386"/>
      <c r="I78" s="90" t="s">
        <v>65</v>
      </c>
    </row>
    <row r="79" spans="1:9" s="76" customFormat="1" ht="17.25" customHeight="1" thickBot="1" x14ac:dyDescent="0.35">
      <c r="A79" s="377"/>
      <c r="B79" s="378"/>
      <c r="C79" s="92">
        <v>0.25</v>
      </c>
      <c r="D79" s="93" t="s">
        <v>524</v>
      </c>
      <c r="E79" s="94">
        <v>0.8125</v>
      </c>
      <c r="F79" s="93" t="s">
        <v>525</v>
      </c>
      <c r="G79" s="387" t="s">
        <v>526</v>
      </c>
      <c r="H79" s="388"/>
      <c r="I79" s="95" t="s">
        <v>527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372" t="s">
        <v>66</v>
      </c>
      <c r="I80" s="372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1:I1"/>
    <mergeCell ref="A2:B2"/>
    <mergeCell ref="C2:D2"/>
    <mergeCell ref="E2:E3"/>
    <mergeCell ref="F2:G2"/>
    <mergeCell ref="H2:I2"/>
    <mergeCell ref="A3:B3"/>
    <mergeCell ref="F3:G3"/>
    <mergeCell ref="H3:I3"/>
    <mergeCell ref="A4:H4"/>
    <mergeCell ref="A7:H7"/>
    <mergeCell ref="A9:A11"/>
    <mergeCell ref="B9:B11"/>
    <mergeCell ref="C9:D9"/>
    <mergeCell ref="E9:F9"/>
    <mergeCell ref="G9:H9"/>
    <mergeCell ref="A12:A51"/>
    <mergeCell ref="A52:B56"/>
    <mergeCell ref="C53:C54"/>
    <mergeCell ref="D53:D54"/>
    <mergeCell ref="E53:E54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opLeftCell="A43" zoomScale="90" zoomScaleNormal="90" workbookViewId="0">
      <selection activeCell="K15" sqref="K15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296" t="s">
        <v>0</v>
      </c>
      <c r="B1" s="297"/>
      <c r="C1" s="297"/>
      <c r="D1" s="297"/>
      <c r="E1" s="297"/>
      <c r="F1" s="297"/>
      <c r="G1" s="297"/>
      <c r="H1" s="297"/>
      <c r="I1" s="298"/>
    </row>
    <row r="2" spans="1:9" x14ac:dyDescent="0.3">
      <c r="A2" s="299" t="s">
        <v>1</v>
      </c>
      <c r="B2" s="300"/>
      <c r="C2" s="301" t="s">
        <v>541</v>
      </c>
      <c r="D2" s="302"/>
      <c r="E2" s="303" t="s">
        <v>77</v>
      </c>
      <c r="F2" s="305" t="s">
        <v>2</v>
      </c>
      <c r="G2" s="306"/>
      <c r="H2" s="307" t="s">
        <v>76</v>
      </c>
      <c r="I2" s="308"/>
    </row>
    <row r="3" spans="1:9" x14ac:dyDescent="0.3">
      <c r="A3" s="309" t="s">
        <v>3</v>
      </c>
      <c r="B3" s="310"/>
      <c r="C3" s="4" t="s">
        <v>542</v>
      </c>
      <c r="D3" s="5" t="s">
        <v>4</v>
      </c>
      <c r="E3" s="304"/>
      <c r="F3" s="311" t="s">
        <v>543</v>
      </c>
      <c r="G3" s="312"/>
      <c r="H3" s="313">
        <f>G11+'20일'!H3:I3</f>
        <v>39566700</v>
      </c>
      <c r="I3" s="314"/>
    </row>
    <row r="4" spans="1:9" ht="7.5" customHeight="1" x14ac:dyDescent="0.3">
      <c r="A4" s="315"/>
      <c r="B4" s="316"/>
      <c r="C4" s="316"/>
      <c r="D4" s="316"/>
      <c r="E4" s="316"/>
      <c r="F4" s="316"/>
      <c r="G4" s="316"/>
      <c r="H4" s="316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544</v>
      </c>
      <c r="F6" s="15" t="s">
        <v>545</v>
      </c>
      <c r="G6" s="16" t="s">
        <v>546</v>
      </c>
      <c r="H6" s="17">
        <v>0.28999999999999998</v>
      </c>
      <c r="I6" s="18">
        <v>0.26</v>
      </c>
    </row>
    <row r="7" spans="1:9" ht="7.5" customHeight="1" x14ac:dyDescent="0.3">
      <c r="A7" s="315"/>
      <c r="B7" s="316"/>
      <c r="C7" s="316"/>
      <c r="D7" s="316"/>
      <c r="E7" s="316"/>
      <c r="F7" s="316"/>
      <c r="G7" s="316"/>
      <c r="H7" s="316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79" t="s">
        <v>10</v>
      </c>
      <c r="B9" s="317" t="s">
        <v>11</v>
      </c>
      <c r="C9" s="320" t="s">
        <v>68</v>
      </c>
      <c r="D9" s="303"/>
      <c r="E9" s="303" t="s">
        <v>67</v>
      </c>
      <c r="F9" s="303"/>
      <c r="G9" s="303" t="s">
        <v>69</v>
      </c>
      <c r="H9" s="303"/>
      <c r="I9" s="373" t="s">
        <v>78</v>
      </c>
    </row>
    <row r="10" spans="1:9" ht="18" customHeight="1" x14ac:dyDescent="0.3">
      <c r="A10" s="380"/>
      <c r="B10" s="318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74"/>
    </row>
    <row r="11" spans="1:9" ht="17.25" thickBot="1" x14ac:dyDescent="0.35">
      <c r="A11" s="381"/>
      <c r="B11" s="319"/>
      <c r="C11" s="101">
        <v>2016400</v>
      </c>
      <c r="D11" s="102">
        <v>158</v>
      </c>
      <c r="E11" s="109">
        <f>SUM(E55:I56)</f>
        <v>383100</v>
      </c>
      <c r="F11" s="109">
        <f>SUM(E53:I54)</f>
        <v>13</v>
      </c>
      <c r="G11" s="110">
        <f>C11+E11</f>
        <v>2399500</v>
      </c>
      <c r="H11" s="110">
        <f>D11+F11</f>
        <v>171</v>
      </c>
      <c r="I11" s="111">
        <f>G11/H11</f>
        <v>14032.163742690058</v>
      </c>
    </row>
    <row r="12" spans="1:9" ht="30" customHeight="1" x14ac:dyDescent="0.3">
      <c r="A12" s="321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24" t="s">
        <v>19</v>
      </c>
      <c r="G12" s="325"/>
      <c r="H12" s="158" t="s">
        <v>20</v>
      </c>
      <c r="I12" s="100" t="s">
        <v>21</v>
      </c>
    </row>
    <row r="13" spans="1:9" ht="17.25" customHeight="1" x14ac:dyDescent="0.3">
      <c r="A13" s="322"/>
      <c r="B13" s="21" t="s">
        <v>23</v>
      </c>
      <c r="C13" s="22">
        <v>53</v>
      </c>
      <c r="D13" s="23"/>
      <c r="E13" s="22"/>
      <c r="F13" s="24"/>
      <c r="G13" s="25"/>
      <c r="H13" s="23"/>
      <c r="I13" s="26">
        <f>C13-D13-D14*1/2-E13-E14*1/2+F13-H13-H14*1/2-I14*1/2</f>
        <v>53</v>
      </c>
    </row>
    <row r="14" spans="1:9" ht="17.25" customHeight="1" x14ac:dyDescent="0.3">
      <c r="A14" s="322"/>
      <c r="B14" s="27" t="s">
        <v>24</v>
      </c>
      <c r="C14" s="28"/>
      <c r="D14" s="29"/>
      <c r="E14" s="30"/>
      <c r="F14" s="31"/>
      <c r="G14" s="25"/>
      <c r="H14" s="29"/>
      <c r="I14" s="32"/>
    </row>
    <row r="15" spans="1:9" ht="17.25" customHeight="1" x14ac:dyDescent="0.3">
      <c r="A15" s="322"/>
      <c r="B15" s="27" t="s">
        <v>25</v>
      </c>
      <c r="C15" s="33">
        <v>23</v>
      </c>
      <c r="D15" s="29"/>
      <c r="E15" s="30"/>
      <c r="F15" s="34"/>
      <c r="G15" s="25"/>
      <c r="H15" s="29"/>
      <c r="I15" s="35">
        <f>C15-D15-D16*1/2-E15-E16*1/2+F15-H15-H16*1/2-I16*1/2</f>
        <v>23</v>
      </c>
    </row>
    <row r="16" spans="1:9" ht="17.25" customHeight="1" x14ac:dyDescent="0.3">
      <c r="A16" s="322"/>
      <c r="B16" s="27" t="s">
        <v>26</v>
      </c>
      <c r="C16" s="28"/>
      <c r="D16" s="29"/>
      <c r="E16" s="30"/>
      <c r="F16" s="31"/>
      <c r="G16" s="25"/>
      <c r="H16" s="29"/>
      <c r="I16" s="36"/>
    </row>
    <row r="17" spans="1:9" ht="17.25" customHeight="1" x14ac:dyDescent="0.3">
      <c r="A17" s="322"/>
      <c r="B17" s="27" t="s">
        <v>27</v>
      </c>
      <c r="C17" s="33">
        <v>39</v>
      </c>
      <c r="D17" s="29"/>
      <c r="E17" s="30"/>
      <c r="F17" s="34"/>
      <c r="G17" s="118"/>
      <c r="H17" s="29"/>
      <c r="I17" s="37">
        <f>C17-D17-D18*1/2-E17-E18*1/2+F17-H17-H18*1/2-I18*1/2</f>
        <v>39</v>
      </c>
    </row>
    <row r="18" spans="1:9" ht="17.25" customHeight="1" x14ac:dyDescent="0.3">
      <c r="A18" s="322"/>
      <c r="B18" s="27" t="s">
        <v>28</v>
      </c>
      <c r="C18" s="28"/>
      <c r="D18" s="29"/>
      <c r="E18" s="30"/>
      <c r="F18" s="31"/>
      <c r="G18" s="25"/>
      <c r="H18" s="29"/>
      <c r="I18" s="36"/>
    </row>
    <row r="19" spans="1:9" ht="17.25" customHeight="1" x14ac:dyDescent="0.3">
      <c r="A19" s="322"/>
      <c r="B19" s="27" t="s">
        <v>29</v>
      </c>
      <c r="C19" s="33">
        <v>16</v>
      </c>
      <c r="D19" s="29"/>
      <c r="E19" s="30"/>
      <c r="F19" s="34"/>
      <c r="G19" s="25"/>
      <c r="H19" s="29"/>
      <c r="I19" s="35">
        <f>C19-D19-D20*1/2-E19-E20*1/2+F19-H19-H20*1/2-I20*1/2</f>
        <v>16</v>
      </c>
    </row>
    <row r="20" spans="1:9" ht="17.25" customHeight="1" x14ac:dyDescent="0.3">
      <c r="A20" s="322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22"/>
      <c r="B21" s="39" t="s">
        <v>31</v>
      </c>
      <c r="C21" s="40">
        <v>102</v>
      </c>
      <c r="D21" s="41"/>
      <c r="E21" s="42"/>
      <c r="F21" s="43"/>
      <c r="G21" s="44"/>
      <c r="H21" s="43"/>
      <c r="I21" s="45">
        <f t="shared" ref="I21:I48" si="0">C21-D21-E21+F21-H21</f>
        <v>102</v>
      </c>
    </row>
    <row r="22" spans="1:9" ht="17.25" customHeight="1" x14ac:dyDescent="0.3">
      <c r="A22" s="322"/>
      <c r="B22" s="21" t="s">
        <v>32</v>
      </c>
      <c r="C22" s="46">
        <v>60</v>
      </c>
      <c r="D22" s="23"/>
      <c r="E22" s="47"/>
      <c r="F22" s="48"/>
      <c r="G22" s="25"/>
      <c r="H22" s="48"/>
      <c r="I22" s="49">
        <f t="shared" si="0"/>
        <v>60</v>
      </c>
    </row>
    <row r="23" spans="1:9" ht="17.25" customHeight="1" x14ac:dyDescent="0.3">
      <c r="A23" s="322"/>
      <c r="B23" s="27" t="s">
        <v>33</v>
      </c>
      <c r="C23" s="33">
        <v>219</v>
      </c>
      <c r="D23" s="29">
        <v>1</v>
      </c>
      <c r="E23" s="50">
        <v>1</v>
      </c>
      <c r="F23" s="51"/>
      <c r="G23" s="25"/>
      <c r="H23" s="51"/>
      <c r="I23" s="52">
        <f>C23-D23-D24-E23-E24+F23+F24-H23-H24-I24</f>
        <v>214</v>
      </c>
    </row>
    <row r="24" spans="1:9" ht="17.25" customHeight="1" x14ac:dyDescent="0.3">
      <c r="A24" s="322"/>
      <c r="B24" s="160" t="s">
        <v>34</v>
      </c>
      <c r="C24" s="53"/>
      <c r="D24" s="41"/>
      <c r="E24" s="42">
        <v>3</v>
      </c>
      <c r="F24" s="43"/>
      <c r="G24" s="113"/>
      <c r="H24" s="43"/>
      <c r="I24" s="54"/>
    </row>
    <row r="25" spans="1:9" ht="17.25" customHeight="1" x14ac:dyDescent="0.3">
      <c r="A25" s="322"/>
      <c r="B25" s="21" t="s">
        <v>35</v>
      </c>
      <c r="C25" s="46">
        <v>48</v>
      </c>
      <c r="D25" s="23"/>
      <c r="E25" s="47"/>
      <c r="F25" s="48"/>
      <c r="G25" s="112"/>
      <c r="H25" s="48"/>
      <c r="I25" s="49">
        <f t="shared" si="0"/>
        <v>48</v>
      </c>
    </row>
    <row r="26" spans="1:9" ht="17.25" customHeight="1" x14ac:dyDescent="0.3">
      <c r="A26" s="322"/>
      <c r="B26" s="160" t="s">
        <v>36</v>
      </c>
      <c r="C26" s="55">
        <v>43</v>
      </c>
      <c r="D26" s="41"/>
      <c r="E26" s="42"/>
      <c r="F26" s="43"/>
      <c r="G26" s="113"/>
      <c r="H26" s="43"/>
      <c r="I26" s="45">
        <f t="shared" si="0"/>
        <v>43</v>
      </c>
    </row>
    <row r="27" spans="1:9" ht="17.25" customHeight="1" x14ac:dyDescent="0.3">
      <c r="A27" s="322"/>
      <c r="B27" s="21" t="s">
        <v>37</v>
      </c>
      <c r="C27" s="46">
        <v>32</v>
      </c>
      <c r="D27" s="23">
        <v>1</v>
      </c>
      <c r="E27" s="47"/>
      <c r="F27" s="48"/>
      <c r="G27" s="112"/>
      <c r="H27" s="48"/>
      <c r="I27" s="49">
        <f t="shared" si="0"/>
        <v>31</v>
      </c>
    </row>
    <row r="28" spans="1:9" ht="17.25" customHeight="1" x14ac:dyDescent="0.3">
      <c r="A28" s="322"/>
      <c r="B28" s="160" t="s">
        <v>38</v>
      </c>
      <c r="C28" s="55">
        <v>40</v>
      </c>
      <c r="D28" s="41">
        <v>1</v>
      </c>
      <c r="E28" s="42"/>
      <c r="F28" s="43"/>
      <c r="G28" s="113"/>
      <c r="H28" s="43"/>
      <c r="I28" s="45">
        <f t="shared" si="0"/>
        <v>39</v>
      </c>
    </row>
    <row r="29" spans="1:9" ht="17.25" customHeight="1" x14ac:dyDescent="0.3">
      <c r="A29" s="322"/>
      <c r="B29" s="21" t="s">
        <v>39</v>
      </c>
      <c r="C29" s="46">
        <v>10</v>
      </c>
      <c r="D29" s="23"/>
      <c r="E29" s="47"/>
      <c r="F29" s="48"/>
      <c r="G29" s="25"/>
      <c r="H29" s="48"/>
      <c r="I29" s="49">
        <f t="shared" si="0"/>
        <v>10</v>
      </c>
    </row>
    <row r="30" spans="1:9" ht="17.25" customHeight="1" x14ac:dyDescent="0.3">
      <c r="A30" s="322"/>
      <c r="B30" s="56" t="s">
        <v>40</v>
      </c>
      <c r="C30" s="57">
        <v>80</v>
      </c>
      <c r="D30" s="29"/>
      <c r="E30" s="50"/>
      <c r="F30" s="51"/>
      <c r="G30" s="25"/>
      <c r="H30" s="51"/>
      <c r="I30" s="52">
        <f>C30-D30-D31-E30-E31+F30+F31-H30-H31-I31</f>
        <v>80</v>
      </c>
    </row>
    <row r="31" spans="1:9" ht="17.25" customHeight="1" x14ac:dyDescent="0.3">
      <c r="A31" s="322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22"/>
      <c r="B32" s="179" t="s">
        <v>117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22"/>
      <c r="B33" s="179" t="s">
        <v>119</v>
      </c>
      <c r="C33" s="185"/>
      <c r="D33" s="29"/>
      <c r="E33" s="50"/>
      <c r="F33" s="51"/>
      <c r="G33" s="25"/>
      <c r="H33" s="51"/>
      <c r="I33" s="188"/>
    </row>
    <row r="34" spans="1:9" ht="17.25" customHeight="1" x14ac:dyDescent="0.3">
      <c r="A34" s="322"/>
      <c r="B34" s="179" t="s">
        <v>121</v>
      </c>
      <c r="C34" s="186"/>
      <c r="D34" s="60"/>
      <c r="E34" s="61"/>
      <c r="F34" s="62"/>
      <c r="G34" s="113"/>
      <c r="H34" s="62"/>
      <c r="I34" s="189">
        <v>2</v>
      </c>
    </row>
    <row r="35" spans="1:9" ht="17.25" customHeight="1" x14ac:dyDescent="0.3">
      <c r="A35" s="322"/>
      <c r="B35" s="191" t="s">
        <v>79</v>
      </c>
      <c r="C35" s="281"/>
      <c r="D35" s="23"/>
      <c r="E35" s="47">
        <v>1</v>
      </c>
      <c r="F35" s="48"/>
      <c r="G35" s="116"/>
      <c r="H35" s="48"/>
      <c r="I35" s="282">
        <v>36</v>
      </c>
    </row>
    <row r="36" spans="1:9" ht="17.25" customHeight="1" x14ac:dyDescent="0.3">
      <c r="A36" s="322"/>
      <c r="B36" s="153" t="s">
        <v>80</v>
      </c>
      <c r="C36" s="121">
        <v>20</v>
      </c>
      <c r="D36" s="122"/>
      <c r="E36" s="123"/>
      <c r="F36" s="124"/>
      <c r="G36" s="112"/>
      <c r="H36" s="124"/>
      <c r="I36" s="52">
        <f>C36-D36-E36+F36-H36</f>
        <v>20</v>
      </c>
    </row>
    <row r="37" spans="1:9" ht="17.25" customHeight="1" x14ac:dyDescent="0.3">
      <c r="A37" s="322"/>
      <c r="B37" s="163" t="s">
        <v>107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22"/>
      <c r="B38" s="178" t="s">
        <v>131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22"/>
      <c r="B39" s="178" t="s">
        <v>109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22"/>
      <c r="B40" s="178" t="s">
        <v>133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22"/>
      <c r="B41" s="178" t="s">
        <v>111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22"/>
      <c r="B42" s="178" t="s">
        <v>135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22"/>
      <c r="B43" s="178" t="s">
        <v>113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22"/>
      <c r="B44" s="178" t="s">
        <v>125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22"/>
      <c r="B45" s="164" t="s">
        <v>115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22"/>
      <c r="B46" s="120" t="s">
        <v>89</v>
      </c>
      <c r="C46" s="154">
        <v>10</v>
      </c>
      <c r="D46" s="23"/>
      <c r="E46" s="47"/>
      <c r="F46" s="48"/>
      <c r="G46" s="116"/>
      <c r="H46" s="48"/>
      <c r="I46" s="49">
        <f t="shared" si="0"/>
        <v>10</v>
      </c>
    </row>
    <row r="47" spans="1:9" ht="17.25" customHeight="1" x14ac:dyDescent="0.3">
      <c r="A47" s="322"/>
      <c r="B47" s="120" t="s">
        <v>88</v>
      </c>
      <c r="C47" s="121"/>
      <c r="D47" s="122"/>
      <c r="E47" s="123"/>
      <c r="F47" s="124"/>
      <c r="G47" s="112"/>
      <c r="H47" s="124"/>
      <c r="I47" s="52">
        <f t="shared" si="0"/>
        <v>0</v>
      </c>
    </row>
    <row r="48" spans="1:9" ht="17.25" customHeight="1" x14ac:dyDescent="0.3">
      <c r="A48" s="322"/>
      <c r="B48" s="56" t="s">
        <v>123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22"/>
      <c r="B49" s="179" t="s">
        <v>127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22"/>
      <c r="B50" s="58" t="s">
        <v>129</v>
      </c>
      <c r="C50" s="59"/>
      <c r="D50" s="60"/>
      <c r="E50" s="61"/>
      <c r="F50" s="62"/>
      <c r="G50" s="113"/>
      <c r="H50" s="62"/>
      <c r="I50" s="63">
        <v>2</v>
      </c>
    </row>
    <row r="51" spans="1:10" ht="17.25" customHeight="1" thickBot="1" x14ac:dyDescent="0.35">
      <c r="A51" s="323"/>
      <c r="B51" s="64" t="s">
        <v>42</v>
      </c>
      <c r="C51" s="65">
        <f>SUM(C13:C50)</f>
        <v>795</v>
      </c>
      <c r="D51" s="66">
        <f>SUM(D13:D46)</f>
        <v>3</v>
      </c>
      <c r="E51" s="67">
        <f>SUM(E13:E46)</f>
        <v>5</v>
      </c>
      <c r="F51" s="67">
        <f>SUM(F13:F46)</f>
        <v>0</v>
      </c>
      <c r="G51" s="68" t="s">
        <v>22</v>
      </c>
      <c r="H51" s="69">
        <f>SUM(H13:H46)</f>
        <v>0</v>
      </c>
      <c r="I51" s="70">
        <f>SUM(I13:I46)</f>
        <v>826</v>
      </c>
    </row>
    <row r="52" spans="1:10" ht="17.25" customHeight="1" x14ac:dyDescent="0.3">
      <c r="A52" s="326" t="s">
        <v>72</v>
      </c>
      <c r="B52" s="327"/>
      <c r="C52" s="71"/>
      <c r="D52" s="72" t="s">
        <v>163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28"/>
      <c r="B53" s="329"/>
      <c r="C53" s="332" t="s">
        <v>74</v>
      </c>
      <c r="D53" s="334"/>
      <c r="E53" s="336">
        <v>1</v>
      </c>
      <c r="F53" s="336">
        <v>3</v>
      </c>
      <c r="G53" s="336">
        <v>8</v>
      </c>
      <c r="H53" s="336"/>
      <c r="I53" s="339">
        <v>1</v>
      </c>
      <c r="J53" s="174"/>
    </row>
    <row r="54" spans="1:10" s="76" customFormat="1" ht="17.25" customHeight="1" x14ac:dyDescent="0.3">
      <c r="A54" s="328"/>
      <c r="B54" s="329"/>
      <c r="C54" s="333"/>
      <c r="D54" s="335"/>
      <c r="E54" s="337"/>
      <c r="F54" s="337"/>
      <c r="G54" s="337"/>
      <c r="H54" s="338"/>
      <c r="I54" s="340"/>
    </row>
    <row r="55" spans="1:10" s="76" customFormat="1" ht="17.25" customHeight="1" x14ac:dyDescent="0.3">
      <c r="A55" s="328"/>
      <c r="B55" s="329"/>
      <c r="C55" s="332" t="s">
        <v>75</v>
      </c>
      <c r="D55" s="334"/>
      <c r="E55" s="343">
        <v>31400</v>
      </c>
      <c r="F55" s="343">
        <v>66200</v>
      </c>
      <c r="G55" s="343">
        <v>148000</v>
      </c>
      <c r="H55" s="336"/>
      <c r="I55" s="347">
        <v>137500</v>
      </c>
    </row>
    <row r="56" spans="1:10" s="76" customFormat="1" ht="17.25" customHeight="1" thickBot="1" x14ac:dyDescent="0.35">
      <c r="A56" s="330"/>
      <c r="B56" s="331"/>
      <c r="C56" s="341"/>
      <c r="D56" s="342"/>
      <c r="E56" s="344"/>
      <c r="F56" s="344"/>
      <c r="G56" s="344"/>
      <c r="H56" s="344"/>
      <c r="I56" s="348"/>
    </row>
    <row r="57" spans="1:10" s="76" customFormat="1" ht="17.25" customHeight="1" x14ac:dyDescent="0.3">
      <c r="A57" s="326" t="s">
        <v>45</v>
      </c>
      <c r="B57" s="327"/>
      <c r="C57" s="349" t="s">
        <v>560</v>
      </c>
      <c r="D57" s="350"/>
      <c r="E57" s="350"/>
      <c r="F57" s="350"/>
      <c r="G57" s="350"/>
      <c r="H57" s="350"/>
      <c r="I57" s="351"/>
    </row>
    <row r="58" spans="1:10" s="76" customFormat="1" ht="17.25" customHeight="1" x14ac:dyDescent="0.3">
      <c r="A58" s="328"/>
      <c r="B58" s="329"/>
      <c r="C58" s="352" t="s">
        <v>561</v>
      </c>
      <c r="D58" s="352"/>
      <c r="E58" s="352"/>
      <c r="F58" s="352"/>
      <c r="G58" s="352"/>
      <c r="H58" s="352"/>
      <c r="I58" s="353"/>
    </row>
    <row r="59" spans="1:10" s="76" customFormat="1" ht="17.25" customHeight="1" x14ac:dyDescent="0.3">
      <c r="A59" s="328"/>
      <c r="B59" s="329"/>
      <c r="C59" s="354" t="s">
        <v>562</v>
      </c>
      <c r="D59" s="352"/>
      <c r="E59" s="352"/>
      <c r="F59" s="352"/>
      <c r="G59" s="352"/>
      <c r="H59" s="352"/>
      <c r="I59" s="353"/>
    </row>
    <row r="60" spans="1:10" s="76" customFormat="1" ht="17.25" customHeight="1" thickBot="1" x14ac:dyDescent="0.35">
      <c r="A60" s="330"/>
      <c r="B60" s="331"/>
      <c r="C60" s="345" t="s">
        <v>563</v>
      </c>
      <c r="D60" s="345"/>
      <c r="E60" s="345"/>
      <c r="F60" s="345"/>
      <c r="G60" s="345"/>
      <c r="H60" s="345"/>
      <c r="I60" s="346"/>
    </row>
    <row r="61" spans="1:10" s="76" customFormat="1" ht="17.25" customHeight="1" x14ac:dyDescent="0.3">
      <c r="A61" s="326" t="s">
        <v>73</v>
      </c>
      <c r="B61" s="327"/>
      <c r="C61" s="389" t="s">
        <v>554</v>
      </c>
      <c r="D61" s="368"/>
      <c r="E61" s="368"/>
      <c r="F61" s="368"/>
      <c r="G61" s="368"/>
      <c r="H61" s="368"/>
      <c r="I61" s="369"/>
    </row>
    <row r="62" spans="1:10" s="76" customFormat="1" ht="17.25" customHeight="1" x14ac:dyDescent="0.3">
      <c r="A62" s="328"/>
      <c r="B62" s="329"/>
      <c r="C62" s="354" t="s">
        <v>555</v>
      </c>
      <c r="D62" s="352"/>
      <c r="E62" s="352"/>
      <c r="F62" s="352"/>
      <c r="G62" s="352"/>
      <c r="H62" s="352"/>
      <c r="I62" s="353"/>
    </row>
    <row r="63" spans="1:10" s="76" customFormat="1" ht="17.25" customHeight="1" x14ac:dyDescent="0.3">
      <c r="A63" s="328"/>
      <c r="B63" s="329"/>
      <c r="C63" s="354" t="s">
        <v>556</v>
      </c>
      <c r="D63" s="352"/>
      <c r="E63" s="352"/>
      <c r="F63" s="352"/>
      <c r="G63" s="352"/>
      <c r="H63" s="352"/>
      <c r="I63" s="353"/>
    </row>
    <row r="64" spans="1:10" s="76" customFormat="1" ht="17.25" customHeight="1" thickBot="1" x14ac:dyDescent="0.35">
      <c r="A64" s="330"/>
      <c r="B64" s="331"/>
      <c r="C64" s="345"/>
      <c r="D64" s="345"/>
      <c r="E64" s="345"/>
      <c r="F64" s="345"/>
      <c r="G64" s="345"/>
      <c r="H64" s="345"/>
      <c r="I64" s="346"/>
    </row>
    <row r="65" spans="1:9" s="76" customFormat="1" ht="17.25" customHeight="1" x14ac:dyDescent="0.3">
      <c r="A65" s="363" t="s">
        <v>46</v>
      </c>
      <c r="B65" s="366" t="s">
        <v>47</v>
      </c>
      <c r="C65" s="368"/>
      <c r="D65" s="368"/>
      <c r="E65" s="368"/>
      <c r="F65" s="368"/>
      <c r="G65" s="368"/>
      <c r="H65" s="368"/>
      <c r="I65" s="369"/>
    </row>
    <row r="66" spans="1:9" s="76" customFormat="1" ht="17.25" customHeight="1" x14ac:dyDescent="0.3">
      <c r="A66" s="364"/>
      <c r="B66" s="367"/>
      <c r="C66" s="350"/>
      <c r="D66" s="350"/>
      <c r="E66" s="350"/>
      <c r="F66" s="350"/>
      <c r="G66" s="350"/>
      <c r="H66" s="350"/>
      <c r="I66" s="351"/>
    </row>
    <row r="67" spans="1:9" s="76" customFormat="1" ht="17.25" customHeight="1" x14ac:dyDescent="0.3">
      <c r="A67" s="364"/>
      <c r="B67" s="370" t="s">
        <v>48</v>
      </c>
      <c r="C67" s="352" t="s">
        <v>558</v>
      </c>
      <c r="D67" s="352"/>
      <c r="E67" s="352"/>
      <c r="F67" s="352"/>
      <c r="G67" s="352"/>
      <c r="H67" s="352"/>
      <c r="I67" s="353"/>
    </row>
    <row r="68" spans="1:9" s="76" customFormat="1" ht="17.25" customHeight="1" x14ac:dyDescent="0.3">
      <c r="A68" s="364"/>
      <c r="B68" s="367"/>
      <c r="C68" s="350" t="s">
        <v>559</v>
      </c>
      <c r="D68" s="350"/>
      <c r="E68" s="350"/>
      <c r="F68" s="350"/>
      <c r="G68" s="350"/>
      <c r="H68" s="350"/>
      <c r="I68" s="351"/>
    </row>
    <row r="69" spans="1:9" s="76" customFormat="1" ht="17.25" customHeight="1" thickBot="1" x14ac:dyDescent="0.35">
      <c r="A69" s="365"/>
      <c r="B69" s="371"/>
      <c r="C69" s="362"/>
      <c r="D69" s="345"/>
      <c r="E69" s="345"/>
      <c r="F69" s="345"/>
      <c r="G69" s="345"/>
      <c r="H69" s="345"/>
      <c r="I69" s="346"/>
    </row>
    <row r="70" spans="1:9" s="76" customFormat="1" ht="17.25" customHeight="1" x14ac:dyDescent="0.3">
      <c r="A70" s="326" t="s">
        <v>49</v>
      </c>
      <c r="B70" s="327"/>
      <c r="C70" s="350" t="s">
        <v>547</v>
      </c>
      <c r="D70" s="350"/>
      <c r="E70" s="350"/>
      <c r="F70" s="350"/>
      <c r="G70" s="350"/>
      <c r="H70" s="350"/>
      <c r="I70" s="351"/>
    </row>
    <row r="71" spans="1:9" s="76" customFormat="1" ht="17.25" customHeight="1" x14ac:dyDescent="0.3">
      <c r="A71" s="328"/>
      <c r="B71" s="329"/>
      <c r="C71" s="350" t="s">
        <v>557</v>
      </c>
      <c r="D71" s="350"/>
      <c r="E71" s="350"/>
      <c r="F71" s="350"/>
      <c r="G71" s="350"/>
      <c r="H71" s="350"/>
      <c r="I71" s="351"/>
    </row>
    <row r="72" spans="1:9" s="76" customFormat="1" ht="17.25" customHeight="1" thickBot="1" x14ac:dyDescent="0.35">
      <c r="A72" s="330"/>
      <c r="B72" s="331"/>
      <c r="C72" s="362"/>
      <c r="D72" s="345"/>
      <c r="E72" s="345"/>
      <c r="F72" s="345"/>
      <c r="G72" s="345"/>
      <c r="H72" s="345"/>
      <c r="I72" s="346"/>
    </row>
    <row r="73" spans="1:9" s="76" customFormat="1" ht="17.25" customHeight="1" x14ac:dyDescent="0.3">
      <c r="A73" s="326" t="s">
        <v>50</v>
      </c>
      <c r="B73" s="327"/>
      <c r="C73" s="389"/>
      <c r="D73" s="368"/>
      <c r="E73" s="368"/>
      <c r="F73" s="368"/>
      <c r="G73" s="368"/>
      <c r="H73" s="368"/>
      <c r="I73" s="369"/>
    </row>
    <row r="74" spans="1:9" s="76" customFormat="1" ht="17.25" customHeight="1" thickBot="1" x14ac:dyDescent="0.35">
      <c r="A74" s="330"/>
      <c r="B74" s="331"/>
      <c r="C74" s="354"/>
      <c r="D74" s="352"/>
      <c r="E74" s="352"/>
      <c r="F74" s="352"/>
      <c r="G74" s="352"/>
      <c r="H74" s="352"/>
      <c r="I74" s="353"/>
    </row>
    <row r="75" spans="1:9" s="76" customFormat="1" ht="17.25" customHeight="1" x14ac:dyDescent="0.3">
      <c r="A75" s="326" t="s">
        <v>51</v>
      </c>
      <c r="B75" s="327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548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549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375" t="s">
        <v>61</v>
      </c>
      <c r="B78" s="376"/>
      <c r="C78" s="382" t="s">
        <v>62</v>
      </c>
      <c r="D78" s="383"/>
      <c r="E78" s="384" t="s">
        <v>63</v>
      </c>
      <c r="F78" s="383"/>
      <c r="G78" s="385" t="s">
        <v>64</v>
      </c>
      <c r="H78" s="386"/>
      <c r="I78" s="90" t="s">
        <v>65</v>
      </c>
    </row>
    <row r="79" spans="1:9" s="76" customFormat="1" ht="17.25" customHeight="1" thickBot="1" x14ac:dyDescent="0.35">
      <c r="A79" s="377"/>
      <c r="B79" s="378"/>
      <c r="C79" s="92">
        <v>0.25</v>
      </c>
      <c r="D79" s="93" t="s">
        <v>550</v>
      </c>
      <c r="E79" s="94">
        <v>0.77083333333333337</v>
      </c>
      <c r="F79" s="93" t="s">
        <v>551</v>
      </c>
      <c r="G79" s="387" t="s">
        <v>552</v>
      </c>
      <c r="H79" s="388"/>
      <c r="I79" s="95" t="s">
        <v>553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372" t="s">
        <v>66</v>
      </c>
      <c r="I80" s="372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1:I1"/>
    <mergeCell ref="A2:B2"/>
    <mergeCell ref="C2:D2"/>
    <mergeCell ref="E2:E3"/>
    <mergeCell ref="F2:G2"/>
    <mergeCell ref="H2:I2"/>
    <mergeCell ref="A3:B3"/>
    <mergeCell ref="F3:G3"/>
    <mergeCell ref="H3:I3"/>
    <mergeCell ref="A4:H4"/>
    <mergeCell ref="A7:H7"/>
    <mergeCell ref="A9:A11"/>
    <mergeCell ref="B9:B11"/>
    <mergeCell ref="C9:D9"/>
    <mergeCell ref="E9:F9"/>
    <mergeCell ref="G9:H9"/>
    <mergeCell ref="A12:A51"/>
    <mergeCell ref="A52:B56"/>
    <mergeCell ref="C53:C54"/>
    <mergeCell ref="D53:D54"/>
    <mergeCell ref="E53:E54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opLeftCell="A52" zoomScale="90" zoomScaleNormal="90" workbookViewId="0">
      <selection activeCell="K78" sqref="K78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296" t="s">
        <v>0</v>
      </c>
      <c r="B1" s="297"/>
      <c r="C1" s="297"/>
      <c r="D1" s="297"/>
      <c r="E1" s="297"/>
      <c r="F1" s="297"/>
      <c r="G1" s="297"/>
      <c r="H1" s="297"/>
      <c r="I1" s="298"/>
    </row>
    <row r="2" spans="1:9" x14ac:dyDescent="0.3">
      <c r="A2" s="299" t="s">
        <v>1</v>
      </c>
      <c r="B2" s="300"/>
      <c r="C2" s="301" t="s">
        <v>565</v>
      </c>
      <c r="D2" s="302"/>
      <c r="E2" s="303" t="s">
        <v>77</v>
      </c>
      <c r="F2" s="305" t="s">
        <v>2</v>
      </c>
      <c r="G2" s="306"/>
      <c r="H2" s="307" t="s">
        <v>76</v>
      </c>
      <c r="I2" s="308"/>
    </row>
    <row r="3" spans="1:9" x14ac:dyDescent="0.3">
      <c r="A3" s="309" t="s">
        <v>3</v>
      </c>
      <c r="B3" s="310"/>
      <c r="C3" s="4" t="s">
        <v>566</v>
      </c>
      <c r="D3" s="5" t="s">
        <v>4</v>
      </c>
      <c r="E3" s="304"/>
      <c r="F3" s="311" t="s">
        <v>567</v>
      </c>
      <c r="G3" s="312"/>
      <c r="H3" s="313">
        <f>G11+'21일'!H3:I3</f>
        <v>40942100</v>
      </c>
      <c r="I3" s="314"/>
    </row>
    <row r="4" spans="1:9" ht="7.5" customHeight="1" x14ac:dyDescent="0.3">
      <c r="A4" s="315"/>
      <c r="B4" s="316"/>
      <c r="C4" s="316"/>
      <c r="D4" s="316"/>
      <c r="E4" s="316"/>
      <c r="F4" s="316"/>
      <c r="G4" s="316"/>
      <c r="H4" s="316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569</v>
      </c>
      <c r="F6" s="15" t="s">
        <v>568</v>
      </c>
      <c r="G6" s="16" t="s">
        <v>497</v>
      </c>
      <c r="H6" s="17">
        <v>0.39</v>
      </c>
      <c r="I6" s="18">
        <v>0.27</v>
      </c>
    </row>
    <row r="7" spans="1:9" ht="7.5" customHeight="1" x14ac:dyDescent="0.3">
      <c r="A7" s="315"/>
      <c r="B7" s="316"/>
      <c r="C7" s="316"/>
      <c r="D7" s="316"/>
      <c r="E7" s="316"/>
      <c r="F7" s="316"/>
      <c r="G7" s="316"/>
      <c r="H7" s="316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79" t="s">
        <v>10</v>
      </c>
      <c r="B9" s="317" t="s">
        <v>11</v>
      </c>
      <c r="C9" s="320" t="s">
        <v>68</v>
      </c>
      <c r="D9" s="303"/>
      <c r="E9" s="303" t="s">
        <v>67</v>
      </c>
      <c r="F9" s="303"/>
      <c r="G9" s="303" t="s">
        <v>69</v>
      </c>
      <c r="H9" s="303"/>
      <c r="I9" s="373" t="s">
        <v>78</v>
      </c>
    </row>
    <row r="10" spans="1:9" ht="18" customHeight="1" x14ac:dyDescent="0.3">
      <c r="A10" s="380"/>
      <c r="B10" s="318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74"/>
    </row>
    <row r="11" spans="1:9" ht="17.25" thickBot="1" x14ac:dyDescent="0.35">
      <c r="A11" s="381"/>
      <c r="B11" s="319"/>
      <c r="C11" s="101">
        <v>1125700</v>
      </c>
      <c r="D11" s="102">
        <v>79</v>
      </c>
      <c r="E11" s="109">
        <f>SUM(E55:I56)</f>
        <v>249700</v>
      </c>
      <c r="F11" s="109">
        <f>SUM(E53:I54)</f>
        <v>11</v>
      </c>
      <c r="G11" s="110">
        <f>C11+E11</f>
        <v>1375400</v>
      </c>
      <c r="H11" s="110">
        <f>D11+F11</f>
        <v>90</v>
      </c>
      <c r="I11" s="111">
        <f>G11/H11</f>
        <v>15282.222222222223</v>
      </c>
    </row>
    <row r="12" spans="1:9" ht="30" customHeight="1" x14ac:dyDescent="0.3">
      <c r="A12" s="321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24" t="s">
        <v>19</v>
      </c>
      <c r="G12" s="325"/>
      <c r="H12" s="158" t="s">
        <v>20</v>
      </c>
      <c r="I12" s="100" t="s">
        <v>21</v>
      </c>
    </row>
    <row r="13" spans="1:9" ht="17.25" customHeight="1" x14ac:dyDescent="0.3">
      <c r="A13" s="322"/>
      <c r="B13" s="21" t="s">
        <v>23</v>
      </c>
      <c r="C13" s="22">
        <v>39</v>
      </c>
      <c r="D13" s="23"/>
      <c r="E13" s="22"/>
      <c r="F13" s="24"/>
      <c r="G13" s="25"/>
      <c r="H13" s="23"/>
      <c r="I13" s="26">
        <f>C13-D13-D14*1/2-E13-E14*1/2+F13-H13-H14*1/2-I14*1/2</f>
        <v>39</v>
      </c>
    </row>
    <row r="14" spans="1:9" ht="17.25" customHeight="1" x14ac:dyDescent="0.3">
      <c r="A14" s="322"/>
      <c r="B14" s="27" t="s">
        <v>24</v>
      </c>
      <c r="C14" s="28"/>
      <c r="D14" s="29"/>
      <c r="E14" s="30"/>
      <c r="F14" s="31"/>
      <c r="G14" s="25"/>
      <c r="H14" s="29"/>
      <c r="I14" s="32"/>
    </row>
    <row r="15" spans="1:9" ht="17.25" customHeight="1" x14ac:dyDescent="0.3">
      <c r="A15" s="322"/>
      <c r="B15" s="27" t="s">
        <v>25</v>
      </c>
      <c r="C15" s="33">
        <v>23</v>
      </c>
      <c r="D15" s="29"/>
      <c r="E15" s="30"/>
      <c r="F15" s="34"/>
      <c r="G15" s="25"/>
      <c r="H15" s="29"/>
      <c r="I15" s="35">
        <f>C15-D15-D16*1/2-E15-E16*1/2+F15-H15-H16*1/2-I16*1/2</f>
        <v>23</v>
      </c>
    </row>
    <row r="16" spans="1:9" ht="17.25" customHeight="1" x14ac:dyDescent="0.3">
      <c r="A16" s="322"/>
      <c r="B16" s="27" t="s">
        <v>26</v>
      </c>
      <c r="C16" s="28"/>
      <c r="D16" s="29"/>
      <c r="E16" s="30"/>
      <c r="F16" s="31"/>
      <c r="G16" s="25"/>
      <c r="H16" s="29"/>
      <c r="I16" s="36"/>
    </row>
    <row r="17" spans="1:9" ht="17.25" customHeight="1" x14ac:dyDescent="0.3">
      <c r="A17" s="322"/>
      <c r="B17" s="27" t="s">
        <v>27</v>
      </c>
      <c r="C17" s="33">
        <v>28</v>
      </c>
      <c r="D17" s="29"/>
      <c r="E17" s="30"/>
      <c r="F17" s="34"/>
      <c r="G17" s="118"/>
      <c r="H17" s="29">
        <v>2</v>
      </c>
      <c r="I17" s="37">
        <f>C17-D17-D18*1/2-E17-E18*1/2+F17-H17-H18*1/2-I18*1/2</f>
        <v>26</v>
      </c>
    </row>
    <row r="18" spans="1:9" ht="17.25" customHeight="1" x14ac:dyDescent="0.3">
      <c r="A18" s="322"/>
      <c r="B18" s="27" t="s">
        <v>28</v>
      </c>
      <c r="C18" s="28"/>
      <c r="D18" s="29"/>
      <c r="E18" s="30"/>
      <c r="F18" s="31"/>
      <c r="G18" s="25"/>
      <c r="H18" s="29"/>
      <c r="I18" s="36"/>
    </row>
    <row r="19" spans="1:9" ht="17.25" customHeight="1" x14ac:dyDescent="0.3">
      <c r="A19" s="322"/>
      <c r="B19" s="27" t="s">
        <v>29</v>
      </c>
      <c r="C19" s="33">
        <v>12</v>
      </c>
      <c r="D19" s="29"/>
      <c r="E19" s="30"/>
      <c r="F19" s="34"/>
      <c r="G19" s="25"/>
      <c r="H19" s="29"/>
      <c r="I19" s="35">
        <f>C19-D19-D20*1/2-E19-E20*1/2+F19-H19-H20*1/2-I20*1/2</f>
        <v>12</v>
      </c>
    </row>
    <row r="20" spans="1:9" ht="17.25" customHeight="1" x14ac:dyDescent="0.3">
      <c r="A20" s="322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22"/>
      <c r="B21" s="39" t="s">
        <v>31</v>
      </c>
      <c r="C21" s="40">
        <v>82</v>
      </c>
      <c r="D21" s="41"/>
      <c r="E21" s="42"/>
      <c r="F21" s="43"/>
      <c r="G21" s="44"/>
      <c r="H21" s="43"/>
      <c r="I21" s="45">
        <f t="shared" ref="I21:I48" si="0">C21-D21-E21+F21-H21</f>
        <v>82</v>
      </c>
    </row>
    <row r="22" spans="1:9" ht="17.25" customHeight="1" x14ac:dyDescent="0.3">
      <c r="A22" s="322"/>
      <c r="B22" s="21" t="s">
        <v>32</v>
      </c>
      <c r="C22" s="46">
        <v>47</v>
      </c>
      <c r="D22" s="23"/>
      <c r="E22" s="47"/>
      <c r="F22" s="48"/>
      <c r="G22" s="25"/>
      <c r="H22" s="48">
        <v>14</v>
      </c>
      <c r="I22" s="49">
        <f t="shared" si="0"/>
        <v>33</v>
      </c>
    </row>
    <row r="23" spans="1:9" ht="17.25" customHeight="1" x14ac:dyDescent="0.3">
      <c r="A23" s="322"/>
      <c r="B23" s="27" t="s">
        <v>33</v>
      </c>
      <c r="C23" s="33">
        <v>171</v>
      </c>
      <c r="D23" s="29"/>
      <c r="E23" s="50"/>
      <c r="F23" s="51"/>
      <c r="G23" s="25"/>
      <c r="H23" s="51"/>
      <c r="I23" s="52">
        <f>C23-D23-D24-E23-E24+F23+F24-H23-H24-I24</f>
        <v>171</v>
      </c>
    </row>
    <row r="24" spans="1:9" ht="17.25" customHeight="1" x14ac:dyDescent="0.3">
      <c r="A24" s="322"/>
      <c r="B24" s="160" t="s">
        <v>34</v>
      </c>
      <c r="C24" s="53"/>
      <c r="D24" s="41"/>
      <c r="E24" s="42"/>
      <c r="F24" s="43"/>
      <c r="G24" s="113"/>
      <c r="H24" s="43"/>
      <c r="I24" s="54"/>
    </row>
    <row r="25" spans="1:9" ht="17.25" customHeight="1" x14ac:dyDescent="0.3">
      <c r="A25" s="322"/>
      <c r="B25" s="21" t="s">
        <v>35</v>
      </c>
      <c r="C25" s="46">
        <v>36</v>
      </c>
      <c r="D25" s="23"/>
      <c r="E25" s="47"/>
      <c r="F25" s="48"/>
      <c r="G25" s="112"/>
      <c r="H25" s="48">
        <v>2</v>
      </c>
      <c r="I25" s="49">
        <f t="shared" si="0"/>
        <v>34</v>
      </c>
    </row>
    <row r="26" spans="1:9" ht="17.25" customHeight="1" x14ac:dyDescent="0.3">
      <c r="A26" s="322"/>
      <c r="B26" s="160" t="s">
        <v>36</v>
      </c>
      <c r="C26" s="55">
        <v>30</v>
      </c>
      <c r="D26" s="41"/>
      <c r="E26" s="42"/>
      <c r="F26" s="43"/>
      <c r="G26" s="113"/>
      <c r="H26" s="43"/>
      <c r="I26" s="45">
        <f t="shared" si="0"/>
        <v>30</v>
      </c>
    </row>
    <row r="27" spans="1:9" ht="17.25" customHeight="1" x14ac:dyDescent="0.3">
      <c r="A27" s="322"/>
      <c r="B27" s="21" t="s">
        <v>37</v>
      </c>
      <c r="C27" s="46">
        <v>33</v>
      </c>
      <c r="D27" s="23"/>
      <c r="E27" s="47"/>
      <c r="F27" s="48"/>
      <c r="G27" s="112"/>
      <c r="H27" s="48"/>
      <c r="I27" s="49">
        <f t="shared" si="0"/>
        <v>33</v>
      </c>
    </row>
    <row r="28" spans="1:9" ht="17.25" customHeight="1" x14ac:dyDescent="0.3">
      <c r="A28" s="322"/>
      <c r="B28" s="160" t="s">
        <v>38</v>
      </c>
      <c r="C28" s="55">
        <v>45</v>
      </c>
      <c r="D28" s="41"/>
      <c r="E28" s="42"/>
      <c r="F28" s="43"/>
      <c r="G28" s="113"/>
      <c r="H28" s="43">
        <v>16</v>
      </c>
      <c r="I28" s="45">
        <f t="shared" si="0"/>
        <v>29</v>
      </c>
    </row>
    <row r="29" spans="1:9" ht="17.25" customHeight="1" x14ac:dyDescent="0.3">
      <c r="A29" s="322"/>
      <c r="B29" s="21" t="s">
        <v>39</v>
      </c>
      <c r="C29" s="46">
        <v>10</v>
      </c>
      <c r="D29" s="23"/>
      <c r="E29" s="47"/>
      <c r="F29" s="48"/>
      <c r="G29" s="25"/>
      <c r="H29" s="48"/>
      <c r="I29" s="49">
        <f t="shared" si="0"/>
        <v>10</v>
      </c>
    </row>
    <row r="30" spans="1:9" ht="17.25" customHeight="1" x14ac:dyDescent="0.3">
      <c r="A30" s="322"/>
      <c r="B30" s="56" t="s">
        <v>40</v>
      </c>
      <c r="C30" s="57">
        <v>108</v>
      </c>
      <c r="D30" s="29"/>
      <c r="E30" s="50"/>
      <c r="F30" s="51"/>
      <c r="G30" s="25"/>
      <c r="H30" s="51"/>
      <c r="I30" s="52">
        <f>C30-D30-D31-E30-E31+F30+F31-H30-H31-I31</f>
        <v>108</v>
      </c>
    </row>
    <row r="31" spans="1:9" ht="17.25" customHeight="1" x14ac:dyDescent="0.3">
      <c r="A31" s="322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22"/>
      <c r="B32" s="179" t="s">
        <v>117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22"/>
      <c r="B33" s="179" t="s">
        <v>119</v>
      </c>
      <c r="C33" s="185"/>
      <c r="D33" s="29"/>
      <c r="E33" s="50"/>
      <c r="F33" s="51"/>
      <c r="G33" s="25"/>
      <c r="H33" s="51"/>
      <c r="I33" s="188"/>
    </row>
    <row r="34" spans="1:9" ht="17.25" customHeight="1" x14ac:dyDescent="0.3">
      <c r="A34" s="322"/>
      <c r="B34" s="179" t="s">
        <v>121</v>
      </c>
      <c r="C34" s="186"/>
      <c r="D34" s="60"/>
      <c r="E34" s="61"/>
      <c r="F34" s="62"/>
      <c r="G34" s="113"/>
      <c r="H34" s="62"/>
      <c r="I34" s="189"/>
    </row>
    <row r="35" spans="1:9" ht="17.25" customHeight="1" x14ac:dyDescent="0.3">
      <c r="A35" s="322"/>
      <c r="B35" s="191" t="s">
        <v>79</v>
      </c>
      <c r="C35" s="281"/>
      <c r="D35" s="23"/>
      <c r="E35" s="47"/>
      <c r="F35" s="48"/>
      <c r="G35" s="116"/>
      <c r="H35" s="48"/>
      <c r="I35" s="282"/>
    </row>
    <row r="36" spans="1:9" ht="17.25" customHeight="1" x14ac:dyDescent="0.3">
      <c r="A36" s="322"/>
      <c r="B36" s="153" t="s">
        <v>80</v>
      </c>
      <c r="C36" s="121">
        <v>20</v>
      </c>
      <c r="D36" s="122"/>
      <c r="E36" s="123"/>
      <c r="F36" s="124"/>
      <c r="G36" s="112"/>
      <c r="H36" s="124"/>
      <c r="I36" s="52">
        <f>C36-D36-E36+F36-H36</f>
        <v>20</v>
      </c>
    </row>
    <row r="37" spans="1:9" ht="17.25" customHeight="1" x14ac:dyDescent="0.3">
      <c r="A37" s="322"/>
      <c r="B37" s="163" t="s">
        <v>107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22"/>
      <c r="B38" s="178" t="s">
        <v>131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22"/>
      <c r="B39" s="178" t="s">
        <v>109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22"/>
      <c r="B40" s="178" t="s">
        <v>133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22"/>
      <c r="B41" s="178" t="s">
        <v>111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22"/>
      <c r="B42" s="178" t="s">
        <v>135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22"/>
      <c r="B43" s="178" t="s">
        <v>113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22"/>
      <c r="B44" s="178" t="s">
        <v>125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22"/>
      <c r="B45" s="164" t="s">
        <v>115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22"/>
      <c r="B46" s="120" t="s">
        <v>89</v>
      </c>
      <c r="C46" s="154">
        <v>7</v>
      </c>
      <c r="D46" s="23"/>
      <c r="E46" s="47"/>
      <c r="F46" s="48"/>
      <c r="G46" s="116"/>
      <c r="H46" s="48"/>
      <c r="I46" s="49">
        <f t="shared" si="0"/>
        <v>7</v>
      </c>
    </row>
    <row r="47" spans="1:9" ht="17.25" customHeight="1" x14ac:dyDescent="0.3">
      <c r="A47" s="322"/>
      <c r="B47" s="120" t="s">
        <v>88</v>
      </c>
      <c r="C47" s="121"/>
      <c r="D47" s="122"/>
      <c r="E47" s="123"/>
      <c r="F47" s="124"/>
      <c r="G47" s="112"/>
      <c r="H47" s="124"/>
      <c r="I47" s="52">
        <f t="shared" si="0"/>
        <v>0</v>
      </c>
    </row>
    <row r="48" spans="1:9" ht="17.25" customHeight="1" x14ac:dyDescent="0.3">
      <c r="A48" s="322"/>
      <c r="B48" s="56" t="s">
        <v>123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22"/>
      <c r="B49" s="179" t="s">
        <v>127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22"/>
      <c r="B50" s="58" t="s">
        <v>129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23"/>
      <c r="B51" s="64" t="s">
        <v>42</v>
      </c>
      <c r="C51" s="65">
        <f>SUM(C13:C50)</f>
        <v>691</v>
      </c>
      <c r="D51" s="66">
        <f>SUM(D13:D46)</f>
        <v>0</v>
      </c>
      <c r="E51" s="67">
        <f>SUM(E13:E46)</f>
        <v>0</v>
      </c>
      <c r="F51" s="67">
        <f>SUM(F13:F46)</f>
        <v>0</v>
      </c>
      <c r="G51" s="68" t="s">
        <v>22</v>
      </c>
      <c r="H51" s="69">
        <f>SUM(H13:H46)</f>
        <v>34</v>
      </c>
      <c r="I51" s="70">
        <f>SUM(I13:I46)</f>
        <v>657</v>
      </c>
    </row>
    <row r="52" spans="1:10" ht="17.25" customHeight="1" x14ac:dyDescent="0.3">
      <c r="A52" s="326" t="s">
        <v>72</v>
      </c>
      <c r="B52" s="327"/>
      <c r="C52" s="71"/>
      <c r="D52" s="72" t="s">
        <v>163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28"/>
      <c r="B53" s="329"/>
      <c r="C53" s="332" t="s">
        <v>74</v>
      </c>
      <c r="D53" s="334"/>
      <c r="E53" s="336">
        <v>5</v>
      </c>
      <c r="F53" s="336">
        <v>6</v>
      </c>
      <c r="G53" s="336"/>
      <c r="H53" s="336"/>
      <c r="I53" s="339"/>
      <c r="J53" s="174"/>
    </row>
    <row r="54" spans="1:10" s="76" customFormat="1" ht="17.25" customHeight="1" x14ac:dyDescent="0.3">
      <c r="A54" s="328"/>
      <c r="B54" s="329"/>
      <c r="C54" s="333"/>
      <c r="D54" s="335"/>
      <c r="E54" s="337"/>
      <c r="F54" s="337"/>
      <c r="G54" s="337"/>
      <c r="H54" s="338"/>
      <c r="I54" s="340"/>
    </row>
    <row r="55" spans="1:10" s="76" customFormat="1" ht="17.25" customHeight="1" x14ac:dyDescent="0.3">
      <c r="A55" s="328"/>
      <c r="B55" s="329"/>
      <c r="C55" s="332" t="s">
        <v>75</v>
      </c>
      <c r="D55" s="334"/>
      <c r="E55" s="343">
        <v>113200</v>
      </c>
      <c r="F55" s="343">
        <v>136500</v>
      </c>
      <c r="G55" s="343"/>
      <c r="H55" s="336"/>
      <c r="I55" s="347"/>
    </row>
    <row r="56" spans="1:10" s="76" customFormat="1" ht="17.25" customHeight="1" thickBot="1" x14ac:dyDescent="0.35">
      <c r="A56" s="330"/>
      <c r="B56" s="331"/>
      <c r="C56" s="341"/>
      <c r="D56" s="342"/>
      <c r="E56" s="344"/>
      <c r="F56" s="344"/>
      <c r="G56" s="344"/>
      <c r="H56" s="344"/>
      <c r="I56" s="348"/>
    </row>
    <row r="57" spans="1:10" s="76" customFormat="1" ht="17.25" customHeight="1" x14ac:dyDescent="0.3">
      <c r="A57" s="326" t="s">
        <v>45</v>
      </c>
      <c r="B57" s="327"/>
      <c r="C57" s="349"/>
      <c r="D57" s="350"/>
      <c r="E57" s="350"/>
      <c r="F57" s="350"/>
      <c r="G57" s="350"/>
      <c r="H57" s="350"/>
      <c r="I57" s="351"/>
    </row>
    <row r="58" spans="1:10" s="76" customFormat="1" ht="17.25" customHeight="1" x14ac:dyDescent="0.3">
      <c r="A58" s="328"/>
      <c r="B58" s="329"/>
      <c r="C58" s="352"/>
      <c r="D58" s="352"/>
      <c r="E58" s="352"/>
      <c r="F58" s="352"/>
      <c r="G58" s="352"/>
      <c r="H58" s="352"/>
      <c r="I58" s="353"/>
    </row>
    <row r="59" spans="1:10" s="76" customFormat="1" ht="17.25" customHeight="1" x14ac:dyDescent="0.3">
      <c r="A59" s="328"/>
      <c r="B59" s="329"/>
      <c r="C59" s="354"/>
      <c r="D59" s="352"/>
      <c r="E59" s="352"/>
      <c r="F59" s="352"/>
      <c r="G59" s="352"/>
      <c r="H59" s="352"/>
      <c r="I59" s="353"/>
    </row>
    <row r="60" spans="1:10" s="76" customFormat="1" ht="17.25" customHeight="1" thickBot="1" x14ac:dyDescent="0.35">
      <c r="A60" s="330"/>
      <c r="B60" s="331"/>
      <c r="C60" s="345"/>
      <c r="D60" s="345"/>
      <c r="E60" s="345"/>
      <c r="F60" s="345"/>
      <c r="G60" s="345"/>
      <c r="H60" s="345"/>
      <c r="I60" s="346"/>
    </row>
    <row r="61" spans="1:10" s="76" customFormat="1" ht="17.25" customHeight="1" x14ac:dyDescent="0.3">
      <c r="A61" s="326" t="s">
        <v>73</v>
      </c>
      <c r="B61" s="327"/>
      <c r="C61" s="389" t="s">
        <v>564</v>
      </c>
      <c r="D61" s="368"/>
      <c r="E61" s="368"/>
      <c r="F61" s="368"/>
      <c r="G61" s="368"/>
      <c r="H61" s="368"/>
      <c r="I61" s="369"/>
    </row>
    <row r="62" spans="1:10" s="76" customFormat="1" ht="17.25" customHeight="1" x14ac:dyDescent="0.3">
      <c r="A62" s="328"/>
      <c r="B62" s="329"/>
      <c r="C62" s="354" t="s">
        <v>574</v>
      </c>
      <c r="D62" s="352"/>
      <c r="E62" s="352"/>
      <c r="F62" s="352"/>
      <c r="G62" s="352"/>
      <c r="H62" s="352"/>
      <c r="I62" s="353"/>
    </row>
    <row r="63" spans="1:10" s="76" customFormat="1" ht="17.25" customHeight="1" x14ac:dyDescent="0.3">
      <c r="A63" s="328"/>
      <c r="B63" s="329"/>
      <c r="C63" s="354" t="s">
        <v>575</v>
      </c>
      <c r="D63" s="352"/>
      <c r="E63" s="352"/>
      <c r="F63" s="352"/>
      <c r="G63" s="352"/>
      <c r="H63" s="352"/>
      <c r="I63" s="353"/>
    </row>
    <row r="64" spans="1:10" s="76" customFormat="1" ht="17.25" customHeight="1" thickBot="1" x14ac:dyDescent="0.35">
      <c r="A64" s="330"/>
      <c r="B64" s="331"/>
      <c r="C64" s="345"/>
      <c r="D64" s="345"/>
      <c r="E64" s="345"/>
      <c r="F64" s="345"/>
      <c r="G64" s="345"/>
      <c r="H64" s="345"/>
      <c r="I64" s="346"/>
    </row>
    <row r="65" spans="1:9" s="76" customFormat="1" ht="17.25" customHeight="1" x14ac:dyDescent="0.3">
      <c r="A65" s="363" t="s">
        <v>46</v>
      </c>
      <c r="B65" s="366" t="s">
        <v>47</v>
      </c>
      <c r="C65" s="368"/>
      <c r="D65" s="368"/>
      <c r="E65" s="368"/>
      <c r="F65" s="368"/>
      <c r="G65" s="368"/>
      <c r="H65" s="368"/>
      <c r="I65" s="369"/>
    </row>
    <row r="66" spans="1:9" s="76" customFormat="1" ht="17.25" customHeight="1" x14ac:dyDescent="0.3">
      <c r="A66" s="364"/>
      <c r="B66" s="367"/>
      <c r="C66" s="350"/>
      <c r="D66" s="350"/>
      <c r="E66" s="350"/>
      <c r="F66" s="350"/>
      <c r="G66" s="350"/>
      <c r="H66" s="350"/>
      <c r="I66" s="351"/>
    </row>
    <row r="67" spans="1:9" s="76" customFormat="1" ht="17.25" customHeight="1" x14ac:dyDescent="0.3">
      <c r="A67" s="364"/>
      <c r="B67" s="370" t="s">
        <v>48</v>
      </c>
      <c r="C67" s="352" t="s">
        <v>577</v>
      </c>
      <c r="D67" s="352"/>
      <c r="E67" s="352"/>
      <c r="F67" s="352"/>
      <c r="G67" s="352"/>
      <c r="H67" s="352"/>
      <c r="I67" s="353"/>
    </row>
    <row r="68" spans="1:9" s="76" customFormat="1" ht="17.25" customHeight="1" x14ac:dyDescent="0.3">
      <c r="A68" s="364"/>
      <c r="B68" s="367"/>
      <c r="C68" s="350" t="s">
        <v>578</v>
      </c>
      <c r="D68" s="350"/>
      <c r="E68" s="350"/>
      <c r="F68" s="350"/>
      <c r="G68" s="350"/>
      <c r="H68" s="350"/>
      <c r="I68" s="351"/>
    </row>
    <row r="69" spans="1:9" s="76" customFormat="1" ht="17.25" customHeight="1" thickBot="1" x14ac:dyDescent="0.35">
      <c r="A69" s="365"/>
      <c r="B69" s="371"/>
      <c r="C69" s="362"/>
      <c r="D69" s="345"/>
      <c r="E69" s="345"/>
      <c r="F69" s="345"/>
      <c r="G69" s="345"/>
      <c r="H69" s="345"/>
      <c r="I69" s="346"/>
    </row>
    <row r="70" spans="1:9" s="76" customFormat="1" ht="17.25" customHeight="1" x14ac:dyDescent="0.3">
      <c r="A70" s="326" t="s">
        <v>49</v>
      </c>
      <c r="B70" s="327"/>
      <c r="C70" s="350" t="s">
        <v>570</v>
      </c>
      <c r="D70" s="350"/>
      <c r="E70" s="350"/>
      <c r="F70" s="350"/>
      <c r="G70" s="350"/>
      <c r="H70" s="350"/>
      <c r="I70" s="351"/>
    </row>
    <row r="71" spans="1:9" s="76" customFormat="1" ht="17.25" customHeight="1" x14ac:dyDescent="0.3">
      <c r="A71" s="328"/>
      <c r="B71" s="329"/>
      <c r="C71" s="350"/>
      <c r="D71" s="350"/>
      <c r="E71" s="350"/>
      <c r="F71" s="350"/>
      <c r="G71" s="350"/>
      <c r="H71" s="350"/>
      <c r="I71" s="351"/>
    </row>
    <row r="72" spans="1:9" s="76" customFormat="1" ht="17.25" customHeight="1" thickBot="1" x14ac:dyDescent="0.35">
      <c r="A72" s="330"/>
      <c r="B72" s="331"/>
      <c r="C72" s="362"/>
      <c r="D72" s="345"/>
      <c r="E72" s="345"/>
      <c r="F72" s="345"/>
      <c r="G72" s="345"/>
      <c r="H72" s="345"/>
      <c r="I72" s="346"/>
    </row>
    <row r="73" spans="1:9" s="76" customFormat="1" ht="17.25" customHeight="1" x14ac:dyDescent="0.3">
      <c r="A73" s="326" t="s">
        <v>50</v>
      </c>
      <c r="B73" s="327"/>
      <c r="C73" s="389" t="s">
        <v>576</v>
      </c>
      <c r="D73" s="368"/>
      <c r="E73" s="368"/>
      <c r="F73" s="368"/>
      <c r="G73" s="368"/>
      <c r="H73" s="368"/>
      <c r="I73" s="369"/>
    </row>
    <row r="74" spans="1:9" s="76" customFormat="1" ht="17.25" customHeight="1" thickBot="1" x14ac:dyDescent="0.35">
      <c r="A74" s="330"/>
      <c r="B74" s="331"/>
      <c r="C74" s="354"/>
      <c r="D74" s="352"/>
      <c r="E74" s="352"/>
      <c r="F74" s="352"/>
      <c r="G74" s="352"/>
      <c r="H74" s="352"/>
      <c r="I74" s="353"/>
    </row>
    <row r="75" spans="1:9" s="76" customFormat="1" ht="17.25" customHeight="1" x14ac:dyDescent="0.3">
      <c r="A75" s="326" t="s">
        <v>51</v>
      </c>
      <c r="B75" s="327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571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572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375" t="s">
        <v>61</v>
      </c>
      <c r="B78" s="376"/>
      <c r="C78" s="382" t="s">
        <v>62</v>
      </c>
      <c r="D78" s="383"/>
      <c r="E78" s="384" t="s">
        <v>63</v>
      </c>
      <c r="F78" s="383"/>
      <c r="G78" s="385" t="s">
        <v>64</v>
      </c>
      <c r="H78" s="386"/>
      <c r="I78" s="90" t="s">
        <v>65</v>
      </c>
    </row>
    <row r="79" spans="1:9" s="76" customFormat="1" ht="17.25" customHeight="1" thickBot="1" x14ac:dyDescent="0.35">
      <c r="A79" s="377"/>
      <c r="B79" s="378"/>
      <c r="C79" s="92">
        <v>0.25</v>
      </c>
      <c r="D79" s="93" t="s">
        <v>218</v>
      </c>
      <c r="E79" s="94">
        <v>0.77083333333333337</v>
      </c>
      <c r="F79" s="93" t="s">
        <v>573</v>
      </c>
      <c r="G79" s="387" t="s">
        <v>178</v>
      </c>
      <c r="H79" s="388"/>
      <c r="I79" s="95" t="s">
        <v>178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372" t="s">
        <v>66</v>
      </c>
      <c r="I80" s="372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1:I1"/>
    <mergeCell ref="A2:B2"/>
    <mergeCell ref="C2:D2"/>
    <mergeCell ref="E2:E3"/>
    <mergeCell ref="F2:G2"/>
    <mergeCell ref="H2:I2"/>
    <mergeCell ref="A3:B3"/>
    <mergeCell ref="F3:G3"/>
    <mergeCell ref="H3:I3"/>
    <mergeCell ref="A4:H4"/>
    <mergeCell ref="A7:H7"/>
    <mergeCell ref="A9:A11"/>
    <mergeCell ref="B9:B11"/>
    <mergeCell ref="C9:D9"/>
    <mergeCell ref="E9:F9"/>
    <mergeCell ref="G9:H9"/>
    <mergeCell ref="A12:A51"/>
    <mergeCell ref="A52:B56"/>
    <mergeCell ref="C53:C54"/>
    <mergeCell ref="D53:D54"/>
    <mergeCell ref="E53:E54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opLeftCell="A61" zoomScale="90" zoomScaleNormal="90" workbookViewId="0">
      <selection activeCell="C59" sqref="C59:I59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296" t="s">
        <v>0</v>
      </c>
      <c r="B1" s="297"/>
      <c r="C1" s="297"/>
      <c r="D1" s="297"/>
      <c r="E1" s="297"/>
      <c r="F1" s="297"/>
      <c r="G1" s="297"/>
      <c r="H1" s="297"/>
      <c r="I1" s="298"/>
    </row>
    <row r="2" spans="1:9" x14ac:dyDescent="0.3">
      <c r="A2" s="299" t="s">
        <v>1</v>
      </c>
      <c r="B2" s="300"/>
      <c r="C2" s="301" t="s">
        <v>579</v>
      </c>
      <c r="D2" s="302"/>
      <c r="E2" s="303" t="s">
        <v>77</v>
      </c>
      <c r="F2" s="305" t="s">
        <v>2</v>
      </c>
      <c r="G2" s="306"/>
      <c r="H2" s="307" t="s">
        <v>76</v>
      </c>
      <c r="I2" s="308"/>
    </row>
    <row r="3" spans="1:9" x14ac:dyDescent="0.3">
      <c r="A3" s="309" t="s">
        <v>3</v>
      </c>
      <c r="B3" s="310"/>
      <c r="C3" s="4" t="s">
        <v>580</v>
      </c>
      <c r="D3" s="5" t="s">
        <v>4</v>
      </c>
      <c r="E3" s="304"/>
      <c r="F3" s="311" t="s">
        <v>581</v>
      </c>
      <c r="G3" s="312"/>
      <c r="H3" s="313">
        <f>G11+'22일'!H3:I3</f>
        <v>43075100</v>
      </c>
      <c r="I3" s="314"/>
    </row>
    <row r="4" spans="1:9" ht="7.5" customHeight="1" x14ac:dyDescent="0.3">
      <c r="A4" s="315"/>
      <c r="B4" s="316"/>
      <c r="C4" s="316"/>
      <c r="D4" s="316"/>
      <c r="E4" s="316"/>
      <c r="F4" s="316"/>
      <c r="G4" s="316"/>
      <c r="H4" s="316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583</v>
      </c>
      <c r="F6" s="15" t="s">
        <v>584</v>
      </c>
      <c r="G6" s="16" t="s">
        <v>582</v>
      </c>
      <c r="H6" s="17">
        <v>0.24</v>
      </c>
      <c r="I6" s="18">
        <v>0.25</v>
      </c>
    </row>
    <row r="7" spans="1:9" ht="7.5" customHeight="1" x14ac:dyDescent="0.3">
      <c r="A7" s="315"/>
      <c r="B7" s="316"/>
      <c r="C7" s="316"/>
      <c r="D7" s="316"/>
      <c r="E7" s="316"/>
      <c r="F7" s="316"/>
      <c r="G7" s="316"/>
      <c r="H7" s="316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79" t="s">
        <v>10</v>
      </c>
      <c r="B9" s="317" t="s">
        <v>11</v>
      </c>
      <c r="C9" s="320" t="s">
        <v>68</v>
      </c>
      <c r="D9" s="303"/>
      <c r="E9" s="303" t="s">
        <v>67</v>
      </c>
      <c r="F9" s="303"/>
      <c r="G9" s="303" t="s">
        <v>69</v>
      </c>
      <c r="H9" s="303"/>
      <c r="I9" s="373" t="s">
        <v>78</v>
      </c>
    </row>
    <row r="10" spans="1:9" ht="18" customHeight="1" x14ac:dyDescent="0.3">
      <c r="A10" s="380"/>
      <c r="B10" s="318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74"/>
    </row>
    <row r="11" spans="1:9" ht="17.25" thickBot="1" x14ac:dyDescent="0.35">
      <c r="A11" s="381"/>
      <c r="B11" s="319"/>
      <c r="C11" s="101">
        <v>1745100</v>
      </c>
      <c r="D11" s="102">
        <v>146</v>
      </c>
      <c r="E11" s="109">
        <f>SUM(E55:I56)</f>
        <v>387900</v>
      </c>
      <c r="F11" s="109">
        <f>SUM(E53:I54)</f>
        <v>20</v>
      </c>
      <c r="G11" s="110">
        <f>C11+E11</f>
        <v>2133000</v>
      </c>
      <c r="H11" s="110">
        <f>D11+F11</f>
        <v>166</v>
      </c>
      <c r="I11" s="111">
        <f>G11/H11</f>
        <v>12849.397590361446</v>
      </c>
    </row>
    <row r="12" spans="1:9" ht="30" customHeight="1" x14ac:dyDescent="0.3">
      <c r="A12" s="321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24" t="s">
        <v>19</v>
      </c>
      <c r="G12" s="325"/>
      <c r="H12" s="158" t="s">
        <v>20</v>
      </c>
      <c r="I12" s="100" t="s">
        <v>21</v>
      </c>
    </row>
    <row r="13" spans="1:9" ht="17.25" customHeight="1" x14ac:dyDescent="0.3">
      <c r="A13" s="322"/>
      <c r="B13" s="21" t="s">
        <v>23</v>
      </c>
      <c r="C13" s="22">
        <v>25</v>
      </c>
      <c r="D13" s="23"/>
      <c r="E13" s="22"/>
      <c r="F13" s="24"/>
      <c r="G13" s="25"/>
      <c r="H13" s="23">
        <v>9</v>
      </c>
      <c r="I13" s="26">
        <f>C13-D13-D14*1/2-E13-E14*1/2+F13-H13-H14*1/2-I14*1/2</f>
        <v>16</v>
      </c>
    </row>
    <row r="14" spans="1:9" ht="17.25" customHeight="1" x14ac:dyDescent="0.3">
      <c r="A14" s="322"/>
      <c r="B14" s="27" t="s">
        <v>24</v>
      </c>
      <c r="C14" s="28"/>
      <c r="D14" s="29"/>
      <c r="E14" s="30"/>
      <c r="F14" s="31"/>
      <c r="G14" s="25"/>
      <c r="H14" s="29"/>
      <c r="I14" s="32"/>
    </row>
    <row r="15" spans="1:9" ht="17.25" customHeight="1" x14ac:dyDescent="0.3">
      <c r="A15" s="322"/>
      <c r="B15" s="27" t="s">
        <v>25</v>
      </c>
      <c r="C15" s="33">
        <v>25</v>
      </c>
      <c r="D15" s="29"/>
      <c r="E15" s="30"/>
      <c r="F15" s="34"/>
      <c r="G15" s="25"/>
      <c r="H15" s="29">
        <v>9</v>
      </c>
      <c r="I15" s="35">
        <f>C15-D15-D16*1/2-E15-E16*1/2+F15-H15-H16*1/2-I16*1/2</f>
        <v>16</v>
      </c>
    </row>
    <row r="16" spans="1:9" ht="17.25" customHeight="1" x14ac:dyDescent="0.3">
      <c r="A16" s="322"/>
      <c r="B16" s="27" t="s">
        <v>26</v>
      </c>
      <c r="C16" s="28"/>
      <c r="D16" s="29"/>
      <c r="E16" s="30"/>
      <c r="F16" s="31"/>
      <c r="G16" s="25"/>
      <c r="H16" s="29"/>
      <c r="I16" s="36"/>
    </row>
    <row r="17" spans="1:9" ht="17.25" customHeight="1" x14ac:dyDescent="0.3">
      <c r="A17" s="322"/>
      <c r="B17" s="27" t="s">
        <v>27</v>
      </c>
      <c r="C17" s="33">
        <v>32</v>
      </c>
      <c r="D17" s="29"/>
      <c r="E17" s="30"/>
      <c r="F17" s="34"/>
      <c r="G17" s="118"/>
      <c r="H17" s="29"/>
      <c r="I17" s="37">
        <f>C17-D17-D18*1/2-E17-E18*1/2+F17-H17-H18*1/2-I18*1/2</f>
        <v>31.5</v>
      </c>
    </row>
    <row r="18" spans="1:9" ht="17.25" customHeight="1" x14ac:dyDescent="0.3">
      <c r="A18" s="322"/>
      <c r="B18" s="27" t="s">
        <v>28</v>
      </c>
      <c r="C18" s="28"/>
      <c r="D18" s="29"/>
      <c r="E18" s="30">
        <v>1</v>
      </c>
      <c r="F18" s="31"/>
      <c r="G18" s="25"/>
      <c r="H18" s="29"/>
      <c r="I18" s="36"/>
    </row>
    <row r="19" spans="1:9" ht="17.25" customHeight="1" x14ac:dyDescent="0.3">
      <c r="A19" s="322"/>
      <c r="B19" s="27" t="s">
        <v>29</v>
      </c>
      <c r="C19" s="33">
        <v>16</v>
      </c>
      <c r="D19" s="29"/>
      <c r="E19" s="30"/>
      <c r="F19" s="34"/>
      <c r="G19" s="25"/>
      <c r="H19" s="29"/>
      <c r="I19" s="35">
        <f>C19-D19-D20*1/2-E19-E20*1/2+F19-H19-H20*1/2-I20*1/2</f>
        <v>16</v>
      </c>
    </row>
    <row r="20" spans="1:9" ht="17.25" customHeight="1" x14ac:dyDescent="0.3">
      <c r="A20" s="322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22"/>
      <c r="B21" s="39" t="s">
        <v>31</v>
      </c>
      <c r="C21" s="40">
        <v>83</v>
      </c>
      <c r="D21" s="41"/>
      <c r="E21" s="42">
        <v>1</v>
      </c>
      <c r="F21" s="43"/>
      <c r="G21" s="44"/>
      <c r="H21" s="43">
        <v>4</v>
      </c>
      <c r="I21" s="45">
        <f t="shared" ref="I21:I48" si="0">C21-D21-E21+F21-H21</f>
        <v>78</v>
      </c>
    </row>
    <row r="22" spans="1:9" ht="17.25" customHeight="1" x14ac:dyDescent="0.3">
      <c r="A22" s="322"/>
      <c r="B22" s="21" t="s">
        <v>32</v>
      </c>
      <c r="C22" s="46">
        <v>73</v>
      </c>
      <c r="D22" s="23"/>
      <c r="E22" s="47"/>
      <c r="F22" s="48"/>
      <c r="G22" s="25"/>
      <c r="H22" s="48">
        <v>6</v>
      </c>
      <c r="I22" s="49">
        <f t="shared" si="0"/>
        <v>67</v>
      </c>
    </row>
    <row r="23" spans="1:9" ht="17.25" customHeight="1" x14ac:dyDescent="0.3">
      <c r="A23" s="322"/>
      <c r="B23" s="27" t="s">
        <v>33</v>
      </c>
      <c r="C23" s="33">
        <v>230</v>
      </c>
      <c r="D23" s="29"/>
      <c r="E23" s="50"/>
      <c r="F23" s="51"/>
      <c r="G23" s="25"/>
      <c r="H23" s="51">
        <v>12</v>
      </c>
      <c r="I23" s="52">
        <f>C23-D23-D24-E23-E24+F23+F24-H23-H24-I24</f>
        <v>218</v>
      </c>
    </row>
    <row r="24" spans="1:9" ht="17.25" customHeight="1" x14ac:dyDescent="0.3">
      <c r="A24" s="322"/>
      <c r="B24" s="160" t="s">
        <v>34</v>
      </c>
      <c r="C24" s="53"/>
      <c r="D24" s="41"/>
      <c r="E24" s="42"/>
      <c r="F24" s="43"/>
      <c r="G24" s="113"/>
      <c r="H24" s="43"/>
      <c r="I24" s="54"/>
    </row>
    <row r="25" spans="1:9" ht="17.25" customHeight="1" x14ac:dyDescent="0.3">
      <c r="A25" s="322"/>
      <c r="B25" s="21" t="s">
        <v>35</v>
      </c>
      <c r="C25" s="46">
        <v>24</v>
      </c>
      <c r="D25" s="23"/>
      <c r="E25" s="47"/>
      <c r="F25" s="48"/>
      <c r="G25" s="112"/>
      <c r="H25" s="48"/>
      <c r="I25" s="49">
        <f t="shared" si="0"/>
        <v>24</v>
      </c>
    </row>
    <row r="26" spans="1:9" ht="17.25" customHeight="1" x14ac:dyDescent="0.3">
      <c r="A26" s="322"/>
      <c r="B26" s="160" t="s">
        <v>36</v>
      </c>
      <c r="C26" s="55">
        <v>38</v>
      </c>
      <c r="D26" s="41"/>
      <c r="E26" s="42"/>
      <c r="F26" s="43"/>
      <c r="G26" s="113"/>
      <c r="H26" s="43"/>
      <c r="I26" s="45">
        <f t="shared" si="0"/>
        <v>38</v>
      </c>
    </row>
    <row r="27" spans="1:9" ht="17.25" customHeight="1" x14ac:dyDescent="0.3">
      <c r="A27" s="322"/>
      <c r="B27" s="21" t="s">
        <v>37</v>
      </c>
      <c r="C27" s="46">
        <v>29</v>
      </c>
      <c r="D27" s="23"/>
      <c r="E27" s="47"/>
      <c r="F27" s="48"/>
      <c r="G27" s="112"/>
      <c r="H27" s="48"/>
      <c r="I27" s="49">
        <f t="shared" si="0"/>
        <v>29</v>
      </c>
    </row>
    <row r="28" spans="1:9" ht="17.25" customHeight="1" x14ac:dyDescent="0.3">
      <c r="A28" s="322"/>
      <c r="B28" s="160" t="s">
        <v>38</v>
      </c>
      <c r="C28" s="55">
        <v>39</v>
      </c>
      <c r="D28" s="41"/>
      <c r="E28" s="42"/>
      <c r="F28" s="43"/>
      <c r="G28" s="113"/>
      <c r="H28" s="43"/>
      <c r="I28" s="45">
        <f t="shared" si="0"/>
        <v>39</v>
      </c>
    </row>
    <row r="29" spans="1:9" ht="17.25" customHeight="1" x14ac:dyDescent="0.3">
      <c r="A29" s="322"/>
      <c r="B29" s="21" t="s">
        <v>39</v>
      </c>
      <c r="C29" s="46">
        <v>10</v>
      </c>
      <c r="D29" s="23"/>
      <c r="E29" s="47">
        <v>1</v>
      </c>
      <c r="F29" s="48"/>
      <c r="G29" s="25"/>
      <c r="H29" s="48"/>
      <c r="I29" s="49">
        <f t="shared" si="0"/>
        <v>9</v>
      </c>
    </row>
    <row r="30" spans="1:9" ht="17.25" customHeight="1" x14ac:dyDescent="0.3">
      <c r="A30" s="322"/>
      <c r="B30" s="56" t="s">
        <v>40</v>
      </c>
      <c r="C30" s="57">
        <v>102</v>
      </c>
      <c r="D30" s="29">
        <v>1</v>
      </c>
      <c r="E30" s="50"/>
      <c r="F30" s="51"/>
      <c r="G30" s="25"/>
      <c r="H30" s="51">
        <v>7</v>
      </c>
      <c r="I30" s="52">
        <f>C30-D30-D31-E30-E31+F30+F31-H30-H31-I31</f>
        <v>94</v>
      </c>
    </row>
    <row r="31" spans="1:9" ht="17.25" customHeight="1" x14ac:dyDescent="0.3">
      <c r="A31" s="322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22"/>
      <c r="B32" s="179" t="s">
        <v>117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22"/>
      <c r="B33" s="179" t="s">
        <v>119</v>
      </c>
      <c r="C33" s="185"/>
      <c r="D33" s="29"/>
      <c r="E33" s="50"/>
      <c r="F33" s="51"/>
      <c r="G33" s="25"/>
      <c r="H33" s="51"/>
      <c r="I33" s="188"/>
    </row>
    <row r="34" spans="1:9" ht="17.25" customHeight="1" x14ac:dyDescent="0.3">
      <c r="A34" s="322"/>
      <c r="B34" s="179" t="s">
        <v>121</v>
      </c>
      <c r="C34" s="186"/>
      <c r="D34" s="60"/>
      <c r="E34" s="61"/>
      <c r="F34" s="62"/>
      <c r="G34" s="113"/>
      <c r="H34" s="62"/>
      <c r="I34" s="189">
        <v>2</v>
      </c>
    </row>
    <row r="35" spans="1:9" ht="17.25" customHeight="1" x14ac:dyDescent="0.3">
      <c r="A35" s="322"/>
      <c r="B35" s="191" t="s">
        <v>79</v>
      </c>
      <c r="C35" s="281"/>
      <c r="D35" s="23"/>
      <c r="E35" s="47">
        <v>1</v>
      </c>
      <c r="F35" s="48"/>
      <c r="G35" s="116"/>
      <c r="H35" s="48"/>
      <c r="I35" s="282">
        <v>21</v>
      </c>
    </row>
    <row r="36" spans="1:9" ht="17.25" customHeight="1" x14ac:dyDescent="0.3">
      <c r="A36" s="322"/>
      <c r="B36" s="153" t="s">
        <v>80</v>
      </c>
      <c r="C36" s="121">
        <v>20</v>
      </c>
      <c r="D36" s="122"/>
      <c r="E36" s="123"/>
      <c r="F36" s="124"/>
      <c r="G36" s="112"/>
      <c r="H36" s="124"/>
      <c r="I36" s="52">
        <f>C36-D36-E36+F36-H36</f>
        <v>20</v>
      </c>
    </row>
    <row r="37" spans="1:9" ht="17.25" customHeight="1" x14ac:dyDescent="0.3">
      <c r="A37" s="322"/>
      <c r="B37" s="163" t="s">
        <v>107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22"/>
      <c r="B38" s="178" t="s">
        <v>131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22"/>
      <c r="B39" s="178" t="s">
        <v>109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22"/>
      <c r="B40" s="178" t="s">
        <v>133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22"/>
      <c r="B41" s="178" t="s">
        <v>111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22"/>
      <c r="B42" s="178" t="s">
        <v>135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22"/>
      <c r="B43" s="178" t="s">
        <v>113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22"/>
      <c r="B44" s="178" t="s">
        <v>125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22"/>
      <c r="B45" s="164" t="s">
        <v>115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22"/>
      <c r="B46" s="120" t="s">
        <v>89</v>
      </c>
      <c r="C46" s="154">
        <v>11</v>
      </c>
      <c r="D46" s="23"/>
      <c r="E46" s="47"/>
      <c r="F46" s="48"/>
      <c r="G46" s="116"/>
      <c r="H46" s="48"/>
      <c r="I46" s="49">
        <f t="shared" si="0"/>
        <v>11</v>
      </c>
    </row>
    <row r="47" spans="1:9" ht="17.25" customHeight="1" x14ac:dyDescent="0.3">
      <c r="A47" s="322"/>
      <c r="B47" s="120" t="s">
        <v>88</v>
      </c>
      <c r="C47" s="121">
        <v>8</v>
      </c>
      <c r="D47" s="122"/>
      <c r="E47" s="123"/>
      <c r="F47" s="124"/>
      <c r="G47" s="112"/>
      <c r="H47" s="124"/>
      <c r="I47" s="52">
        <f t="shared" si="0"/>
        <v>8</v>
      </c>
    </row>
    <row r="48" spans="1:9" ht="17.25" customHeight="1" x14ac:dyDescent="0.3">
      <c r="A48" s="322"/>
      <c r="B48" s="56" t="s">
        <v>123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22"/>
      <c r="B49" s="179" t="s">
        <v>127</v>
      </c>
      <c r="C49" s="192"/>
      <c r="D49" s="180"/>
      <c r="E49" s="181"/>
      <c r="F49" s="182"/>
      <c r="G49" s="183"/>
      <c r="H49" s="182"/>
      <c r="I49" s="195">
        <v>3</v>
      </c>
    </row>
    <row r="50" spans="1:10" ht="17.25" customHeight="1" x14ac:dyDescent="0.3">
      <c r="A50" s="322"/>
      <c r="B50" s="58" t="s">
        <v>129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23"/>
      <c r="B51" s="64" t="s">
        <v>42</v>
      </c>
      <c r="C51" s="65">
        <f>SUM(C13:C50)</f>
        <v>765</v>
      </c>
      <c r="D51" s="66">
        <f>SUM(D13:D46)</f>
        <v>1</v>
      </c>
      <c r="E51" s="67">
        <f>SUM(E13:E46)</f>
        <v>4</v>
      </c>
      <c r="F51" s="67">
        <f>SUM(F13:F46)</f>
        <v>0</v>
      </c>
      <c r="G51" s="68" t="s">
        <v>22</v>
      </c>
      <c r="H51" s="69">
        <f>SUM(H13:H46)</f>
        <v>47</v>
      </c>
      <c r="I51" s="70">
        <f>SUM(I13:I46)</f>
        <v>729.5</v>
      </c>
    </row>
    <row r="52" spans="1:10" ht="17.25" customHeight="1" x14ac:dyDescent="0.3">
      <c r="A52" s="326" t="s">
        <v>72</v>
      </c>
      <c r="B52" s="327"/>
      <c r="C52" s="71"/>
      <c r="D52" s="72" t="s">
        <v>163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28"/>
      <c r="B53" s="329"/>
      <c r="C53" s="332" t="s">
        <v>74</v>
      </c>
      <c r="D53" s="334"/>
      <c r="E53" s="336">
        <v>10</v>
      </c>
      <c r="F53" s="336"/>
      <c r="G53" s="336">
        <v>9</v>
      </c>
      <c r="H53" s="336"/>
      <c r="I53" s="339">
        <v>1</v>
      </c>
      <c r="J53" s="174"/>
    </row>
    <row r="54" spans="1:10" s="76" customFormat="1" ht="17.25" customHeight="1" x14ac:dyDescent="0.3">
      <c r="A54" s="328"/>
      <c r="B54" s="329"/>
      <c r="C54" s="333"/>
      <c r="D54" s="335"/>
      <c r="E54" s="337"/>
      <c r="F54" s="337"/>
      <c r="G54" s="337"/>
      <c r="H54" s="338"/>
      <c r="I54" s="340"/>
    </row>
    <row r="55" spans="1:10" s="76" customFormat="1" ht="17.25" customHeight="1" x14ac:dyDescent="0.3">
      <c r="A55" s="328"/>
      <c r="B55" s="329"/>
      <c r="C55" s="332" t="s">
        <v>75</v>
      </c>
      <c r="D55" s="334"/>
      <c r="E55" s="343">
        <v>208000</v>
      </c>
      <c r="F55" s="343"/>
      <c r="G55" s="343">
        <v>141700</v>
      </c>
      <c r="H55" s="336"/>
      <c r="I55" s="347">
        <v>38200</v>
      </c>
    </row>
    <row r="56" spans="1:10" s="76" customFormat="1" ht="17.25" customHeight="1" thickBot="1" x14ac:dyDescent="0.35">
      <c r="A56" s="330"/>
      <c r="B56" s="331"/>
      <c r="C56" s="341"/>
      <c r="D56" s="342"/>
      <c r="E56" s="344"/>
      <c r="F56" s="344"/>
      <c r="G56" s="344"/>
      <c r="H56" s="344"/>
      <c r="I56" s="348"/>
    </row>
    <row r="57" spans="1:10" s="76" customFormat="1" ht="17.25" customHeight="1" x14ac:dyDescent="0.3">
      <c r="A57" s="326" t="s">
        <v>45</v>
      </c>
      <c r="B57" s="327"/>
      <c r="C57" s="349" t="s">
        <v>595</v>
      </c>
      <c r="D57" s="350"/>
      <c r="E57" s="350"/>
      <c r="F57" s="350"/>
      <c r="G57" s="350"/>
      <c r="H57" s="350"/>
      <c r="I57" s="351"/>
    </row>
    <row r="58" spans="1:10" s="76" customFormat="1" ht="17.25" customHeight="1" x14ac:dyDescent="0.3">
      <c r="A58" s="328"/>
      <c r="B58" s="329"/>
      <c r="C58" s="352" t="s">
        <v>596</v>
      </c>
      <c r="D58" s="352"/>
      <c r="E58" s="352"/>
      <c r="F58" s="352"/>
      <c r="G58" s="352"/>
      <c r="H58" s="352"/>
      <c r="I58" s="353"/>
    </row>
    <row r="59" spans="1:10" s="76" customFormat="1" ht="17.25" customHeight="1" x14ac:dyDescent="0.3">
      <c r="A59" s="328"/>
      <c r="B59" s="329"/>
      <c r="C59" s="354" t="s">
        <v>597</v>
      </c>
      <c r="D59" s="352"/>
      <c r="E59" s="352"/>
      <c r="F59" s="352"/>
      <c r="G59" s="352"/>
      <c r="H59" s="352"/>
      <c r="I59" s="353"/>
    </row>
    <row r="60" spans="1:10" s="76" customFormat="1" ht="17.25" customHeight="1" thickBot="1" x14ac:dyDescent="0.35">
      <c r="A60" s="330"/>
      <c r="B60" s="331"/>
      <c r="C60" s="345" t="s">
        <v>594</v>
      </c>
      <c r="D60" s="345"/>
      <c r="E60" s="345"/>
      <c r="F60" s="345"/>
      <c r="G60" s="345"/>
      <c r="H60" s="345"/>
      <c r="I60" s="346"/>
    </row>
    <row r="61" spans="1:10" s="76" customFormat="1" ht="17.25" customHeight="1" x14ac:dyDescent="0.3">
      <c r="A61" s="326" t="s">
        <v>73</v>
      </c>
      <c r="B61" s="327"/>
      <c r="C61" s="389" t="s">
        <v>590</v>
      </c>
      <c r="D61" s="368"/>
      <c r="E61" s="368"/>
      <c r="F61" s="368"/>
      <c r="G61" s="368"/>
      <c r="H61" s="368"/>
      <c r="I61" s="369"/>
    </row>
    <row r="62" spans="1:10" s="76" customFormat="1" ht="17.25" customHeight="1" x14ac:dyDescent="0.3">
      <c r="A62" s="328"/>
      <c r="B62" s="329"/>
      <c r="C62" s="354" t="s">
        <v>591</v>
      </c>
      <c r="D62" s="352"/>
      <c r="E62" s="352"/>
      <c r="F62" s="352"/>
      <c r="G62" s="352"/>
      <c r="H62" s="352"/>
      <c r="I62" s="353"/>
    </row>
    <row r="63" spans="1:10" s="76" customFormat="1" ht="17.25" customHeight="1" x14ac:dyDescent="0.3">
      <c r="A63" s="328"/>
      <c r="B63" s="329"/>
      <c r="C63" s="393"/>
      <c r="D63" s="394"/>
      <c r="E63" s="394"/>
      <c r="F63" s="394"/>
      <c r="G63" s="394"/>
      <c r="H63" s="394"/>
      <c r="I63" s="395"/>
    </row>
    <row r="64" spans="1:10" s="76" customFormat="1" ht="17.25" customHeight="1" thickBot="1" x14ac:dyDescent="0.35">
      <c r="A64" s="330"/>
      <c r="B64" s="331"/>
      <c r="C64" s="345"/>
      <c r="D64" s="345"/>
      <c r="E64" s="345"/>
      <c r="F64" s="345"/>
      <c r="G64" s="345"/>
      <c r="H64" s="345"/>
      <c r="I64" s="346"/>
    </row>
    <row r="65" spans="1:9" s="76" customFormat="1" ht="17.25" customHeight="1" x14ac:dyDescent="0.3">
      <c r="A65" s="363" t="s">
        <v>46</v>
      </c>
      <c r="B65" s="366" t="s">
        <v>47</v>
      </c>
      <c r="C65" s="368"/>
      <c r="D65" s="368"/>
      <c r="E65" s="368"/>
      <c r="F65" s="368"/>
      <c r="G65" s="368"/>
      <c r="H65" s="368"/>
      <c r="I65" s="369"/>
    </row>
    <row r="66" spans="1:9" s="76" customFormat="1" ht="17.25" customHeight="1" x14ac:dyDescent="0.3">
      <c r="A66" s="364"/>
      <c r="B66" s="367"/>
      <c r="C66" s="350"/>
      <c r="D66" s="350"/>
      <c r="E66" s="350"/>
      <c r="F66" s="350"/>
      <c r="G66" s="350"/>
      <c r="H66" s="350"/>
      <c r="I66" s="351"/>
    </row>
    <row r="67" spans="1:9" s="76" customFormat="1" ht="17.25" customHeight="1" x14ac:dyDescent="0.3">
      <c r="A67" s="364"/>
      <c r="B67" s="370" t="s">
        <v>48</v>
      </c>
      <c r="C67" s="352"/>
      <c r="D67" s="352"/>
      <c r="E67" s="352"/>
      <c r="F67" s="352"/>
      <c r="G67" s="352"/>
      <c r="H67" s="352"/>
      <c r="I67" s="353"/>
    </row>
    <row r="68" spans="1:9" s="76" customFormat="1" ht="17.25" customHeight="1" x14ac:dyDescent="0.3">
      <c r="A68" s="364"/>
      <c r="B68" s="367"/>
      <c r="C68" s="350"/>
      <c r="D68" s="350"/>
      <c r="E68" s="350"/>
      <c r="F68" s="350"/>
      <c r="G68" s="350"/>
      <c r="H68" s="350"/>
      <c r="I68" s="351"/>
    </row>
    <row r="69" spans="1:9" s="76" customFormat="1" ht="17.25" customHeight="1" thickBot="1" x14ac:dyDescent="0.35">
      <c r="A69" s="365"/>
      <c r="B69" s="371"/>
      <c r="C69" s="362"/>
      <c r="D69" s="345"/>
      <c r="E69" s="345"/>
      <c r="F69" s="345"/>
      <c r="G69" s="345"/>
      <c r="H69" s="345"/>
      <c r="I69" s="346"/>
    </row>
    <row r="70" spans="1:9" s="76" customFormat="1" ht="17.25" customHeight="1" x14ac:dyDescent="0.3">
      <c r="A70" s="326" t="s">
        <v>49</v>
      </c>
      <c r="B70" s="327"/>
      <c r="C70" s="350" t="s">
        <v>592</v>
      </c>
      <c r="D70" s="350"/>
      <c r="E70" s="350"/>
      <c r="F70" s="350"/>
      <c r="G70" s="350"/>
      <c r="H70" s="350"/>
      <c r="I70" s="351"/>
    </row>
    <row r="71" spans="1:9" s="76" customFormat="1" ht="17.25" customHeight="1" x14ac:dyDescent="0.3">
      <c r="A71" s="328"/>
      <c r="B71" s="329"/>
      <c r="C71" s="350" t="s">
        <v>593</v>
      </c>
      <c r="D71" s="350"/>
      <c r="E71" s="350"/>
      <c r="F71" s="350"/>
      <c r="G71" s="350"/>
      <c r="H71" s="350"/>
      <c r="I71" s="351"/>
    </row>
    <row r="72" spans="1:9" s="76" customFormat="1" ht="17.25" customHeight="1" thickBot="1" x14ac:dyDescent="0.35">
      <c r="A72" s="330"/>
      <c r="B72" s="331"/>
      <c r="C72" s="362"/>
      <c r="D72" s="345"/>
      <c r="E72" s="345"/>
      <c r="F72" s="345"/>
      <c r="G72" s="345"/>
      <c r="H72" s="345"/>
      <c r="I72" s="346"/>
    </row>
    <row r="73" spans="1:9" s="76" customFormat="1" ht="17.25" customHeight="1" x14ac:dyDescent="0.3">
      <c r="A73" s="326" t="s">
        <v>50</v>
      </c>
      <c r="B73" s="327"/>
      <c r="C73" s="389"/>
      <c r="D73" s="368"/>
      <c r="E73" s="368"/>
      <c r="F73" s="368"/>
      <c r="G73" s="368"/>
      <c r="H73" s="368"/>
      <c r="I73" s="369"/>
    </row>
    <row r="74" spans="1:9" s="76" customFormat="1" ht="17.25" customHeight="1" thickBot="1" x14ac:dyDescent="0.35">
      <c r="A74" s="330"/>
      <c r="B74" s="331"/>
      <c r="C74" s="354"/>
      <c r="D74" s="352"/>
      <c r="E74" s="352"/>
      <c r="F74" s="352"/>
      <c r="G74" s="352"/>
      <c r="H74" s="352"/>
      <c r="I74" s="353"/>
    </row>
    <row r="75" spans="1:9" s="76" customFormat="1" ht="17.25" customHeight="1" x14ac:dyDescent="0.3">
      <c r="A75" s="326" t="s">
        <v>51</v>
      </c>
      <c r="B75" s="327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585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607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375" t="s">
        <v>61</v>
      </c>
      <c r="B78" s="376"/>
      <c r="C78" s="382" t="s">
        <v>62</v>
      </c>
      <c r="D78" s="383"/>
      <c r="E78" s="384" t="s">
        <v>63</v>
      </c>
      <c r="F78" s="383"/>
      <c r="G78" s="385" t="s">
        <v>64</v>
      </c>
      <c r="H78" s="386"/>
      <c r="I78" s="90" t="s">
        <v>65</v>
      </c>
    </row>
    <row r="79" spans="1:9" s="76" customFormat="1" ht="17.25" customHeight="1" thickBot="1" x14ac:dyDescent="0.35">
      <c r="A79" s="377"/>
      <c r="B79" s="378"/>
      <c r="C79" s="92">
        <v>0.25</v>
      </c>
      <c r="D79" s="93" t="s">
        <v>586</v>
      </c>
      <c r="E79" s="94">
        <v>0.8125</v>
      </c>
      <c r="F79" s="93" t="s">
        <v>587</v>
      </c>
      <c r="G79" s="387" t="s">
        <v>588</v>
      </c>
      <c r="H79" s="388"/>
      <c r="I79" s="95" t="s">
        <v>589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372" t="s">
        <v>66</v>
      </c>
      <c r="I80" s="372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1:I1"/>
    <mergeCell ref="A2:B2"/>
    <mergeCell ref="C2:D2"/>
    <mergeCell ref="E2:E3"/>
    <mergeCell ref="F2:G2"/>
    <mergeCell ref="H2:I2"/>
    <mergeCell ref="A3:B3"/>
    <mergeCell ref="F3:G3"/>
    <mergeCell ref="H3:I3"/>
    <mergeCell ref="A4:H4"/>
    <mergeCell ref="A7:H7"/>
    <mergeCell ref="A9:A11"/>
    <mergeCell ref="B9:B11"/>
    <mergeCell ref="C9:D9"/>
    <mergeCell ref="E9:F9"/>
    <mergeCell ref="G9:H9"/>
    <mergeCell ref="A12:A51"/>
    <mergeCell ref="A52:B56"/>
    <mergeCell ref="C53:C54"/>
    <mergeCell ref="D53:D54"/>
    <mergeCell ref="E53:E54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opLeftCell="A64" zoomScale="90" zoomScaleNormal="90" workbookViewId="0">
      <selection activeCell="D11" sqref="D11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296" t="s">
        <v>0</v>
      </c>
      <c r="B1" s="297"/>
      <c r="C1" s="297"/>
      <c r="D1" s="297"/>
      <c r="E1" s="297"/>
      <c r="F1" s="297"/>
      <c r="G1" s="297"/>
      <c r="H1" s="297"/>
      <c r="I1" s="298"/>
    </row>
    <row r="2" spans="1:9" x14ac:dyDescent="0.3">
      <c r="A2" s="299" t="s">
        <v>1</v>
      </c>
      <c r="B2" s="300"/>
      <c r="C2" s="301" t="s">
        <v>598</v>
      </c>
      <c r="D2" s="302"/>
      <c r="E2" s="303" t="s">
        <v>77</v>
      </c>
      <c r="F2" s="305" t="s">
        <v>2</v>
      </c>
      <c r="G2" s="306"/>
      <c r="H2" s="307" t="s">
        <v>76</v>
      </c>
      <c r="I2" s="308"/>
    </row>
    <row r="3" spans="1:9" x14ac:dyDescent="0.3">
      <c r="A3" s="309" t="s">
        <v>3</v>
      </c>
      <c r="B3" s="310"/>
      <c r="C3" s="4" t="s">
        <v>599</v>
      </c>
      <c r="D3" s="5" t="s">
        <v>4</v>
      </c>
      <c r="E3" s="304"/>
      <c r="F3" s="311" t="s">
        <v>600</v>
      </c>
      <c r="G3" s="312"/>
      <c r="H3" s="313">
        <f>G11+'23일'!H3:I3</f>
        <v>45289700</v>
      </c>
      <c r="I3" s="314"/>
    </row>
    <row r="4" spans="1:9" ht="7.5" customHeight="1" x14ac:dyDescent="0.3">
      <c r="A4" s="315"/>
      <c r="B4" s="316"/>
      <c r="C4" s="316"/>
      <c r="D4" s="316"/>
      <c r="E4" s="316"/>
      <c r="F4" s="316"/>
      <c r="G4" s="316"/>
      <c r="H4" s="316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601</v>
      </c>
      <c r="F6" s="15" t="s">
        <v>602</v>
      </c>
      <c r="G6" s="16" t="s">
        <v>603</v>
      </c>
      <c r="H6" s="17">
        <v>0.3</v>
      </c>
      <c r="I6" s="18">
        <v>0.25</v>
      </c>
    </row>
    <row r="7" spans="1:9" ht="7.5" customHeight="1" x14ac:dyDescent="0.3">
      <c r="A7" s="315"/>
      <c r="B7" s="316"/>
      <c r="C7" s="316"/>
      <c r="D7" s="316"/>
      <c r="E7" s="316"/>
      <c r="F7" s="316"/>
      <c r="G7" s="316"/>
      <c r="H7" s="316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79" t="s">
        <v>10</v>
      </c>
      <c r="B9" s="317" t="s">
        <v>11</v>
      </c>
      <c r="C9" s="320" t="s">
        <v>68</v>
      </c>
      <c r="D9" s="303"/>
      <c r="E9" s="303" t="s">
        <v>67</v>
      </c>
      <c r="F9" s="303"/>
      <c r="G9" s="303" t="s">
        <v>69</v>
      </c>
      <c r="H9" s="303"/>
      <c r="I9" s="373" t="s">
        <v>78</v>
      </c>
    </row>
    <row r="10" spans="1:9" ht="18" customHeight="1" x14ac:dyDescent="0.3">
      <c r="A10" s="380"/>
      <c r="B10" s="318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74"/>
    </row>
    <row r="11" spans="1:9" ht="17.25" thickBot="1" x14ac:dyDescent="0.35">
      <c r="A11" s="381"/>
      <c r="B11" s="319"/>
      <c r="C11" s="101">
        <v>2030900</v>
      </c>
      <c r="D11" s="102">
        <v>156</v>
      </c>
      <c r="E11" s="109">
        <f>SUM(E55:I56)</f>
        <v>183700</v>
      </c>
      <c r="F11" s="109">
        <f>SUM(E53:I54)</f>
        <v>10</v>
      </c>
      <c r="G11" s="110">
        <f>C11+E11</f>
        <v>2214600</v>
      </c>
      <c r="H11" s="110">
        <f>D11+F11</f>
        <v>166</v>
      </c>
      <c r="I11" s="111">
        <f>G11/H11</f>
        <v>13340.963855421687</v>
      </c>
    </row>
    <row r="12" spans="1:9" ht="30" customHeight="1" x14ac:dyDescent="0.3">
      <c r="A12" s="321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24" t="s">
        <v>19</v>
      </c>
      <c r="G12" s="325"/>
      <c r="H12" s="158" t="s">
        <v>20</v>
      </c>
      <c r="I12" s="100" t="s">
        <v>21</v>
      </c>
    </row>
    <row r="13" spans="1:9" ht="17.25" customHeight="1" x14ac:dyDescent="0.3">
      <c r="A13" s="322"/>
      <c r="B13" s="21" t="s">
        <v>23</v>
      </c>
      <c r="C13" s="22">
        <v>20</v>
      </c>
      <c r="D13" s="23"/>
      <c r="E13" s="22"/>
      <c r="F13" s="24"/>
      <c r="G13" s="25"/>
      <c r="H13" s="23"/>
      <c r="I13" s="26">
        <f>C13-D13-D14*1/2-E13-E14*1/2+F13-H13-H14*1/2-I14*1/2</f>
        <v>20</v>
      </c>
    </row>
    <row r="14" spans="1:9" ht="17.25" customHeight="1" x14ac:dyDescent="0.3">
      <c r="A14" s="322"/>
      <c r="B14" s="27" t="s">
        <v>24</v>
      </c>
      <c r="C14" s="28"/>
      <c r="D14" s="29"/>
      <c r="E14" s="30"/>
      <c r="F14" s="31"/>
      <c r="G14" s="25"/>
      <c r="H14" s="29"/>
      <c r="I14" s="32"/>
    </row>
    <row r="15" spans="1:9" ht="17.25" customHeight="1" x14ac:dyDescent="0.3">
      <c r="A15" s="322"/>
      <c r="B15" s="27" t="s">
        <v>25</v>
      </c>
      <c r="C15" s="33">
        <v>15</v>
      </c>
      <c r="D15" s="29"/>
      <c r="E15" s="30"/>
      <c r="F15" s="34"/>
      <c r="G15" s="25"/>
      <c r="H15" s="29"/>
      <c r="I15" s="35">
        <f>C15-D15-D16*1/2-E15-E16*1/2+F15-H15-H16*1/2-I16*1/2</f>
        <v>15</v>
      </c>
    </row>
    <row r="16" spans="1:9" ht="17.25" customHeight="1" x14ac:dyDescent="0.3">
      <c r="A16" s="322"/>
      <c r="B16" s="27" t="s">
        <v>26</v>
      </c>
      <c r="C16" s="28"/>
      <c r="D16" s="29"/>
      <c r="E16" s="30"/>
      <c r="F16" s="31"/>
      <c r="G16" s="25"/>
      <c r="H16" s="29"/>
      <c r="I16" s="36"/>
    </row>
    <row r="17" spans="1:9" ht="17.25" customHeight="1" x14ac:dyDescent="0.3">
      <c r="A17" s="322"/>
      <c r="B17" s="27" t="s">
        <v>27</v>
      </c>
      <c r="C17" s="33">
        <v>16</v>
      </c>
      <c r="D17" s="29"/>
      <c r="E17" s="30"/>
      <c r="F17" s="34"/>
      <c r="G17" s="118"/>
      <c r="H17" s="29"/>
      <c r="I17" s="37">
        <f>C17-D17-D18*1/2-E17-E18*1/2+F17-H17-H18*1/2-I18*1/2</f>
        <v>15</v>
      </c>
    </row>
    <row r="18" spans="1:9" ht="17.25" customHeight="1" x14ac:dyDescent="0.3">
      <c r="A18" s="322"/>
      <c r="B18" s="27" t="s">
        <v>28</v>
      </c>
      <c r="C18" s="28"/>
      <c r="D18" s="29">
        <v>1</v>
      </c>
      <c r="E18" s="30">
        <v>1</v>
      </c>
      <c r="F18" s="31"/>
      <c r="G18" s="25"/>
      <c r="H18" s="29"/>
      <c r="I18" s="36"/>
    </row>
    <row r="19" spans="1:9" ht="17.25" customHeight="1" x14ac:dyDescent="0.3">
      <c r="A19" s="322"/>
      <c r="B19" s="27" t="s">
        <v>29</v>
      </c>
      <c r="C19" s="33">
        <v>8</v>
      </c>
      <c r="D19" s="29"/>
      <c r="E19" s="30"/>
      <c r="F19" s="34"/>
      <c r="G19" s="25"/>
      <c r="H19" s="29"/>
      <c r="I19" s="35">
        <f>C19-D19-D20*1/2-E19-E20*1/2+F19-H19-H20*1/2-I20*1/2</f>
        <v>8</v>
      </c>
    </row>
    <row r="20" spans="1:9" ht="17.25" customHeight="1" x14ac:dyDescent="0.3">
      <c r="A20" s="322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22"/>
      <c r="B21" s="39" t="s">
        <v>31</v>
      </c>
      <c r="C21" s="40">
        <v>61</v>
      </c>
      <c r="D21" s="41"/>
      <c r="E21" s="42"/>
      <c r="F21" s="43"/>
      <c r="G21" s="44"/>
      <c r="H21" s="43"/>
      <c r="I21" s="45">
        <f t="shared" ref="I21:I48" si="0">C21-D21-E21+F21-H21</f>
        <v>61</v>
      </c>
    </row>
    <row r="22" spans="1:9" ht="17.25" customHeight="1" x14ac:dyDescent="0.3">
      <c r="A22" s="322"/>
      <c r="B22" s="21" t="s">
        <v>32</v>
      </c>
      <c r="C22" s="46">
        <v>27</v>
      </c>
      <c r="D22" s="23"/>
      <c r="E22" s="47"/>
      <c r="F22" s="48"/>
      <c r="G22" s="25"/>
      <c r="H22" s="48"/>
      <c r="I22" s="49">
        <f t="shared" si="0"/>
        <v>27</v>
      </c>
    </row>
    <row r="23" spans="1:9" ht="17.25" customHeight="1" x14ac:dyDescent="0.3">
      <c r="A23" s="322"/>
      <c r="B23" s="27" t="s">
        <v>33</v>
      </c>
      <c r="C23" s="33">
        <v>117</v>
      </c>
      <c r="D23" s="29"/>
      <c r="E23" s="50">
        <v>1</v>
      </c>
      <c r="F23" s="51"/>
      <c r="G23" s="25"/>
      <c r="H23" s="51"/>
      <c r="I23" s="52">
        <f>C23-D23-D24-E23-E24+F23+F24-H23-H24-I24</f>
        <v>113</v>
      </c>
    </row>
    <row r="24" spans="1:9" ht="17.25" customHeight="1" x14ac:dyDescent="0.3">
      <c r="A24" s="322"/>
      <c r="B24" s="160" t="s">
        <v>34</v>
      </c>
      <c r="C24" s="53"/>
      <c r="D24" s="41"/>
      <c r="E24" s="42">
        <v>3</v>
      </c>
      <c r="F24" s="43"/>
      <c r="G24" s="113"/>
      <c r="H24" s="43"/>
      <c r="I24" s="54"/>
    </row>
    <row r="25" spans="1:9" ht="17.25" customHeight="1" x14ac:dyDescent="0.3">
      <c r="A25" s="322"/>
      <c r="B25" s="21" t="s">
        <v>35</v>
      </c>
      <c r="C25" s="46">
        <v>23</v>
      </c>
      <c r="D25" s="23"/>
      <c r="E25" s="47"/>
      <c r="F25" s="48"/>
      <c r="G25" s="112"/>
      <c r="H25" s="48"/>
      <c r="I25" s="49">
        <f t="shared" si="0"/>
        <v>23</v>
      </c>
    </row>
    <row r="26" spans="1:9" ht="17.25" customHeight="1" x14ac:dyDescent="0.3">
      <c r="A26" s="322"/>
      <c r="B26" s="160" t="s">
        <v>36</v>
      </c>
      <c r="C26" s="55">
        <v>21</v>
      </c>
      <c r="D26" s="41"/>
      <c r="E26" s="42"/>
      <c r="F26" s="43"/>
      <c r="G26" s="113"/>
      <c r="H26" s="43"/>
      <c r="I26" s="45">
        <f t="shared" si="0"/>
        <v>21</v>
      </c>
    </row>
    <row r="27" spans="1:9" ht="17.25" customHeight="1" x14ac:dyDescent="0.3">
      <c r="A27" s="322"/>
      <c r="B27" s="21" t="s">
        <v>37</v>
      </c>
      <c r="C27" s="46">
        <v>26</v>
      </c>
      <c r="D27" s="23">
        <v>1</v>
      </c>
      <c r="E27" s="47"/>
      <c r="F27" s="48"/>
      <c r="G27" s="112"/>
      <c r="H27" s="48"/>
      <c r="I27" s="49">
        <f t="shared" si="0"/>
        <v>25</v>
      </c>
    </row>
    <row r="28" spans="1:9" ht="17.25" customHeight="1" x14ac:dyDescent="0.3">
      <c r="A28" s="322"/>
      <c r="B28" s="160" t="s">
        <v>38</v>
      </c>
      <c r="C28" s="55">
        <v>41</v>
      </c>
      <c r="D28" s="41">
        <v>1</v>
      </c>
      <c r="E28" s="42"/>
      <c r="F28" s="43"/>
      <c r="G28" s="113"/>
      <c r="H28" s="43"/>
      <c r="I28" s="45">
        <f t="shared" si="0"/>
        <v>40</v>
      </c>
    </row>
    <row r="29" spans="1:9" ht="17.25" customHeight="1" x14ac:dyDescent="0.3">
      <c r="A29" s="322"/>
      <c r="B29" s="21" t="s">
        <v>39</v>
      </c>
      <c r="C29" s="46">
        <v>5</v>
      </c>
      <c r="D29" s="23"/>
      <c r="E29" s="47"/>
      <c r="F29" s="48"/>
      <c r="G29" s="25"/>
      <c r="H29" s="48"/>
      <c r="I29" s="49">
        <f t="shared" si="0"/>
        <v>5</v>
      </c>
    </row>
    <row r="30" spans="1:9" ht="17.25" customHeight="1" x14ac:dyDescent="0.3">
      <c r="A30" s="322"/>
      <c r="B30" s="56" t="s">
        <v>40</v>
      </c>
      <c r="C30" s="57">
        <v>77</v>
      </c>
      <c r="D30" s="29">
        <v>2</v>
      </c>
      <c r="E30" s="50"/>
      <c r="F30" s="51"/>
      <c r="G30" s="25"/>
      <c r="H30" s="51"/>
      <c r="I30" s="52">
        <f>C30-D30-D31-E30-E31+F30+F31-H30-H31-I31</f>
        <v>75</v>
      </c>
    </row>
    <row r="31" spans="1:9" ht="17.25" customHeight="1" x14ac:dyDescent="0.3">
      <c r="A31" s="322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22"/>
      <c r="B32" s="179" t="s">
        <v>117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22"/>
      <c r="B33" s="179" t="s">
        <v>119</v>
      </c>
      <c r="C33" s="185"/>
      <c r="D33" s="29"/>
      <c r="E33" s="50"/>
      <c r="F33" s="51"/>
      <c r="G33" s="25"/>
      <c r="H33" s="51"/>
      <c r="I33" s="188"/>
    </row>
    <row r="34" spans="1:9" ht="17.25" customHeight="1" x14ac:dyDescent="0.3">
      <c r="A34" s="322"/>
      <c r="B34" s="179" t="s">
        <v>121</v>
      </c>
      <c r="C34" s="186"/>
      <c r="D34" s="60"/>
      <c r="E34" s="61"/>
      <c r="F34" s="62"/>
      <c r="G34" s="113"/>
      <c r="H34" s="62"/>
      <c r="I34" s="189">
        <v>2</v>
      </c>
    </row>
    <row r="35" spans="1:9" ht="17.25" customHeight="1" x14ac:dyDescent="0.3">
      <c r="A35" s="322"/>
      <c r="B35" s="191" t="s">
        <v>79</v>
      </c>
      <c r="C35" s="281"/>
      <c r="D35" s="23"/>
      <c r="E35" s="47"/>
      <c r="F35" s="48"/>
      <c r="G35" s="116"/>
      <c r="H35" s="48"/>
      <c r="I35" s="282">
        <v>28</v>
      </c>
    </row>
    <row r="36" spans="1:9" ht="17.25" customHeight="1" x14ac:dyDescent="0.3">
      <c r="A36" s="322"/>
      <c r="B36" s="153" t="s">
        <v>80</v>
      </c>
      <c r="C36" s="121"/>
      <c r="D36" s="122"/>
      <c r="E36" s="123"/>
      <c r="F36" s="124"/>
      <c r="G36" s="112"/>
      <c r="H36" s="124"/>
      <c r="I36" s="52">
        <f>C36-D36-E36+F36-H36</f>
        <v>0</v>
      </c>
    </row>
    <row r="37" spans="1:9" ht="17.25" customHeight="1" x14ac:dyDescent="0.3">
      <c r="A37" s="322"/>
      <c r="B37" s="163" t="s">
        <v>107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22"/>
      <c r="B38" s="178" t="s">
        <v>131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22"/>
      <c r="B39" s="178" t="s">
        <v>109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22"/>
      <c r="B40" s="178" t="s">
        <v>133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22"/>
      <c r="B41" s="178" t="s">
        <v>111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22"/>
      <c r="B42" s="178" t="s">
        <v>135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22"/>
      <c r="B43" s="178" t="s">
        <v>113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22"/>
      <c r="B44" s="178" t="s">
        <v>125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22"/>
      <c r="B45" s="164" t="s">
        <v>115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22"/>
      <c r="B46" s="120" t="s">
        <v>89</v>
      </c>
      <c r="C46" s="154">
        <v>23</v>
      </c>
      <c r="D46" s="23"/>
      <c r="E46" s="47"/>
      <c r="F46" s="48"/>
      <c r="G46" s="116"/>
      <c r="H46" s="48"/>
      <c r="I46" s="49">
        <f t="shared" si="0"/>
        <v>23</v>
      </c>
    </row>
    <row r="47" spans="1:9" ht="17.25" customHeight="1" x14ac:dyDescent="0.3">
      <c r="A47" s="322"/>
      <c r="B47" s="120" t="s">
        <v>88</v>
      </c>
      <c r="C47" s="121">
        <v>9</v>
      </c>
      <c r="D47" s="122"/>
      <c r="E47" s="123"/>
      <c r="F47" s="124"/>
      <c r="G47" s="112"/>
      <c r="H47" s="124"/>
      <c r="I47" s="52">
        <f t="shared" si="0"/>
        <v>9</v>
      </c>
    </row>
    <row r="48" spans="1:9" ht="17.25" customHeight="1" x14ac:dyDescent="0.3">
      <c r="A48" s="322"/>
      <c r="B48" s="56" t="s">
        <v>123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22"/>
      <c r="B49" s="179" t="s">
        <v>127</v>
      </c>
      <c r="C49" s="192"/>
      <c r="D49" s="180"/>
      <c r="E49" s="181"/>
      <c r="F49" s="182"/>
      <c r="G49" s="183"/>
      <c r="H49" s="182"/>
      <c r="I49" s="195">
        <v>2</v>
      </c>
    </row>
    <row r="50" spans="1:10" ht="17.25" customHeight="1" x14ac:dyDescent="0.3">
      <c r="A50" s="322"/>
      <c r="B50" s="58" t="s">
        <v>129</v>
      </c>
      <c r="C50" s="59"/>
      <c r="D50" s="60"/>
      <c r="E50" s="61"/>
      <c r="F50" s="62"/>
      <c r="G50" s="113"/>
      <c r="H50" s="62"/>
      <c r="I50" s="63">
        <v>4</v>
      </c>
    </row>
    <row r="51" spans="1:10" ht="17.25" customHeight="1" thickBot="1" x14ac:dyDescent="0.35">
      <c r="A51" s="323"/>
      <c r="B51" s="64" t="s">
        <v>42</v>
      </c>
      <c r="C51" s="65">
        <f>SUM(C13:C50)</f>
        <v>489</v>
      </c>
      <c r="D51" s="66">
        <f>SUM(D13:D46)</f>
        <v>5</v>
      </c>
      <c r="E51" s="67">
        <f>SUM(E13:E46)</f>
        <v>5</v>
      </c>
      <c r="F51" s="67">
        <f>SUM(F13:F46)</f>
        <v>0</v>
      </c>
      <c r="G51" s="68" t="s">
        <v>22</v>
      </c>
      <c r="H51" s="69">
        <f>SUM(H13:H46)</f>
        <v>0</v>
      </c>
      <c r="I51" s="70">
        <f>SUM(I13:I46)</f>
        <v>501</v>
      </c>
    </row>
    <row r="52" spans="1:10" ht="17.25" customHeight="1" x14ac:dyDescent="0.3">
      <c r="A52" s="326" t="s">
        <v>72</v>
      </c>
      <c r="B52" s="327"/>
      <c r="C52" s="71"/>
      <c r="D52" s="72" t="s">
        <v>163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28"/>
      <c r="B53" s="329"/>
      <c r="C53" s="332" t="s">
        <v>74</v>
      </c>
      <c r="D53" s="334"/>
      <c r="E53" s="336">
        <v>4</v>
      </c>
      <c r="F53" s="336">
        <v>2</v>
      </c>
      <c r="G53" s="336">
        <v>3</v>
      </c>
      <c r="H53" s="336"/>
      <c r="I53" s="339">
        <v>1</v>
      </c>
      <c r="J53" s="174"/>
    </row>
    <row r="54" spans="1:10" s="76" customFormat="1" ht="17.25" customHeight="1" x14ac:dyDescent="0.3">
      <c r="A54" s="328"/>
      <c r="B54" s="329"/>
      <c r="C54" s="333"/>
      <c r="D54" s="335"/>
      <c r="E54" s="337"/>
      <c r="F54" s="337"/>
      <c r="G54" s="337"/>
      <c r="H54" s="338"/>
      <c r="I54" s="340"/>
    </row>
    <row r="55" spans="1:10" s="76" customFormat="1" ht="17.25" customHeight="1" x14ac:dyDescent="0.3">
      <c r="A55" s="328"/>
      <c r="B55" s="329"/>
      <c r="C55" s="332" t="s">
        <v>75</v>
      </c>
      <c r="D55" s="334"/>
      <c r="E55" s="343">
        <v>90700</v>
      </c>
      <c r="F55" s="343">
        <v>38000</v>
      </c>
      <c r="G55" s="343">
        <v>16800</v>
      </c>
      <c r="H55" s="336"/>
      <c r="I55" s="347">
        <v>38200</v>
      </c>
    </row>
    <row r="56" spans="1:10" s="76" customFormat="1" ht="17.25" customHeight="1" thickBot="1" x14ac:dyDescent="0.35">
      <c r="A56" s="330"/>
      <c r="B56" s="331"/>
      <c r="C56" s="341"/>
      <c r="D56" s="342"/>
      <c r="E56" s="344"/>
      <c r="F56" s="344"/>
      <c r="G56" s="344"/>
      <c r="H56" s="344"/>
      <c r="I56" s="348"/>
    </row>
    <row r="57" spans="1:10" s="76" customFormat="1" ht="17.25" customHeight="1" x14ac:dyDescent="0.3">
      <c r="A57" s="326" t="s">
        <v>45</v>
      </c>
      <c r="B57" s="327"/>
      <c r="C57" s="349" t="s">
        <v>618</v>
      </c>
      <c r="D57" s="350"/>
      <c r="E57" s="350"/>
      <c r="F57" s="350"/>
      <c r="G57" s="350"/>
      <c r="H57" s="350"/>
      <c r="I57" s="351"/>
    </row>
    <row r="58" spans="1:10" s="76" customFormat="1" ht="17.25" customHeight="1" x14ac:dyDescent="0.3">
      <c r="A58" s="328"/>
      <c r="B58" s="329"/>
      <c r="C58" s="352" t="s">
        <v>614</v>
      </c>
      <c r="D58" s="352"/>
      <c r="E58" s="352"/>
      <c r="F58" s="352"/>
      <c r="G58" s="352"/>
      <c r="H58" s="352"/>
      <c r="I58" s="353"/>
    </row>
    <row r="59" spans="1:10" s="76" customFormat="1" ht="17.25" customHeight="1" x14ac:dyDescent="0.3">
      <c r="A59" s="328"/>
      <c r="B59" s="329"/>
      <c r="C59" s="354" t="s">
        <v>619</v>
      </c>
      <c r="D59" s="352"/>
      <c r="E59" s="352"/>
      <c r="F59" s="352"/>
      <c r="G59" s="352"/>
      <c r="H59" s="352"/>
      <c r="I59" s="353"/>
    </row>
    <row r="60" spans="1:10" s="76" customFormat="1" ht="17.25" customHeight="1" thickBot="1" x14ac:dyDescent="0.35">
      <c r="A60" s="330"/>
      <c r="B60" s="331"/>
      <c r="C60" s="345" t="s">
        <v>617</v>
      </c>
      <c r="D60" s="345"/>
      <c r="E60" s="345"/>
      <c r="F60" s="345"/>
      <c r="G60" s="345"/>
      <c r="H60" s="345"/>
      <c r="I60" s="346"/>
    </row>
    <row r="61" spans="1:10" s="76" customFormat="1" ht="17.25" customHeight="1" x14ac:dyDescent="0.3">
      <c r="A61" s="326" t="s">
        <v>73</v>
      </c>
      <c r="B61" s="327"/>
      <c r="C61" s="389" t="s">
        <v>613</v>
      </c>
      <c r="D61" s="368"/>
      <c r="E61" s="368"/>
      <c r="F61" s="368"/>
      <c r="G61" s="368"/>
      <c r="H61" s="368"/>
      <c r="I61" s="369"/>
    </row>
    <row r="62" spans="1:10" s="76" customFormat="1" ht="17.25" customHeight="1" x14ac:dyDescent="0.3">
      <c r="A62" s="328"/>
      <c r="B62" s="329"/>
      <c r="C62" s="354" t="s">
        <v>615</v>
      </c>
      <c r="D62" s="352"/>
      <c r="E62" s="352"/>
      <c r="F62" s="352"/>
      <c r="G62" s="352"/>
      <c r="H62" s="352"/>
      <c r="I62" s="353"/>
    </row>
    <row r="63" spans="1:10" s="76" customFormat="1" ht="17.25" customHeight="1" x14ac:dyDescent="0.3">
      <c r="A63" s="328"/>
      <c r="B63" s="329"/>
      <c r="C63" s="354"/>
      <c r="D63" s="352"/>
      <c r="E63" s="352"/>
      <c r="F63" s="352"/>
      <c r="G63" s="352"/>
      <c r="H63" s="352"/>
      <c r="I63" s="353"/>
    </row>
    <row r="64" spans="1:10" s="76" customFormat="1" ht="17.25" customHeight="1" thickBot="1" x14ac:dyDescent="0.35">
      <c r="A64" s="330"/>
      <c r="B64" s="331"/>
      <c r="C64" s="345"/>
      <c r="D64" s="345"/>
      <c r="E64" s="345"/>
      <c r="F64" s="345"/>
      <c r="G64" s="345"/>
      <c r="H64" s="345"/>
      <c r="I64" s="346"/>
    </row>
    <row r="65" spans="1:9" s="76" customFormat="1" ht="17.25" customHeight="1" x14ac:dyDescent="0.3">
      <c r="A65" s="363" t="s">
        <v>46</v>
      </c>
      <c r="B65" s="366" t="s">
        <v>47</v>
      </c>
      <c r="C65" s="368"/>
      <c r="D65" s="368"/>
      <c r="E65" s="368"/>
      <c r="F65" s="368"/>
      <c r="G65" s="368"/>
      <c r="H65" s="368"/>
      <c r="I65" s="369"/>
    </row>
    <row r="66" spans="1:9" s="76" customFormat="1" ht="17.25" customHeight="1" x14ac:dyDescent="0.3">
      <c r="A66" s="364"/>
      <c r="B66" s="367"/>
      <c r="C66" s="350"/>
      <c r="D66" s="350"/>
      <c r="E66" s="350"/>
      <c r="F66" s="350"/>
      <c r="G66" s="350"/>
      <c r="H66" s="350"/>
      <c r="I66" s="351"/>
    </row>
    <row r="67" spans="1:9" s="76" customFormat="1" ht="17.25" customHeight="1" x14ac:dyDescent="0.3">
      <c r="A67" s="364"/>
      <c r="B67" s="370" t="s">
        <v>48</v>
      </c>
      <c r="C67" s="352"/>
      <c r="D67" s="352"/>
      <c r="E67" s="352"/>
      <c r="F67" s="352"/>
      <c r="G67" s="352"/>
      <c r="H67" s="352"/>
      <c r="I67" s="353"/>
    </row>
    <row r="68" spans="1:9" s="76" customFormat="1" ht="17.25" customHeight="1" x14ac:dyDescent="0.3">
      <c r="A68" s="364"/>
      <c r="B68" s="367"/>
      <c r="C68" s="350"/>
      <c r="D68" s="350"/>
      <c r="E68" s="350"/>
      <c r="F68" s="350"/>
      <c r="G68" s="350"/>
      <c r="H68" s="350"/>
      <c r="I68" s="351"/>
    </row>
    <row r="69" spans="1:9" s="76" customFormat="1" ht="17.25" customHeight="1" thickBot="1" x14ac:dyDescent="0.35">
      <c r="A69" s="365"/>
      <c r="B69" s="371"/>
      <c r="C69" s="362"/>
      <c r="D69" s="345"/>
      <c r="E69" s="345"/>
      <c r="F69" s="345"/>
      <c r="G69" s="345"/>
      <c r="H69" s="345"/>
      <c r="I69" s="346"/>
    </row>
    <row r="70" spans="1:9" s="76" customFormat="1" ht="17.25" customHeight="1" x14ac:dyDescent="0.3">
      <c r="A70" s="326" t="s">
        <v>49</v>
      </c>
      <c r="B70" s="327"/>
      <c r="C70" s="350" t="s">
        <v>604</v>
      </c>
      <c r="D70" s="350"/>
      <c r="E70" s="350"/>
      <c r="F70" s="350"/>
      <c r="G70" s="350"/>
      <c r="H70" s="350"/>
      <c r="I70" s="351"/>
    </row>
    <row r="71" spans="1:9" s="76" customFormat="1" ht="17.25" customHeight="1" x14ac:dyDescent="0.3">
      <c r="A71" s="328"/>
      <c r="B71" s="329"/>
      <c r="C71" s="350"/>
      <c r="D71" s="350"/>
      <c r="E71" s="350"/>
      <c r="F71" s="350"/>
      <c r="G71" s="350"/>
      <c r="H71" s="350"/>
      <c r="I71" s="351"/>
    </row>
    <row r="72" spans="1:9" s="76" customFormat="1" ht="17.25" customHeight="1" thickBot="1" x14ac:dyDescent="0.35">
      <c r="A72" s="330"/>
      <c r="B72" s="331"/>
      <c r="C72" s="362"/>
      <c r="D72" s="345"/>
      <c r="E72" s="345"/>
      <c r="F72" s="345"/>
      <c r="G72" s="345"/>
      <c r="H72" s="345"/>
      <c r="I72" s="346"/>
    </row>
    <row r="73" spans="1:9" s="76" customFormat="1" ht="17.25" customHeight="1" x14ac:dyDescent="0.3">
      <c r="A73" s="326" t="s">
        <v>50</v>
      </c>
      <c r="B73" s="327"/>
      <c r="C73" s="389" t="s">
        <v>616</v>
      </c>
      <c r="D73" s="368"/>
      <c r="E73" s="368"/>
      <c r="F73" s="368"/>
      <c r="G73" s="368"/>
      <c r="H73" s="368"/>
      <c r="I73" s="369"/>
    </row>
    <row r="74" spans="1:9" s="76" customFormat="1" ht="17.25" customHeight="1" thickBot="1" x14ac:dyDescent="0.35">
      <c r="A74" s="330"/>
      <c r="B74" s="331"/>
      <c r="C74" s="354" t="s">
        <v>605</v>
      </c>
      <c r="D74" s="352"/>
      <c r="E74" s="352"/>
      <c r="F74" s="352"/>
      <c r="G74" s="352"/>
      <c r="H74" s="352"/>
      <c r="I74" s="353"/>
    </row>
    <row r="75" spans="1:9" s="76" customFormat="1" ht="17.25" customHeight="1" x14ac:dyDescent="0.3">
      <c r="A75" s="326" t="s">
        <v>51</v>
      </c>
      <c r="B75" s="327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606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608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375" t="s">
        <v>61</v>
      </c>
      <c r="B78" s="376"/>
      <c r="C78" s="382" t="s">
        <v>62</v>
      </c>
      <c r="D78" s="383"/>
      <c r="E78" s="384" t="s">
        <v>63</v>
      </c>
      <c r="F78" s="383"/>
      <c r="G78" s="385" t="s">
        <v>64</v>
      </c>
      <c r="H78" s="386"/>
      <c r="I78" s="90" t="s">
        <v>65</v>
      </c>
    </row>
    <row r="79" spans="1:9" s="76" customFormat="1" ht="17.25" customHeight="1" thickBot="1" x14ac:dyDescent="0.35">
      <c r="A79" s="377"/>
      <c r="B79" s="378"/>
      <c r="C79" s="92">
        <v>0.25</v>
      </c>
      <c r="D79" s="285" t="s">
        <v>609</v>
      </c>
      <c r="E79" s="94">
        <v>0.8125</v>
      </c>
      <c r="F79" s="93" t="s">
        <v>610</v>
      </c>
      <c r="G79" s="387" t="s">
        <v>611</v>
      </c>
      <c r="H79" s="388"/>
      <c r="I79" s="95" t="s">
        <v>612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372" t="s">
        <v>66</v>
      </c>
      <c r="I80" s="372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1:I1"/>
    <mergeCell ref="A2:B2"/>
    <mergeCell ref="C2:D2"/>
    <mergeCell ref="E2:E3"/>
    <mergeCell ref="F2:G2"/>
    <mergeCell ref="H2:I2"/>
    <mergeCell ref="A3:B3"/>
    <mergeCell ref="F3:G3"/>
    <mergeCell ref="H3:I3"/>
    <mergeCell ref="A4:H4"/>
    <mergeCell ref="A7:H7"/>
    <mergeCell ref="A9:A11"/>
    <mergeCell ref="B9:B11"/>
    <mergeCell ref="C9:D9"/>
    <mergeCell ref="E9:F9"/>
    <mergeCell ref="G9:H9"/>
    <mergeCell ref="A12:A51"/>
    <mergeCell ref="A52:B56"/>
    <mergeCell ref="C53:C54"/>
    <mergeCell ref="D53:D54"/>
    <mergeCell ref="E53:E54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opLeftCell="A7" zoomScale="90" zoomScaleNormal="90" workbookViewId="0">
      <selection activeCell="H17" sqref="H17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296" t="s">
        <v>0</v>
      </c>
      <c r="B1" s="297"/>
      <c r="C1" s="297"/>
      <c r="D1" s="297"/>
      <c r="E1" s="297"/>
      <c r="F1" s="297"/>
      <c r="G1" s="297"/>
      <c r="H1" s="297"/>
      <c r="I1" s="298"/>
    </row>
    <row r="2" spans="1:9" x14ac:dyDescent="0.3">
      <c r="A2" s="299" t="s">
        <v>1</v>
      </c>
      <c r="B2" s="300"/>
      <c r="C2" s="301" t="s">
        <v>620</v>
      </c>
      <c r="D2" s="302"/>
      <c r="E2" s="303" t="s">
        <v>77</v>
      </c>
      <c r="F2" s="305" t="s">
        <v>2</v>
      </c>
      <c r="G2" s="306"/>
      <c r="H2" s="307" t="s">
        <v>76</v>
      </c>
      <c r="I2" s="308"/>
    </row>
    <row r="3" spans="1:9" x14ac:dyDescent="0.3">
      <c r="A3" s="309" t="s">
        <v>3</v>
      </c>
      <c r="B3" s="310"/>
      <c r="C3" s="4" t="s">
        <v>621</v>
      </c>
      <c r="D3" s="5" t="s">
        <v>4</v>
      </c>
      <c r="E3" s="304"/>
      <c r="F3" s="311" t="s">
        <v>622</v>
      </c>
      <c r="G3" s="312"/>
      <c r="H3" s="313">
        <f>G11+'24일'!H3:I3</f>
        <v>47346800</v>
      </c>
      <c r="I3" s="314"/>
    </row>
    <row r="4" spans="1:9" ht="7.5" customHeight="1" x14ac:dyDescent="0.3">
      <c r="A4" s="315"/>
      <c r="B4" s="316"/>
      <c r="C4" s="316"/>
      <c r="D4" s="316"/>
      <c r="E4" s="316"/>
      <c r="F4" s="316"/>
      <c r="G4" s="316"/>
      <c r="H4" s="316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624</v>
      </c>
      <c r="F6" s="15" t="s">
        <v>623</v>
      </c>
      <c r="G6" s="16" t="s">
        <v>631</v>
      </c>
      <c r="H6" s="17">
        <v>0.28000000000000003</v>
      </c>
      <c r="I6" s="18">
        <v>0.24</v>
      </c>
    </row>
    <row r="7" spans="1:9" ht="7.5" customHeight="1" x14ac:dyDescent="0.3">
      <c r="A7" s="315"/>
      <c r="B7" s="316"/>
      <c r="C7" s="316"/>
      <c r="D7" s="316"/>
      <c r="E7" s="316"/>
      <c r="F7" s="316"/>
      <c r="G7" s="316"/>
      <c r="H7" s="316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79" t="s">
        <v>10</v>
      </c>
      <c r="B9" s="317" t="s">
        <v>11</v>
      </c>
      <c r="C9" s="320" t="s">
        <v>68</v>
      </c>
      <c r="D9" s="303"/>
      <c r="E9" s="303" t="s">
        <v>67</v>
      </c>
      <c r="F9" s="303"/>
      <c r="G9" s="303" t="s">
        <v>69</v>
      </c>
      <c r="H9" s="303"/>
      <c r="I9" s="373" t="s">
        <v>78</v>
      </c>
    </row>
    <row r="10" spans="1:9" ht="18" customHeight="1" x14ac:dyDescent="0.3">
      <c r="A10" s="380"/>
      <c r="B10" s="318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74"/>
    </row>
    <row r="11" spans="1:9" ht="17.25" thickBot="1" x14ac:dyDescent="0.35">
      <c r="A11" s="381"/>
      <c r="B11" s="319"/>
      <c r="C11" s="101">
        <v>1742000</v>
      </c>
      <c r="D11" s="102">
        <v>139</v>
      </c>
      <c r="E11" s="109">
        <f>SUM(E55:I56)</f>
        <v>315100</v>
      </c>
      <c r="F11" s="109">
        <f>SUM(E53:I54)</f>
        <v>19</v>
      </c>
      <c r="G11" s="110">
        <f>C11+E11</f>
        <v>2057100</v>
      </c>
      <c r="H11" s="110">
        <f>D11+F11</f>
        <v>158</v>
      </c>
      <c r="I11" s="111">
        <f>G11/H11</f>
        <v>13019.620253164558</v>
      </c>
    </row>
    <row r="12" spans="1:9" ht="30" customHeight="1" x14ac:dyDescent="0.3">
      <c r="A12" s="321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24" t="s">
        <v>19</v>
      </c>
      <c r="G12" s="325"/>
      <c r="H12" s="158" t="s">
        <v>20</v>
      </c>
      <c r="I12" s="100" t="s">
        <v>21</v>
      </c>
    </row>
    <row r="13" spans="1:9" ht="17.25" customHeight="1" x14ac:dyDescent="0.3">
      <c r="A13" s="322"/>
      <c r="B13" s="21" t="s">
        <v>23</v>
      </c>
      <c r="C13" s="22">
        <v>53</v>
      </c>
      <c r="D13" s="23"/>
      <c r="E13" s="22"/>
      <c r="F13" s="24"/>
      <c r="G13" s="25"/>
      <c r="H13" s="23">
        <v>3</v>
      </c>
      <c r="I13" s="26">
        <f>C13-D13-D14*1/2-E13-E14*1/2+F13-H13-H14*1/2-I14*1/2</f>
        <v>50</v>
      </c>
    </row>
    <row r="14" spans="1:9" ht="17.25" customHeight="1" x14ac:dyDescent="0.3">
      <c r="A14" s="322"/>
      <c r="B14" s="27" t="s">
        <v>24</v>
      </c>
      <c r="C14" s="28"/>
      <c r="D14" s="29"/>
      <c r="E14" s="30"/>
      <c r="F14" s="31"/>
      <c r="G14" s="25"/>
      <c r="H14" s="29"/>
      <c r="I14" s="32"/>
    </row>
    <row r="15" spans="1:9" ht="17.25" customHeight="1" x14ac:dyDescent="0.3">
      <c r="A15" s="322"/>
      <c r="B15" s="27" t="s">
        <v>25</v>
      </c>
      <c r="C15" s="33">
        <v>22</v>
      </c>
      <c r="D15" s="29"/>
      <c r="E15" s="30"/>
      <c r="F15" s="34"/>
      <c r="G15" s="25"/>
      <c r="H15" s="29">
        <v>8</v>
      </c>
      <c r="I15" s="35">
        <f>C15-D15-D16*1/2-E15-E16*1/2+F15-H15-H16*1/2-I16*1/2</f>
        <v>14</v>
      </c>
    </row>
    <row r="16" spans="1:9" ht="17.25" customHeight="1" x14ac:dyDescent="0.3">
      <c r="A16" s="322"/>
      <c r="B16" s="27" t="s">
        <v>26</v>
      </c>
      <c r="C16" s="28"/>
      <c r="D16" s="29"/>
      <c r="E16" s="30"/>
      <c r="F16" s="31"/>
      <c r="G16" s="25"/>
      <c r="H16" s="29"/>
      <c r="I16" s="36"/>
    </row>
    <row r="17" spans="1:9" ht="17.25" customHeight="1" x14ac:dyDescent="0.3">
      <c r="A17" s="322"/>
      <c r="B17" s="27" t="s">
        <v>27</v>
      </c>
      <c r="C17" s="33">
        <v>64</v>
      </c>
      <c r="D17" s="29"/>
      <c r="E17" s="30"/>
      <c r="F17" s="34"/>
      <c r="G17" s="118"/>
      <c r="H17" s="29"/>
      <c r="I17" s="37">
        <f>C17-D17-D18*1/2-E17-E18*1/2+F17-H17-H18*1/2-I18*1/2</f>
        <v>64</v>
      </c>
    </row>
    <row r="18" spans="1:9" ht="17.25" customHeight="1" x14ac:dyDescent="0.3">
      <c r="A18" s="322"/>
      <c r="B18" s="27" t="s">
        <v>28</v>
      </c>
      <c r="C18" s="28"/>
      <c r="D18" s="29"/>
      <c r="E18" s="30"/>
      <c r="F18" s="31"/>
      <c r="G18" s="25"/>
      <c r="H18" s="29"/>
      <c r="I18" s="36"/>
    </row>
    <row r="19" spans="1:9" ht="17.25" customHeight="1" x14ac:dyDescent="0.3">
      <c r="A19" s="322"/>
      <c r="B19" s="27" t="s">
        <v>29</v>
      </c>
      <c r="C19" s="33">
        <v>16</v>
      </c>
      <c r="D19" s="29"/>
      <c r="E19" s="30"/>
      <c r="F19" s="34"/>
      <c r="G19" s="25"/>
      <c r="H19" s="29"/>
      <c r="I19" s="35">
        <f>C19-D19-D20*1/2-E19-E20*1/2+F19-H19-H20*1/2-I20*1/2</f>
        <v>15.5</v>
      </c>
    </row>
    <row r="20" spans="1:9" ht="17.25" customHeight="1" x14ac:dyDescent="0.3">
      <c r="A20" s="322"/>
      <c r="B20" s="27" t="s">
        <v>30</v>
      </c>
      <c r="C20" s="28"/>
      <c r="D20" s="29">
        <v>1</v>
      </c>
      <c r="E20" s="30"/>
      <c r="F20" s="31"/>
      <c r="G20" s="25"/>
      <c r="H20" s="29"/>
      <c r="I20" s="38"/>
    </row>
    <row r="21" spans="1:9" ht="17.25" customHeight="1" x14ac:dyDescent="0.3">
      <c r="A21" s="322"/>
      <c r="B21" s="39" t="s">
        <v>31</v>
      </c>
      <c r="C21" s="40">
        <v>112</v>
      </c>
      <c r="D21" s="41">
        <v>1</v>
      </c>
      <c r="E21" s="42">
        <v>2</v>
      </c>
      <c r="F21" s="43"/>
      <c r="G21" s="44"/>
      <c r="H21" s="43"/>
      <c r="I21" s="45">
        <f t="shared" ref="I21:I48" si="0">C21-D21-E21+F21-H21</f>
        <v>109</v>
      </c>
    </row>
    <row r="22" spans="1:9" ht="17.25" customHeight="1" x14ac:dyDescent="0.3">
      <c r="A22" s="322"/>
      <c r="B22" s="21" t="s">
        <v>32</v>
      </c>
      <c r="C22" s="46">
        <v>46</v>
      </c>
      <c r="D22" s="23">
        <v>1</v>
      </c>
      <c r="E22" s="47">
        <v>1</v>
      </c>
      <c r="F22" s="48"/>
      <c r="G22" s="25"/>
      <c r="H22" s="48">
        <v>7</v>
      </c>
      <c r="I22" s="49">
        <f t="shared" si="0"/>
        <v>37</v>
      </c>
    </row>
    <row r="23" spans="1:9" ht="17.25" customHeight="1" x14ac:dyDescent="0.3">
      <c r="A23" s="322"/>
      <c r="B23" s="27" t="s">
        <v>33</v>
      </c>
      <c r="C23" s="33">
        <v>189</v>
      </c>
      <c r="D23" s="29">
        <v>2</v>
      </c>
      <c r="E23" s="50">
        <v>3</v>
      </c>
      <c r="F23" s="51"/>
      <c r="G23" s="25"/>
      <c r="H23" s="51">
        <v>13</v>
      </c>
      <c r="I23" s="52">
        <f>C23-D23-D24-E23-E24+F23+F24-H23-H24-I24</f>
        <v>169</v>
      </c>
    </row>
    <row r="24" spans="1:9" ht="17.25" customHeight="1" x14ac:dyDescent="0.3">
      <c r="A24" s="322"/>
      <c r="B24" s="160" t="s">
        <v>34</v>
      </c>
      <c r="C24" s="53"/>
      <c r="D24" s="41"/>
      <c r="E24" s="42">
        <v>2</v>
      </c>
      <c r="F24" s="43"/>
      <c r="G24" s="113"/>
      <c r="H24" s="43"/>
      <c r="I24" s="54"/>
    </row>
    <row r="25" spans="1:9" ht="17.25" customHeight="1" x14ac:dyDescent="0.3">
      <c r="A25" s="322"/>
      <c r="B25" s="21" t="s">
        <v>35</v>
      </c>
      <c r="C25" s="46">
        <v>36</v>
      </c>
      <c r="D25" s="23">
        <v>4</v>
      </c>
      <c r="E25" s="47"/>
      <c r="F25" s="48"/>
      <c r="G25" s="112"/>
      <c r="H25" s="48"/>
      <c r="I25" s="49">
        <f t="shared" si="0"/>
        <v>32</v>
      </c>
    </row>
    <row r="26" spans="1:9" ht="17.25" customHeight="1" x14ac:dyDescent="0.3">
      <c r="A26" s="322"/>
      <c r="B26" s="160" t="s">
        <v>36</v>
      </c>
      <c r="C26" s="55">
        <v>33</v>
      </c>
      <c r="D26" s="41"/>
      <c r="E26" s="42"/>
      <c r="F26" s="43"/>
      <c r="G26" s="113"/>
      <c r="H26" s="43"/>
      <c r="I26" s="45">
        <f t="shared" si="0"/>
        <v>33</v>
      </c>
    </row>
    <row r="27" spans="1:9" ht="17.25" customHeight="1" x14ac:dyDescent="0.3">
      <c r="A27" s="322"/>
      <c r="B27" s="21" t="s">
        <v>37</v>
      </c>
      <c r="C27" s="46">
        <v>29</v>
      </c>
      <c r="D27" s="23"/>
      <c r="E27" s="47"/>
      <c r="F27" s="48"/>
      <c r="G27" s="112"/>
      <c r="H27" s="48"/>
      <c r="I27" s="49">
        <f t="shared" si="0"/>
        <v>29</v>
      </c>
    </row>
    <row r="28" spans="1:9" ht="17.25" customHeight="1" x14ac:dyDescent="0.3">
      <c r="A28" s="322"/>
      <c r="B28" s="160" t="s">
        <v>38</v>
      </c>
      <c r="C28" s="55">
        <v>43</v>
      </c>
      <c r="D28" s="41"/>
      <c r="E28" s="42"/>
      <c r="F28" s="43"/>
      <c r="G28" s="113"/>
      <c r="H28" s="43"/>
      <c r="I28" s="45">
        <f t="shared" si="0"/>
        <v>43</v>
      </c>
    </row>
    <row r="29" spans="1:9" ht="17.25" customHeight="1" x14ac:dyDescent="0.3">
      <c r="A29" s="322"/>
      <c r="B29" s="21" t="s">
        <v>39</v>
      </c>
      <c r="C29" s="46">
        <v>10</v>
      </c>
      <c r="D29" s="23"/>
      <c r="E29" s="47"/>
      <c r="F29" s="48"/>
      <c r="G29" s="25"/>
      <c r="H29" s="48"/>
      <c r="I29" s="49">
        <f t="shared" si="0"/>
        <v>10</v>
      </c>
    </row>
    <row r="30" spans="1:9" ht="17.25" customHeight="1" x14ac:dyDescent="0.3">
      <c r="A30" s="322"/>
      <c r="B30" s="56" t="s">
        <v>40</v>
      </c>
      <c r="C30" s="57">
        <v>105</v>
      </c>
      <c r="D30" s="29">
        <v>4</v>
      </c>
      <c r="E30" s="50"/>
      <c r="F30" s="51"/>
      <c r="G30" s="25"/>
      <c r="H30" s="51"/>
      <c r="I30" s="52">
        <f>C30-D30-D31-E30-E31+F30+F31-H30-H31-I31</f>
        <v>101</v>
      </c>
    </row>
    <row r="31" spans="1:9" ht="17.25" customHeight="1" x14ac:dyDescent="0.3">
      <c r="A31" s="322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22"/>
      <c r="B32" s="179" t="s">
        <v>117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22"/>
      <c r="B33" s="179" t="s">
        <v>119</v>
      </c>
      <c r="C33" s="185"/>
      <c r="D33" s="29"/>
      <c r="E33" s="50"/>
      <c r="F33" s="51"/>
      <c r="G33" s="25"/>
      <c r="H33" s="51"/>
      <c r="I33" s="188"/>
    </row>
    <row r="34" spans="1:9" ht="17.25" customHeight="1" x14ac:dyDescent="0.3">
      <c r="A34" s="322"/>
      <c r="B34" s="179" t="s">
        <v>121</v>
      </c>
      <c r="C34" s="186"/>
      <c r="D34" s="60"/>
      <c r="E34" s="61"/>
      <c r="F34" s="62"/>
      <c r="G34" s="113"/>
      <c r="H34" s="62"/>
      <c r="I34" s="189"/>
    </row>
    <row r="35" spans="1:9" ht="17.25" customHeight="1" x14ac:dyDescent="0.3">
      <c r="A35" s="322"/>
      <c r="B35" s="191" t="s">
        <v>79</v>
      </c>
      <c r="C35" s="281"/>
      <c r="D35" s="23"/>
      <c r="E35" s="47"/>
      <c r="F35" s="48"/>
      <c r="G35" s="116"/>
      <c r="H35" s="48"/>
      <c r="I35" s="282"/>
    </row>
    <row r="36" spans="1:9" ht="17.25" customHeight="1" x14ac:dyDescent="0.3">
      <c r="A36" s="322"/>
      <c r="B36" s="153" t="s">
        <v>80</v>
      </c>
      <c r="C36" s="121">
        <v>21</v>
      </c>
      <c r="D36" s="122"/>
      <c r="E36" s="123"/>
      <c r="F36" s="124"/>
      <c r="G36" s="112"/>
      <c r="H36" s="124"/>
      <c r="I36" s="52">
        <f>C36-D36-E36+F36-H36</f>
        <v>21</v>
      </c>
    </row>
    <row r="37" spans="1:9" ht="17.25" customHeight="1" x14ac:dyDescent="0.3">
      <c r="A37" s="322"/>
      <c r="B37" s="163" t="s">
        <v>107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22"/>
      <c r="B38" s="178" t="s">
        <v>131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22"/>
      <c r="B39" s="178" t="s">
        <v>109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22"/>
      <c r="B40" s="178" t="s">
        <v>133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22"/>
      <c r="B41" s="178" t="s">
        <v>111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22"/>
      <c r="B42" s="178" t="s">
        <v>135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22"/>
      <c r="B43" s="178" t="s">
        <v>113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22"/>
      <c r="B44" s="178" t="s">
        <v>125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22"/>
      <c r="B45" s="164" t="s">
        <v>115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22"/>
      <c r="B46" s="120" t="s">
        <v>89</v>
      </c>
      <c r="C46" s="154">
        <v>17</v>
      </c>
      <c r="D46" s="23"/>
      <c r="E46" s="47"/>
      <c r="F46" s="48"/>
      <c r="G46" s="116"/>
      <c r="H46" s="48"/>
      <c r="I46" s="49">
        <f t="shared" si="0"/>
        <v>17</v>
      </c>
    </row>
    <row r="47" spans="1:9" ht="17.25" customHeight="1" x14ac:dyDescent="0.3">
      <c r="A47" s="322"/>
      <c r="B47" s="120" t="s">
        <v>88</v>
      </c>
      <c r="C47" s="121"/>
      <c r="D47" s="122"/>
      <c r="E47" s="123"/>
      <c r="F47" s="124"/>
      <c r="G47" s="112"/>
      <c r="H47" s="124"/>
      <c r="I47" s="52">
        <f t="shared" si="0"/>
        <v>0</v>
      </c>
    </row>
    <row r="48" spans="1:9" ht="17.25" customHeight="1" x14ac:dyDescent="0.3">
      <c r="A48" s="322"/>
      <c r="B48" s="56" t="s">
        <v>123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22"/>
      <c r="B49" s="179" t="s">
        <v>127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22"/>
      <c r="B50" s="58" t="s">
        <v>129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23"/>
      <c r="B51" s="64" t="s">
        <v>42</v>
      </c>
      <c r="C51" s="65">
        <f>SUM(C13:C50)</f>
        <v>796</v>
      </c>
      <c r="D51" s="66">
        <f>SUM(D13:D46)</f>
        <v>13</v>
      </c>
      <c r="E51" s="67">
        <f>SUM(E13:E46)</f>
        <v>8</v>
      </c>
      <c r="F51" s="67">
        <f>SUM(F13:F46)</f>
        <v>0</v>
      </c>
      <c r="G51" s="68" t="s">
        <v>22</v>
      </c>
      <c r="H51" s="69">
        <f>SUM(H13:H46)</f>
        <v>31</v>
      </c>
      <c r="I51" s="70">
        <f>SUM(I13:I46)</f>
        <v>744.5</v>
      </c>
    </row>
    <row r="52" spans="1:10" ht="17.25" customHeight="1" x14ac:dyDescent="0.3">
      <c r="A52" s="326" t="s">
        <v>72</v>
      </c>
      <c r="B52" s="327"/>
      <c r="C52" s="71"/>
      <c r="D52" s="72" t="s">
        <v>163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28"/>
      <c r="B53" s="329"/>
      <c r="C53" s="332" t="s">
        <v>74</v>
      </c>
      <c r="D53" s="334"/>
      <c r="E53" s="336">
        <v>3</v>
      </c>
      <c r="F53" s="336">
        <v>3</v>
      </c>
      <c r="G53" s="336">
        <v>12</v>
      </c>
      <c r="H53" s="336"/>
      <c r="I53" s="339">
        <v>1</v>
      </c>
      <c r="J53" s="174"/>
    </row>
    <row r="54" spans="1:10" s="76" customFormat="1" ht="17.25" customHeight="1" x14ac:dyDescent="0.3">
      <c r="A54" s="328"/>
      <c r="B54" s="329"/>
      <c r="C54" s="333"/>
      <c r="D54" s="335"/>
      <c r="E54" s="337"/>
      <c r="F54" s="337"/>
      <c r="G54" s="337"/>
      <c r="H54" s="338"/>
      <c r="I54" s="340"/>
    </row>
    <row r="55" spans="1:10" s="76" customFormat="1" ht="17.25" customHeight="1" x14ac:dyDescent="0.3">
      <c r="A55" s="328"/>
      <c r="B55" s="329"/>
      <c r="C55" s="332" t="s">
        <v>75</v>
      </c>
      <c r="D55" s="334"/>
      <c r="E55" s="343">
        <v>62900</v>
      </c>
      <c r="F55" s="343">
        <v>56200</v>
      </c>
      <c r="G55" s="343">
        <v>145600</v>
      </c>
      <c r="H55" s="336"/>
      <c r="I55" s="347">
        <v>50400</v>
      </c>
    </row>
    <row r="56" spans="1:10" s="76" customFormat="1" ht="17.25" customHeight="1" thickBot="1" x14ac:dyDescent="0.35">
      <c r="A56" s="330"/>
      <c r="B56" s="331"/>
      <c r="C56" s="341"/>
      <c r="D56" s="342"/>
      <c r="E56" s="344"/>
      <c r="F56" s="344"/>
      <c r="G56" s="344"/>
      <c r="H56" s="344"/>
      <c r="I56" s="348"/>
    </row>
    <row r="57" spans="1:10" s="76" customFormat="1" ht="17.25" customHeight="1" x14ac:dyDescent="0.3">
      <c r="A57" s="326" t="s">
        <v>45</v>
      </c>
      <c r="B57" s="327"/>
      <c r="C57" s="349" t="s">
        <v>636</v>
      </c>
      <c r="D57" s="350"/>
      <c r="E57" s="350"/>
      <c r="F57" s="350"/>
      <c r="G57" s="350"/>
      <c r="H57" s="350"/>
      <c r="I57" s="351"/>
    </row>
    <row r="58" spans="1:10" s="76" customFormat="1" ht="17.25" customHeight="1" x14ac:dyDescent="0.3">
      <c r="A58" s="328"/>
      <c r="B58" s="329"/>
      <c r="C58" s="352" t="s">
        <v>637</v>
      </c>
      <c r="D58" s="352"/>
      <c r="E58" s="352"/>
      <c r="F58" s="352"/>
      <c r="G58" s="352"/>
      <c r="H58" s="352"/>
      <c r="I58" s="353"/>
    </row>
    <row r="59" spans="1:10" s="76" customFormat="1" ht="17.25" customHeight="1" x14ac:dyDescent="0.3">
      <c r="A59" s="328"/>
      <c r="B59" s="329"/>
      <c r="C59" s="354" t="s">
        <v>638</v>
      </c>
      <c r="D59" s="352"/>
      <c r="E59" s="352"/>
      <c r="F59" s="352"/>
      <c r="G59" s="352"/>
      <c r="H59" s="352"/>
      <c r="I59" s="353"/>
    </row>
    <row r="60" spans="1:10" s="76" customFormat="1" ht="17.25" customHeight="1" thickBot="1" x14ac:dyDescent="0.35">
      <c r="A60" s="330"/>
      <c r="B60" s="331"/>
      <c r="C60" s="345" t="s">
        <v>639</v>
      </c>
      <c r="D60" s="345"/>
      <c r="E60" s="345"/>
      <c r="F60" s="345"/>
      <c r="G60" s="345"/>
      <c r="H60" s="345"/>
      <c r="I60" s="346"/>
    </row>
    <row r="61" spans="1:10" s="76" customFormat="1" ht="17.25" customHeight="1" x14ac:dyDescent="0.3">
      <c r="A61" s="326" t="s">
        <v>73</v>
      </c>
      <c r="B61" s="327"/>
      <c r="C61" s="389" t="s">
        <v>625</v>
      </c>
      <c r="D61" s="368"/>
      <c r="E61" s="368"/>
      <c r="F61" s="368"/>
      <c r="G61" s="368"/>
      <c r="H61" s="368"/>
      <c r="I61" s="369"/>
    </row>
    <row r="62" spans="1:10" s="76" customFormat="1" ht="17.25" customHeight="1" x14ac:dyDescent="0.3">
      <c r="A62" s="328"/>
      <c r="B62" s="329"/>
      <c r="C62" s="354" t="s">
        <v>633</v>
      </c>
      <c r="D62" s="352"/>
      <c r="E62" s="352"/>
      <c r="F62" s="352"/>
      <c r="G62" s="352"/>
      <c r="H62" s="352"/>
      <c r="I62" s="353"/>
    </row>
    <row r="63" spans="1:10" s="76" customFormat="1" ht="17.25" customHeight="1" x14ac:dyDescent="0.3">
      <c r="A63" s="328"/>
      <c r="B63" s="329"/>
      <c r="C63" s="354" t="s">
        <v>634</v>
      </c>
      <c r="D63" s="352"/>
      <c r="E63" s="352"/>
      <c r="F63" s="352"/>
      <c r="G63" s="352"/>
      <c r="H63" s="352"/>
      <c r="I63" s="353"/>
    </row>
    <row r="64" spans="1:10" s="76" customFormat="1" ht="17.25" customHeight="1" thickBot="1" x14ac:dyDescent="0.35">
      <c r="A64" s="330"/>
      <c r="B64" s="331"/>
      <c r="C64" s="345" t="s">
        <v>640</v>
      </c>
      <c r="D64" s="345"/>
      <c r="E64" s="345"/>
      <c r="F64" s="345"/>
      <c r="G64" s="345"/>
      <c r="H64" s="345"/>
      <c r="I64" s="346"/>
    </row>
    <row r="65" spans="1:9" s="76" customFormat="1" ht="17.25" customHeight="1" x14ac:dyDescent="0.3">
      <c r="A65" s="363" t="s">
        <v>46</v>
      </c>
      <c r="B65" s="366" t="s">
        <v>47</v>
      </c>
      <c r="C65" s="368"/>
      <c r="D65" s="368"/>
      <c r="E65" s="368"/>
      <c r="F65" s="368"/>
      <c r="G65" s="368"/>
      <c r="H65" s="368"/>
      <c r="I65" s="369"/>
    </row>
    <row r="66" spans="1:9" s="76" customFormat="1" ht="17.25" customHeight="1" x14ac:dyDescent="0.3">
      <c r="A66" s="364"/>
      <c r="B66" s="367"/>
      <c r="C66" s="350"/>
      <c r="D66" s="350"/>
      <c r="E66" s="350"/>
      <c r="F66" s="350"/>
      <c r="G66" s="350"/>
      <c r="H66" s="350"/>
      <c r="I66" s="351"/>
    </row>
    <row r="67" spans="1:9" s="76" customFormat="1" ht="17.25" customHeight="1" x14ac:dyDescent="0.3">
      <c r="A67" s="364"/>
      <c r="B67" s="370" t="s">
        <v>48</v>
      </c>
      <c r="C67" s="352"/>
      <c r="D67" s="352"/>
      <c r="E67" s="352"/>
      <c r="F67" s="352"/>
      <c r="G67" s="352"/>
      <c r="H67" s="352"/>
      <c r="I67" s="353"/>
    </row>
    <row r="68" spans="1:9" s="76" customFormat="1" ht="17.25" customHeight="1" x14ac:dyDescent="0.3">
      <c r="A68" s="364"/>
      <c r="B68" s="367"/>
      <c r="C68" s="350"/>
      <c r="D68" s="350"/>
      <c r="E68" s="350"/>
      <c r="F68" s="350"/>
      <c r="G68" s="350"/>
      <c r="H68" s="350"/>
      <c r="I68" s="351"/>
    </row>
    <row r="69" spans="1:9" s="76" customFormat="1" ht="17.25" customHeight="1" thickBot="1" x14ac:dyDescent="0.35">
      <c r="A69" s="365"/>
      <c r="B69" s="371"/>
      <c r="C69" s="362"/>
      <c r="D69" s="345"/>
      <c r="E69" s="345"/>
      <c r="F69" s="345"/>
      <c r="G69" s="345"/>
      <c r="H69" s="345"/>
      <c r="I69" s="346"/>
    </row>
    <row r="70" spans="1:9" s="76" customFormat="1" ht="17.25" customHeight="1" x14ac:dyDescent="0.3">
      <c r="A70" s="326" t="s">
        <v>49</v>
      </c>
      <c r="B70" s="327"/>
      <c r="C70" s="350" t="s">
        <v>632</v>
      </c>
      <c r="D70" s="350"/>
      <c r="E70" s="350"/>
      <c r="F70" s="350"/>
      <c r="G70" s="350"/>
      <c r="H70" s="350"/>
      <c r="I70" s="351"/>
    </row>
    <row r="71" spans="1:9" s="76" customFormat="1" ht="17.25" customHeight="1" x14ac:dyDescent="0.3">
      <c r="A71" s="328"/>
      <c r="B71" s="329"/>
      <c r="C71" s="350" t="s">
        <v>635</v>
      </c>
      <c r="D71" s="350"/>
      <c r="E71" s="350"/>
      <c r="F71" s="350"/>
      <c r="G71" s="350"/>
      <c r="H71" s="350"/>
      <c r="I71" s="351"/>
    </row>
    <row r="72" spans="1:9" s="76" customFormat="1" ht="17.25" customHeight="1" thickBot="1" x14ac:dyDescent="0.35">
      <c r="A72" s="330"/>
      <c r="B72" s="331"/>
      <c r="C72" s="362"/>
      <c r="D72" s="345"/>
      <c r="E72" s="345"/>
      <c r="F72" s="345"/>
      <c r="G72" s="345"/>
      <c r="H72" s="345"/>
      <c r="I72" s="346"/>
    </row>
    <row r="73" spans="1:9" s="76" customFormat="1" ht="17.25" customHeight="1" x14ac:dyDescent="0.3">
      <c r="A73" s="326" t="s">
        <v>50</v>
      </c>
      <c r="B73" s="327"/>
      <c r="C73" s="389" t="s">
        <v>641</v>
      </c>
      <c r="D73" s="368"/>
      <c r="E73" s="368"/>
      <c r="F73" s="368"/>
      <c r="G73" s="368"/>
      <c r="H73" s="368"/>
      <c r="I73" s="369"/>
    </row>
    <row r="74" spans="1:9" s="76" customFormat="1" ht="17.25" customHeight="1" thickBot="1" x14ac:dyDescent="0.35">
      <c r="A74" s="330"/>
      <c r="B74" s="331"/>
      <c r="C74" s="354"/>
      <c r="D74" s="352"/>
      <c r="E74" s="352"/>
      <c r="F74" s="352"/>
      <c r="G74" s="352"/>
      <c r="H74" s="352"/>
      <c r="I74" s="353"/>
    </row>
    <row r="75" spans="1:9" s="76" customFormat="1" ht="17.25" customHeight="1" x14ac:dyDescent="0.3">
      <c r="A75" s="326" t="s">
        <v>51</v>
      </c>
      <c r="B75" s="327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626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627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375" t="s">
        <v>61</v>
      </c>
      <c r="B78" s="376"/>
      <c r="C78" s="382" t="s">
        <v>62</v>
      </c>
      <c r="D78" s="383"/>
      <c r="E78" s="384" t="s">
        <v>63</v>
      </c>
      <c r="F78" s="383"/>
      <c r="G78" s="385" t="s">
        <v>64</v>
      </c>
      <c r="H78" s="386"/>
      <c r="I78" s="90" t="s">
        <v>65</v>
      </c>
    </row>
    <row r="79" spans="1:9" s="76" customFormat="1" ht="17.25" customHeight="1" thickBot="1" x14ac:dyDescent="0.35">
      <c r="A79" s="377"/>
      <c r="B79" s="378"/>
      <c r="C79" s="92">
        <v>0.25</v>
      </c>
      <c r="D79" s="93" t="s">
        <v>628</v>
      </c>
      <c r="E79" s="94">
        <v>0.8125</v>
      </c>
      <c r="F79" s="93" t="s">
        <v>629</v>
      </c>
      <c r="G79" s="387" t="s">
        <v>630</v>
      </c>
      <c r="H79" s="388"/>
      <c r="I79" s="95" t="s">
        <v>630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372" t="s">
        <v>66</v>
      </c>
      <c r="I80" s="372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1:I1"/>
    <mergeCell ref="A2:B2"/>
    <mergeCell ref="C2:D2"/>
    <mergeCell ref="E2:E3"/>
    <mergeCell ref="F2:G2"/>
    <mergeCell ref="H2:I2"/>
    <mergeCell ref="A3:B3"/>
    <mergeCell ref="F3:G3"/>
    <mergeCell ref="H3:I3"/>
    <mergeCell ref="A4:H4"/>
    <mergeCell ref="A7:H7"/>
    <mergeCell ref="A9:A11"/>
    <mergeCell ref="B9:B11"/>
    <mergeCell ref="C9:D9"/>
    <mergeCell ref="E9:F9"/>
    <mergeCell ref="G9:H9"/>
    <mergeCell ref="A12:A51"/>
    <mergeCell ref="A52:B56"/>
    <mergeCell ref="C53:C54"/>
    <mergeCell ref="D53:D54"/>
    <mergeCell ref="E53:E54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zoomScale="90" zoomScaleNormal="90" workbookViewId="0">
      <selection activeCell="E14" sqref="E14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296" t="s">
        <v>0</v>
      </c>
      <c r="B1" s="297"/>
      <c r="C1" s="297"/>
      <c r="D1" s="297"/>
      <c r="E1" s="297"/>
      <c r="F1" s="297"/>
      <c r="G1" s="297"/>
      <c r="H1" s="297"/>
      <c r="I1" s="298"/>
    </row>
    <row r="2" spans="1:9" x14ac:dyDescent="0.3">
      <c r="A2" s="299" t="s">
        <v>1</v>
      </c>
      <c r="B2" s="300"/>
      <c r="C2" s="301" t="s">
        <v>642</v>
      </c>
      <c r="D2" s="302"/>
      <c r="E2" s="303" t="s">
        <v>77</v>
      </c>
      <c r="F2" s="305" t="s">
        <v>2</v>
      </c>
      <c r="G2" s="306"/>
      <c r="H2" s="307" t="s">
        <v>76</v>
      </c>
      <c r="I2" s="308"/>
    </row>
    <row r="3" spans="1:9" x14ac:dyDescent="0.3">
      <c r="A3" s="309" t="s">
        <v>3</v>
      </c>
      <c r="B3" s="310"/>
      <c r="C3" s="4" t="s">
        <v>643</v>
      </c>
      <c r="D3" s="5" t="s">
        <v>4</v>
      </c>
      <c r="E3" s="304"/>
      <c r="F3" s="311" t="s">
        <v>644</v>
      </c>
      <c r="G3" s="312"/>
      <c r="H3" s="313">
        <f>G11+'25일'!H3:I3</f>
        <v>49636200</v>
      </c>
      <c r="I3" s="314"/>
    </row>
    <row r="4" spans="1:9" ht="7.5" customHeight="1" x14ac:dyDescent="0.3">
      <c r="A4" s="315"/>
      <c r="B4" s="316"/>
      <c r="C4" s="316"/>
      <c r="D4" s="316"/>
      <c r="E4" s="316"/>
      <c r="F4" s="316"/>
      <c r="G4" s="316"/>
      <c r="H4" s="316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645</v>
      </c>
      <c r="F6" s="15" t="s">
        <v>647</v>
      </c>
      <c r="G6" s="16" t="s">
        <v>646</v>
      </c>
      <c r="H6" s="17">
        <v>0.36</v>
      </c>
      <c r="I6" s="18">
        <v>0.25</v>
      </c>
    </row>
    <row r="7" spans="1:9" ht="7.5" customHeight="1" x14ac:dyDescent="0.3">
      <c r="A7" s="315"/>
      <c r="B7" s="316"/>
      <c r="C7" s="316"/>
      <c r="D7" s="316"/>
      <c r="E7" s="316"/>
      <c r="F7" s="316"/>
      <c r="G7" s="316"/>
      <c r="H7" s="316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79" t="s">
        <v>10</v>
      </c>
      <c r="B9" s="317" t="s">
        <v>11</v>
      </c>
      <c r="C9" s="320" t="s">
        <v>68</v>
      </c>
      <c r="D9" s="303"/>
      <c r="E9" s="303" t="s">
        <v>67</v>
      </c>
      <c r="F9" s="303"/>
      <c r="G9" s="303" t="s">
        <v>69</v>
      </c>
      <c r="H9" s="303"/>
      <c r="I9" s="373" t="s">
        <v>78</v>
      </c>
    </row>
    <row r="10" spans="1:9" ht="18" customHeight="1" x14ac:dyDescent="0.3">
      <c r="A10" s="380"/>
      <c r="B10" s="318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74"/>
    </row>
    <row r="11" spans="1:9" ht="17.25" thickBot="1" x14ac:dyDescent="0.35">
      <c r="A11" s="381"/>
      <c r="B11" s="319"/>
      <c r="C11" s="101">
        <v>1640300</v>
      </c>
      <c r="D11" s="102">
        <v>132</v>
      </c>
      <c r="E11" s="109">
        <f>SUM(E55:I56)</f>
        <v>649100</v>
      </c>
      <c r="F11" s="109">
        <f>SUM(E53:I54)</f>
        <v>11</v>
      </c>
      <c r="G11" s="110">
        <f>C11+E11</f>
        <v>2289400</v>
      </c>
      <c r="H11" s="110">
        <f>D11+F11</f>
        <v>143</v>
      </c>
      <c r="I11" s="111">
        <f>G11/H11</f>
        <v>16009.79020979021</v>
      </c>
    </row>
    <row r="12" spans="1:9" ht="30" customHeight="1" x14ac:dyDescent="0.3">
      <c r="A12" s="321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24" t="s">
        <v>19</v>
      </c>
      <c r="G12" s="325"/>
      <c r="H12" s="158" t="s">
        <v>20</v>
      </c>
      <c r="I12" s="100" t="s">
        <v>21</v>
      </c>
    </row>
    <row r="13" spans="1:9" ht="17.25" customHeight="1" x14ac:dyDescent="0.3">
      <c r="A13" s="322"/>
      <c r="B13" s="21" t="s">
        <v>23</v>
      </c>
      <c r="C13" s="22">
        <v>27</v>
      </c>
      <c r="D13" s="23"/>
      <c r="E13" s="22"/>
      <c r="F13" s="24"/>
      <c r="G13" s="25"/>
      <c r="H13" s="23">
        <v>5</v>
      </c>
      <c r="I13" s="26">
        <f>C13-D13-D14*1/2-E13-E14*1/2+F13-H13-H14*1/2-I14*1/2</f>
        <v>20</v>
      </c>
    </row>
    <row r="14" spans="1:9" ht="17.25" customHeight="1" x14ac:dyDescent="0.3">
      <c r="A14" s="322"/>
      <c r="B14" s="27" t="s">
        <v>24</v>
      </c>
      <c r="C14" s="28"/>
      <c r="D14" s="29">
        <v>1</v>
      </c>
      <c r="E14" s="30">
        <v>3</v>
      </c>
      <c r="F14" s="31"/>
      <c r="G14" s="25"/>
      <c r="H14" s="29"/>
      <c r="I14" s="32"/>
    </row>
    <row r="15" spans="1:9" ht="17.25" customHeight="1" x14ac:dyDescent="0.3">
      <c r="A15" s="322"/>
      <c r="B15" s="27" t="s">
        <v>25</v>
      </c>
      <c r="C15" s="33">
        <v>25</v>
      </c>
      <c r="D15" s="29"/>
      <c r="E15" s="30"/>
      <c r="F15" s="34"/>
      <c r="G15" s="25"/>
      <c r="H15" s="29">
        <v>6</v>
      </c>
      <c r="I15" s="35">
        <f>C15-D15-D16*1/2-E15-E16*1/2+F15-H15-H16*1/2-I16*1/2</f>
        <v>18</v>
      </c>
    </row>
    <row r="16" spans="1:9" ht="17.25" customHeight="1" x14ac:dyDescent="0.3">
      <c r="A16" s="322"/>
      <c r="B16" s="27" t="s">
        <v>26</v>
      </c>
      <c r="C16" s="28"/>
      <c r="D16" s="29"/>
      <c r="E16" s="30">
        <v>1</v>
      </c>
      <c r="F16" s="31"/>
      <c r="G16" s="25"/>
      <c r="H16" s="29">
        <v>1</v>
      </c>
      <c r="I16" s="36"/>
    </row>
    <row r="17" spans="1:9" ht="17.25" customHeight="1" x14ac:dyDescent="0.3">
      <c r="A17" s="322"/>
      <c r="B17" s="27" t="s">
        <v>27</v>
      </c>
      <c r="C17" s="33">
        <v>24</v>
      </c>
      <c r="D17" s="29"/>
      <c r="E17" s="30"/>
      <c r="F17" s="34"/>
      <c r="G17" s="118"/>
      <c r="H17" s="29"/>
      <c r="I17" s="37">
        <f>C17-D17-D18*1/2-E17-E18*1/2+F17-H17-H18*1/2-I18*1/2</f>
        <v>23.5</v>
      </c>
    </row>
    <row r="18" spans="1:9" ht="17.25" customHeight="1" x14ac:dyDescent="0.3">
      <c r="A18" s="322"/>
      <c r="B18" s="27" t="s">
        <v>28</v>
      </c>
      <c r="C18" s="28"/>
      <c r="D18" s="29"/>
      <c r="E18" s="30"/>
      <c r="F18" s="31"/>
      <c r="G18" s="25"/>
      <c r="H18" s="29">
        <v>1</v>
      </c>
      <c r="I18" s="36"/>
    </row>
    <row r="19" spans="1:9" ht="17.25" customHeight="1" x14ac:dyDescent="0.3">
      <c r="A19" s="322"/>
      <c r="B19" s="27" t="s">
        <v>29</v>
      </c>
      <c r="C19" s="33">
        <v>16</v>
      </c>
      <c r="D19" s="29"/>
      <c r="E19" s="30"/>
      <c r="F19" s="34"/>
      <c r="G19" s="25"/>
      <c r="H19" s="29"/>
      <c r="I19" s="35">
        <f>C19-D19-D20*1/2-E19-E20*1/2+F19-H19-H20*1/2-I20*1/2</f>
        <v>16</v>
      </c>
    </row>
    <row r="20" spans="1:9" ht="17.25" customHeight="1" x14ac:dyDescent="0.3">
      <c r="A20" s="322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22"/>
      <c r="B21" s="39" t="s">
        <v>31</v>
      </c>
      <c r="C21" s="40">
        <v>109</v>
      </c>
      <c r="D21" s="41"/>
      <c r="E21" s="42">
        <v>1</v>
      </c>
      <c r="F21" s="43"/>
      <c r="G21" s="44"/>
      <c r="H21" s="43">
        <v>24</v>
      </c>
      <c r="I21" s="45">
        <f t="shared" ref="I21:I48" si="0">C21-D21-E21+F21-H21</f>
        <v>84</v>
      </c>
    </row>
    <row r="22" spans="1:9" ht="17.25" customHeight="1" x14ac:dyDescent="0.3">
      <c r="A22" s="322"/>
      <c r="B22" s="21" t="s">
        <v>32</v>
      </c>
      <c r="C22" s="46">
        <v>55</v>
      </c>
      <c r="D22" s="23"/>
      <c r="E22" s="47"/>
      <c r="F22" s="48"/>
      <c r="G22" s="25"/>
      <c r="H22" s="48">
        <v>12</v>
      </c>
      <c r="I22" s="49">
        <f t="shared" si="0"/>
        <v>43</v>
      </c>
    </row>
    <row r="23" spans="1:9" ht="17.25" customHeight="1" x14ac:dyDescent="0.3">
      <c r="A23" s="322"/>
      <c r="B23" s="27" t="s">
        <v>33</v>
      </c>
      <c r="C23" s="33">
        <v>180</v>
      </c>
      <c r="D23" s="29"/>
      <c r="E23" s="50">
        <v>3</v>
      </c>
      <c r="F23" s="51"/>
      <c r="G23" s="25"/>
      <c r="H23" s="51">
        <v>3</v>
      </c>
      <c r="I23" s="52">
        <f>C23-D23-D24-E23-E24+F23+F24-H23-H24-I24</f>
        <v>169</v>
      </c>
    </row>
    <row r="24" spans="1:9" ht="17.25" customHeight="1" x14ac:dyDescent="0.3">
      <c r="A24" s="322"/>
      <c r="B24" s="160" t="s">
        <v>34</v>
      </c>
      <c r="C24" s="53"/>
      <c r="D24" s="41"/>
      <c r="E24" s="42">
        <v>3</v>
      </c>
      <c r="F24" s="43"/>
      <c r="G24" s="113"/>
      <c r="H24" s="43">
        <v>2</v>
      </c>
      <c r="I24" s="54"/>
    </row>
    <row r="25" spans="1:9" ht="17.25" customHeight="1" x14ac:dyDescent="0.3">
      <c r="A25" s="322"/>
      <c r="B25" s="21" t="s">
        <v>35</v>
      </c>
      <c r="C25" s="46">
        <v>36</v>
      </c>
      <c r="D25" s="23">
        <v>1</v>
      </c>
      <c r="E25" s="47">
        <v>1</v>
      </c>
      <c r="F25" s="48"/>
      <c r="G25" s="112"/>
      <c r="H25" s="48"/>
      <c r="I25" s="49">
        <f t="shared" si="0"/>
        <v>34</v>
      </c>
    </row>
    <row r="26" spans="1:9" ht="17.25" customHeight="1" x14ac:dyDescent="0.3">
      <c r="A26" s="322"/>
      <c r="B26" s="160" t="s">
        <v>36</v>
      </c>
      <c r="C26" s="55">
        <v>33</v>
      </c>
      <c r="D26" s="41"/>
      <c r="E26" s="42"/>
      <c r="F26" s="43"/>
      <c r="G26" s="113"/>
      <c r="H26" s="43"/>
      <c r="I26" s="45">
        <f t="shared" si="0"/>
        <v>33</v>
      </c>
    </row>
    <row r="27" spans="1:9" ht="17.25" customHeight="1" x14ac:dyDescent="0.3">
      <c r="A27" s="322"/>
      <c r="B27" s="21" t="s">
        <v>37</v>
      </c>
      <c r="C27" s="46">
        <v>30</v>
      </c>
      <c r="D27" s="23">
        <v>1</v>
      </c>
      <c r="E27" s="47"/>
      <c r="F27" s="48"/>
      <c r="G27" s="112"/>
      <c r="H27" s="48"/>
      <c r="I27" s="49">
        <f t="shared" si="0"/>
        <v>29</v>
      </c>
    </row>
    <row r="28" spans="1:9" ht="17.25" customHeight="1" x14ac:dyDescent="0.3">
      <c r="A28" s="322"/>
      <c r="B28" s="160" t="s">
        <v>38</v>
      </c>
      <c r="C28" s="55">
        <v>39</v>
      </c>
      <c r="D28" s="41">
        <v>1</v>
      </c>
      <c r="E28" s="42">
        <v>1</v>
      </c>
      <c r="F28" s="43"/>
      <c r="G28" s="113"/>
      <c r="H28" s="43"/>
      <c r="I28" s="45">
        <f t="shared" si="0"/>
        <v>37</v>
      </c>
    </row>
    <row r="29" spans="1:9" ht="17.25" customHeight="1" x14ac:dyDescent="0.3">
      <c r="A29" s="322"/>
      <c r="B29" s="21" t="s">
        <v>39</v>
      </c>
      <c r="C29" s="46">
        <v>10</v>
      </c>
      <c r="D29" s="23"/>
      <c r="E29" s="47"/>
      <c r="F29" s="48"/>
      <c r="G29" s="25"/>
      <c r="H29" s="48"/>
      <c r="I29" s="49">
        <f t="shared" si="0"/>
        <v>10</v>
      </c>
    </row>
    <row r="30" spans="1:9" ht="17.25" customHeight="1" x14ac:dyDescent="0.3">
      <c r="A30" s="322"/>
      <c r="B30" s="56" t="s">
        <v>40</v>
      </c>
      <c r="C30" s="57">
        <v>103</v>
      </c>
      <c r="D30" s="29"/>
      <c r="E30" s="50"/>
      <c r="F30" s="51"/>
      <c r="G30" s="25"/>
      <c r="H30" s="51"/>
      <c r="I30" s="52">
        <f>C30-D30-D31-E30-E31+F30+F31-H30-H31-I31</f>
        <v>103</v>
      </c>
    </row>
    <row r="31" spans="1:9" ht="17.25" customHeight="1" x14ac:dyDescent="0.3">
      <c r="A31" s="322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22"/>
      <c r="B32" s="179" t="s">
        <v>117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22"/>
      <c r="B33" s="179" t="s">
        <v>119</v>
      </c>
      <c r="C33" s="185"/>
      <c r="D33" s="29"/>
      <c r="E33" s="50"/>
      <c r="F33" s="51"/>
      <c r="G33" s="25"/>
      <c r="H33" s="51"/>
      <c r="I33" s="188"/>
    </row>
    <row r="34" spans="1:9" ht="17.25" customHeight="1" x14ac:dyDescent="0.3">
      <c r="A34" s="322"/>
      <c r="B34" s="179" t="s">
        <v>121</v>
      </c>
      <c r="C34" s="186"/>
      <c r="D34" s="60"/>
      <c r="E34" s="61"/>
      <c r="F34" s="62"/>
      <c r="G34" s="113"/>
      <c r="H34" s="62"/>
      <c r="I34" s="189">
        <v>5</v>
      </c>
    </row>
    <row r="35" spans="1:9" ht="17.25" customHeight="1" x14ac:dyDescent="0.3">
      <c r="A35" s="322"/>
      <c r="B35" s="191" t="s">
        <v>79</v>
      </c>
      <c r="C35" s="281"/>
      <c r="D35" s="23"/>
      <c r="E35" s="47"/>
      <c r="F35" s="48"/>
      <c r="G35" s="116"/>
      <c r="H35" s="48"/>
      <c r="I35" s="282">
        <v>24</v>
      </c>
    </row>
    <row r="36" spans="1:9" ht="17.25" customHeight="1" x14ac:dyDescent="0.3">
      <c r="A36" s="322"/>
      <c r="B36" s="153" t="s">
        <v>80</v>
      </c>
      <c r="C36" s="121">
        <v>20</v>
      </c>
      <c r="D36" s="122"/>
      <c r="E36" s="123"/>
      <c r="F36" s="124"/>
      <c r="G36" s="112"/>
      <c r="H36" s="124"/>
      <c r="I36" s="52">
        <f>C36-D36-E36+F36-H36</f>
        <v>20</v>
      </c>
    </row>
    <row r="37" spans="1:9" ht="17.25" customHeight="1" x14ac:dyDescent="0.3">
      <c r="A37" s="322"/>
      <c r="B37" s="163" t="s">
        <v>107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22"/>
      <c r="B38" s="178" t="s">
        <v>131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22"/>
      <c r="B39" s="178" t="s">
        <v>109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22"/>
      <c r="B40" s="178" t="s">
        <v>133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22"/>
      <c r="B41" s="178" t="s">
        <v>111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22"/>
      <c r="B42" s="178" t="s">
        <v>135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22"/>
      <c r="B43" s="178" t="s">
        <v>113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22"/>
      <c r="B44" s="178" t="s">
        <v>125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22"/>
      <c r="B45" s="164" t="s">
        <v>115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22"/>
      <c r="B46" s="120" t="s">
        <v>89</v>
      </c>
      <c r="C46" s="154">
        <v>12</v>
      </c>
      <c r="D46" s="23"/>
      <c r="E46" s="47"/>
      <c r="F46" s="48"/>
      <c r="G46" s="116"/>
      <c r="H46" s="48"/>
      <c r="I46" s="49">
        <f t="shared" si="0"/>
        <v>12</v>
      </c>
    </row>
    <row r="47" spans="1:9" ht="17.25" customHeight="1" x14ac:dyDescent="0.3">
      <c r="A47" s="322"/>
      <c r="B47" s="120" t="s">
        <v>88</v>
      </c>
      <c r="C47" s="121">
        <v>21</v>
      </c>
      <c r="D47" s="122"/>
      <c r="E47" s="123"/>
      <c r="F47" s="124"/>
      <c r="G47" s="112"/>
      <c r="H47" s="124"/>
      <c r="I47" s="52">
        <f t="shared" si="0"/>
        <v>21</v>
      </c>
    </row>
    <row r="48" spans="1:9" ht="17.25" customHeight="1" x14ac:dyDescent="0.3">
      <c r="A48" s="322"/>
      <c r="B48" s="56" t="s">
        <v>123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22"/>
      <c r="B49" s="179" t="s">
        <v>127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22"/>
      <c r="B50" s="58" t="s">
        <v>129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23"/>
      <c r="B51" s="64" t="s">
        <v>42</v>
      </c>
      <c r="C51" s="65">
        <f>SUM(C13:C50)</f>
        <v>740</v>
      </c>
      <c r="D51" s="66">
        <f>SUM(D13:D46)</f>
        <v>4</v>
      </c>
      <c r="E51" s="67">
        <f>SUM(E13:E46)</f>
        <v>13</v>
      </c>
      <c r="F51" s="67">
        <f>SUM(F13:F46)</f>
        <v>0</v>
      </c>
      <c r="G51" s="68" t="s">
        <v>22</v>
      </c>
      <c r="H51" s="69">
        <f>SUM(H13:H46)</f>
        <v>54</v>
      </c>
      <c r="I51" s="70">
        <f>SUM(I13:I46)</f>
        <v>680.5</v>
      </c>
    </row>
    <row r="52" spans="1:10" ht="17.25" customHeight="1" x14ac:dyDescent="0.3">
      <c r="A52" s="326" t="s">
        <v>72</v>
      </c>
      <c r="B52" s="327"/>
      <c r="C52" s="71"/>
      <c r="D52" s="72" t="s">
        <v>163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28"/>
      <c r="B53" s="329"/>
      <c r="C53" s="332" t="s">
        <v>74</v>
      </c>
      <c r="D53" s="334"/>
      <c r="E53" s="336"/>
      <c r="F53" s="336">
        <v>2</v>
      </c>
      <c r="G53" s="336">
        <v>8</v>
      </c>
      <c r="H53" s="336"/>
      <c r="I53" s="339">
        <v>1</v>
      </c>
      <c r="J53" s="174"/>
    </row>
    <row r="54" spans="1:10" s="76" customFormat="1" ht="17.25" customHeight="1" x14ac:dyDescent="0.3">
      <c r="A54" s="328"/>
      <c r="B54" s="329"/>
      <c r="C54" s="333"/>
      <c r="D54" s="335"/>
      <c r="E54" s="337"/>
      <c r="F54" s="337"/>
      <c r="G54" s="337"/>
      <c r="H54" s="338"/>
      <c r="I54" s="340"/>
    </row>
    <row r="55" spans="1:10" s="76" customFormat="1" ht="17.25" customHeight="1" x14ac:dyDescent="0.3">
      <c r="A55" s="328"/>
      <c r="B55" s="329"/>
      <c r="C55" s="332" t="s">
        <v>75</v>
      </c>
      <c r="D55" s="334"/>
      <c r="E55" s="343"/>
      <c r="F55" s="343">
        <v>80400</v>
      </c>
      <c r="G55" s="343">
        <v>99700</v>
      </c>
      <c r="H55" s="336"/>
      <c r="I55" s="347">
        <v>469000</v>
      </c>
    </row>
    <row r="56" spans="1:10" s="76" customFormat="1" ht="17.25" customHeight="1" thickBot="1" x14ac:dyDescent="0.35">
      <c r="A56" s="330"/>
      <c r="B56" s="331"/>
      <c r="C56" s="341"/>
      <c r="D56" s="342"/>
      <c r="E56" s="344"/>
      <c r="F56" s="344"/>
      <c r="G56" s="344"/>
      <c r="H56" s="344"/>
      <c r="I56" s="348"/>
    </row>
    <row r="57" spans="1:10" s="76" customFormat="1" ht="17.25" customHeight="1" x14ac:dyDescent="0.3">
      <c r="A57" s="326" t="s">
        <v>45</v>
      </c>
      <c r="B57" s="327"/>
      <c r="C57" s="349" t="s">
        <v>660</v>
      </c>
      <c r="D57" s="350"/>
      <c r="E57" s="350"/>
      <c r="F57" s="350"/>
      <c r="G57" s="350"/>
      <c r="H57" s="350"/>
      <c r="I57" s="351"/>
    </row>
    <row r="58" spans="1:10" s="76" customFormat="1" ht="17.25" customHeight="1" x14ac:dyDescent="0.3">
      <c r="A58" s="328"/>
      <c r="B58" s="329"/>
      <c r="C58" s="352" t="s">
        <v>661</v>
      </c>
      <c r="D58" s="352"/>
      <c r="E58" s="352"/>
      <c r="F58" s="352"/>
      <c r="G58" s="352"/>
      <c r="H58" s="352"/>
      <c r="I58" s="353"/>
    </row>
    <row r="59" spans="1:10" s="76" customFormat="1" ht="17.25" customHeight="1" x14ac:dyDescent="0.3">
      <c r="A59" s="328"/>
      <c r="B59" s="329"/>
      <c r="C59" s="354" t="s">
        <v>662</v>
      </c>
      <c r="D59" s="352"/>
      <c r="E59" s="352"/>
      <c r="F59" s="352"/>
      <c r="G59" s="352"/>
      <c r="H59" s="352"/>
      <c r="I59" s="353"/>
    </row>
    <row r="60" spans="1:10" s="76" customFormat="1" ht="17.25" customHeight="1" thickBot="1" x14ac:dyDescent="0.35">
      <c r="A60" s="330"/>
      <c r="B60" s="331"/>
      <c r="C60" s="345" t="s">
        <v>663</v>
      </c>
      <c r="D60" s="345"/>
      <c r="E60" s="345"/>
      <c r="F60" s="345"/>
      <c r="G60" s="345"/>
      <c r="H60" s="345"/>
      <c r="I60" s="346"/>
    </row>
    <row r="61" spans="1:10" s="76" customFormat="1" ht="17.25" customHeight="1" x14ac:dyDescent="0.3">
      <c r="A61" s="326" t="s">
        <v>73</v>
      </c>
      <c r="B61" s="327"/>
      <c r="C61" s="389" t="s">
        <v>658</v>
      </c>
      <c r="D61" s="368"/>
      <c r="E61" s="368"/>
      <c r="F61" s="368"/>
      <c r="G61" s="368"/>
      <c r="H61" s="368"/>
      <c r="I61" s="369"/>
    </row>
    <row r="62" spans="1:10" s="76" customFormat="1" ht="17.25" customHeight="1" x14ac:dyDescent="0.3">
      <c r="A62" s="328"/>
      <c r="B62" s="329"/>
      <c r="C62" s="354" t="s">
        <v>653</v>
      </c>
      <c r="D62" s="352"/>
      <c r="E62" s="352"/>
      <c r="F62" s="352"/>
      <c r="G62" s="352"/>
      <c r="H62" s="352"/>
      <c r="I62" s="353"/>
    </row>
    <row r="63" spans="1:10" s="76" customFormat="1" ht="17.25" customHeight="1" x14ac:dyDescent="0.3">
      <c r="A63" s="328"/>
      <c r="B63" s="329"/>
      <c r="C63" s="354" t="s">
        <v>659</v>
      </c>
      <c r="D63" s="352"/>
      <c r="E63" s="352"/>
      <c r="F63" s="352"/>
      <c r="G63" s="352"/>
      <c r="H63" s="352"/>
      <c r="I63" s="353"/>
    </row>
    <row r="64" spans="1:10" s="76" customFormat="1" ht="17.25" customHeight="1" thickBot="1" x14ac:dyDescent="0.35">
      <c r="A64" s="330"/>
      <c r="B64" s="331"/>
      <c r="C64" s="345"/>
      <c r="D64" s="345"/>
      <c r="E64" s="345"/>
      <c r="F64" s="345"/>
      <c r="G64" s="345"/>
      <c r="H64" s="345"/>
      <c r="I64" s="346"/>
    </row>
    <row r="65" spans="1:9" s="76" customFormat="1" ht="17.25" customHeight="1" x14ac:dyDescent="0.3">
      <c r="A65" s="363" t="s">
        <v>46</v>
      </c>
      <c r="B65" s="366" t="s">
        <v>47</v>
      </c>
      <c r="C65" s="368"/>
      <c r="D65" s="368"/>
      <c r="E65" s="368"/>
      <c r="F65" s="368"/>
      <c r="G65" s="368"/>
      <c r="H65" s="368"/>
      <c r="I65" s="369"/>
    </row>
    <row r="66" spans="1:9" s="76" customFormat="1" ht="17.25" customHeight="1" x14ac:dyDescent="0.3">
      <c r="A66" s="364"/>
      <c r="B66" s="367"/>
      <c r="C66" s="350"/>
      <c r="D66" s="350"/>
      <c r="E66" s="350"/>
      <c r="F66" s="350"/>
      <c r="G66" s="350"/>
      <c r="H66" s="350"/>
      <c r="I66" s="351"/>
    </row>
    <row r="67" spans="1:9" s="76" customFormat="1" ht="17.25" customHeight="1" x14ac:dyDescent="0.3">
      <c r="A67" s="364"/>
      <c r="B67" s="370" t="s">
        <v>48</v>
      </c>
      <c r="C67" s="352"/>
      <c r="D67" s="352"/>
      <c r="E67" s="352"/>
      <c r="F67" s="352"/>
      <c r="G67" s="352"/>
      <c r="H67" s="352"/>
      <c r="I67" s="353"/>
    </row>
    <row r="68" spans="1:9" s="76" customFormat="1" ht="17.25" customHeight="1" x14ac:dyDescent="0.3">
      <c r="A68" s="364"/>
      <c r="B68" s="367"/>
      <c r="C68" s="350"/>
      <c r="D68" s="350"/>
      <c r="E68" s="350"/>
      <c r="F68" s="350"/>
      <c r="G68" s="350"/>
      <c r="H68" s="350"/>
      <c r="I68" s="351"/>
    </row>
    <row r="69" spans="1:9" s="76" customFormat="1" ht="17.25" customHeight="1" thickBot="1" x14ac:dyDescent="0.35">
      <c r="A69" s="365"/>
      <c r="B69" s="371"/>
      <c r="C69" s="362"/>
      <c r="D69" s="345"/>
      <c r="E69" s="345"/>
      <c r="F69" s="345"/>
      <c r="G69" s="345"/>
      <c r="H69" s="345"/>
      <c r="I69" s="346"/>
    </row>
    <row r="70" spans="1:9" s="76" customFormat="1" ht="17.25" customHeight="1" x14ac:dyDescent="0.3">
      <c r="A70" s="326" t="s">
        <v>49</v>
      </c>
      <c r="B70" s="327"/>
      <c r="C70" s="350" t="s">
        <v>648</v>
      </c>
      <c r="D70" s="350"/>
      <c r="E70" s="350"/>
      <c r="F70" s="350"/>
      <c r="G70" s="350"/>
      <c r="H70" s="350"/>
      <c r="I70" s="351"/>
    </row>
    <row r="71" spans="1:9" s="76" customFormat="1" ht="17.25" customHeight="1" x14ac:dyDescent="0.3">
      <c r="A71" s="328"/>
      <c r="B71" s="329"/>
      <c r="C71" s="350" t="s">
        <v>649</v>
      </c>
      <c r="D71" s="350"/>
      <c r="E71" s="350"/>
      <c r="F71" s="350"/>
      <c r="G71" s="350"/>
      <c r="H71" s="350"/>
      <c r="I71" s="351"/>
    </row>
    <row r="72" spans="1:9" s="76" customFormat="1" ht="17.25" customHeight="1" thickBot="1" x14ac:dyDescent="0.35">
      <c r="A72" s="330"/>
      <c r="B72" s="331"/>
      <c r="C72" s="362"/>
      <c r="D72" s="345"/>
      <c r="E72" s="345"/>
      <c r="F72" s="345"/>
      <c r="G72" s="345"/>
      <c r="H72" s="345"/>
      <c r="I72" s="346"/>
    </row>
    <row r="73" spans="1:9" s="76" customFormat="1" ht="17.25" customHeight="1" x14ac:dyDescent="0.3">
      <c r="A73" s="326" t="s">
        <v>50</v>
      </c>
      <c r="B73" s="327"/>
      <c r="C73" s="389" t="s">
        <v>650</v>
      </c>
      <c r="D73" s="368"/>
      <c r="E73" s="368"/>
      <c r="F73" s="368"/>
      <c r="G73" s="368"/>
      <c r="H73" s="368"/>
      <c r="I73" s="369"/>
    </row>
    <row r="74" spans="1:9" s="76" customFormat="1" ht="17.25" customHeight="1" thickBot="1" x14ac:dyDescent="0.35">
      <c r="A74" s="330"/>
      <c r="B74" s="331"/>
      <c r="C74" s="354"/>
      <c r="D74" s="352"/>
      <c r="E74" s="352"/>
      <c r="F74" s="352"/>
      <c r="G74" s="352"/>
      <c r="H74" s="352"/>
      <c r="I74" s="353"/>
    </row>
    <row r="75" spans="1:9" s="76" customFormat="1" ht="17.25" customHeight="1" x14ac:dyDescent="0.3">
      <c r="A75" s="326" t="s">
        <v>51</v>
      </c>
      <c r="B75" s="327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651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652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375" t="s">
        <v>61</v>
      </c>
      <c r="B78" s="376"/>
      <c r="C78" s="382" t="s">
        <v>62</v>
      </c>
      <c r="D78" s="383"/>
      <c r="E78" s="384" t="s">
        <v>63</v>
      </c>
      <c r="F78" s="383"/>
      <c r="G78" s="385" t="s">
        <v>64</v>
      </c>
      <c r="H78" s="386"/>
      <c r="I78" s="90" t="s">
        <v>65</v>
      </c>
    </row>
    <row r="79" spans="1:9" s="76" customFormat="1" ht="17.25" customHeight="1" thickBot="1" x14ac:dyDescent="0.35">
      <c r="A79" s="377"/>
      <c r="B79" s="378"/>
      <c r="C79" s="92">
        <v>0.25</v>
      </c>
      <c r="D79" s="93" t="s">
        <v>654</v>
      </c>
      <c r="E79" s="94">
        <v>0.8125</v>
      </c>
      <c r="F79" s="93" t="s">
        <v>655</v>
      </c>
      <c r="G79" s="387" t="s">
        <v>656</v>
      </c>
      <c r="H79" s="388"/>
      <c r="I79" s="95" t="s">
        <v>657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372" t="s">
        <v>66</v>
      </c>
      <c r="I80" s="372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1:I1"/>
    <mergeCell ref="A2:B2"/>
    <mergeCell ref="C2:D2"/>
    <mergeCell ref="E2:E3"/>
    <mergeCell ref="F2:G2"/>
    <mergeCell ref="H2:I2"/>
    <mergeCell ref="A3:B3"/>
    <mergeCell ref="F3:G3"/>
    <mergeCell ref="H3:I3"/>
    <mergeCell ref="A4:H4"/>
    <mergeCell ref="A7:H7"/>
    <mergeCell ref="A9:A11"/>
    <mergeCell ref="B9:B11"/>
    <mergeCell ref="C9:D9"/>
    <mergeCell ref="E9:F9"/>
    <mergeCell ref="G9:H9"/>
    <mergeCell ref="A12:A51"/>
    <mergeCell ref="A52:B56"/>
    <mergeCell ref="C53:C54"/>
    <mergeCell ref="D53:D54"/>
    <mergeCell ref="E53:E54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opLeftCell="A25" zoomScale="90" zoomScaleNormal="90" workbookViewId="0">
      <selection activeCell="C30" sqref="C30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296" t="s">
        <v>0</v>
      </c>
      <c r="B1" s="297"/>
      <c r="C1" s="297"/>
      <c r="D1" s="297"/>
      <c r="E1" s="297"/>
      <c r="F1" s="297"/>
      <c r="G1" s="297"/>
      <c r="H1" s="297"/>
      <c r="I1" s="298"/>
    </row>
    <row r="2" spans="1:9" x14ac:dyDescent="0.3">
      <c r="A2" s="299" t="s">
        <v>1</v>
      </c>
      <c r="B2" s="300"/>
      <c r="C2" s="301" t="s">
        <v>665</v>
      </c>
      <c r="D2" s="302"/>
      <c r="E2" s="303" t="s">
        <v>77</v>
      </c>
      <c r="F2" s="305" t="s">
        <v>2</v>
      </c>
      <c r="G2" s="306"/>
      <c r="H2" s="307" t="s">
        <v>76</v>
      </c>
      <c r="I2" s="308"/>
    </row>
    <row r="3" spans="1:9" x14ac:dyDescent="0.3">
      <c r="A3" s="309" t="s">
        <v>3</v>
      </c>
      <c r="B3" s="310"/>
      <c r="C3" s="4" t="s">
        <v>666</v>
      </c>
      <c r="D3" s="5" t="s">
        <v>4</v>
      </c>
      <c r="E3" s="304"/>
      <c r="F3" s="311" t="s">
        <v>667</v>
      </c>
      <c r="G3" s="312"/>
      <c r="H3" s="313">
        <f>G11+'26일'!H3:I3</f>
        <v>51960700</v>
      </c>
      <c r="I3" s="314"/>
    </row>
    <row r="4" spans="1:9" ht="7.5" customHeight="1" x14ac:dyDescent="0.3">
      <c r="A4" s="315"/>
      <c r="B4" s="316"/>
      <c r="C4" s="316"/>
      <c r="D4" s="316"/>
      <c r="E4" s="316"/>
      <c r="F4" s="316"/>
      <c r="G4" s="316"/>
      <c r="H4" s="316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669</v>
      </c>
      <c r="F6" s="15" t="s">
        <v>670</v>
      </c>
      <c r="G6" s="16" t="s">
        <v>668</v>
      </c>
      <c r="H6" s="17">
        <v>0.45</v>
      </c>
      <c r="I6" s="18">
        <v>0.24</v>
      </c>
    </row>
    <row r="7" spans="1:9" ht="7.5" customHeight="1" x14ac:dyDescent="0.3">
      <c r="A7" s="315"/>
      <c r="B7" s="316"/>
      <c r="C7" s="316"/>
      <c r="D7" s="316"/>
      <c r="E7" s="316"/>
      <c r="F7" s="316"/>
      <c r="G7" s="316"/>
      <c r="H7" s="316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79" t="s">
        <v>10</v>
      </c>
      <c r="B9" s="317" t="s">
        <v>11</v>
      </c>
      <c r="C9" s="320" t="s">
        <v>68</v>
      </c>
      <c r="D9" s="303"/>
      <c r="E9" s="303" t="s">
        <v>67</v>
      </c>
      <c r="F9" s="303"/>
      <c r="G9" s="303" t="s">
        <v>69</v>
      </c>
      <c r="H9" s="303"/>
      <c r="I9" s="373" t="s">
        <v>78</v>
      </c>
    </row>
    <row r="10" spans="1:9" ht="18" customHeight="1" x14ac:dyDescent="0.3">
      <c r="A10" s="380"/>
      <c r="B10" s="318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74"/>
    </row>
    <row r="11" spans="1:9" ht="17.25" thickBot="1" x14ac:dyDescent="0.35">
      <c r="A11" s="381"/>
      <c r="B11" s="319"/>
      <c r="C11" s="101">
        <v>2050200</v>
      </c>
      <c r="D11" s="102">
        <v>161</v>
      </c>
      <c r="E11" s="109">
        <f>SUM(E55:I56)</f>
        <v>274300</v>
      </c>
      <c r="F11" s="109">
        <f>SUM(E53:I54)</f>
        <v>14</v>
      </c>
      <c r="G11" s="110">
        <f>C11+E11</f>
        <v>2324500</v>
      </c>
      <c r="H11" s="110">
        <f>D11+F11</f>
        <v>175</v>
      </c>
      <c r="I11" s="111">
        <f>G11/H11</f>
        <v>13282.857142857143</v>
      </c>
    </row>
    <row r="12" spans="1:9" ht="30" customHeight="1" x14ac:dyDescent="0.3">
      <c r="A12" s="321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24" t="s">
        <v>19</v>
      </c>
      <c r="G12" s="325"/>
      <c r="H12" s="158" t="s">
        <v>20</v>
      </c>
      <c r="I12" s="100" t="s">
        <v>21</v>
      </c>
    </row>
    <row r="13" spans="1:9" ht="17.25" customHeight="1" x14ac:dyDescent="0.3">
      <c r="A13" s="322"/>
      <c r="B13" s="21" t="s">
        <v>23</v>
      </c>
      <c r="C13" s="22">
        <v>26</v>
      </c>
      <c r="D13" s="23"/>
      <c r="E13" s="22"/>
      <c r="F13" s="24"/>
      <c r="G13" s="25"/>
      <c r="H13" s="23"/>
      <c r="I13" s="26">
        <f>C13-D13-D14*1/2-E13-E14*1/2+F13-H13-H14*1/2-I14*1/2</f>
        <v>26</v>
      </c>
    </row>
    <row r="14" spans="1:9" ht="17.25" customHeight="1" x14ac:dyDescent="0.3">
      <c r="A14" s="322"/>
      <c r="B14" s="27" t="s">
        <v>24</v>
      </c>
      <c r="C14" s="28"/>
      <c r="D14" s="29"/>
      <c r="E14" s="30"/>
      <c r="F14" s="31"/>
      <c r="G14" s="25"/>
      <c r="H14" s="29"/>
      <c r="I14" s="32"/>
    </row>
    <row r="15" spans="1:9" ht="17.25" customHeight="1" x14ac:dyDescent="0.3">
      <c r="A15" s="322"/>
      <c r="B15" s="27" t="s">
        <v>25</v>
      </c>
      <c r="C15" s="33">
        <v>23</v>
      </c>
      <c r="D15" s="29"/>
      <c r="E15" s="30"/>
      <c r="F15" s="34"/>
      <c r="G15" s="25"/>
      <c r="H15" s="29"/>
      <c r="I15" s="35">
        <f>C15-D15-D16*1/2-E15-E16*1/2+F15-H15-H16*1/2-I16*1/2</f>
        <v>23</v>
      </c>
    </row>
    <row r="16" spans="1:9" ht="17.25" customHeight="1" x14ac:dyDescent="0.3">
      <c r="A16" s="322"/>
      <c r="B16" s="27" t="s">
        <v>26</v>
      </c>
      <c r="C16" s="28"/>
      <c r="D16" s="29"/>
      <c r="E16" s="30"/>
      <c r="F16" s="31"/>
      <c r="G16" s="25"/>
      <c r="H16" s="29"/>
      <c r="I16" s="36"/>
    </row>
    <row r="17" spans="1:9" ht="17.25" customHeight="1" x14ac:dyDescent="0.3">
      <c r="A17" s="322"/>
      <c r="B17" s="27" t="s">
        <v>27</v>
      </c>
      <c r="C17" s="33">
        <v>16</v>
      </c>
      <c r="D17" s="29">
        <v>1</v>
      </c>
      <c r="E17" s="30"/>
      <c r="F17" s="34"/>
      <c r="G17" s="118"/>
      <c r="H17" s="29"/>
      <c r="I17" s="37">
        <f>C17-D17-D18*1/2-E17-E18*1/2+F17-H17-H18*1/2-I18*1/2</f>
        <v>15</v>
      </c>
    </row>
    <row r="18" spans="1:9" ht="17.25" customHeight="1" x14ac:dyDescent="0.3">
      <c r="A18" s="322"/>
      <c r="B18" s="27" t="s">
        <v>28</v>
      </c>
      <c r="C18" s="28"/>
      <c r="D18" s="29"/>
      <c r="E18" s="30"/>
      <c r="F18" s="31"/>
      <c r="G18" s="25"/>
      <c r="H18" s="29"/>
      <c r="I18" s="36"/>
    </row>
    <row r="19" spans="1:9" ht="17.25" customHeight="1" x14ac:dyDescent="0.3">
      <c r="A19" s="322"/>
      <c r="B19" s="27" t="s">
        <v>29</v>
      </c>
      <c r="C19" s="33">
        <v>16</v>
      </c>
      <c r="D19" s="29"/>
      <c r="E19" s="30"/>
      <c r="F19" s="34"/>
      <c r="G19" s="25"/>
      <c r="H19" s="29"/>
      <c r="I19" s="35">
        <f>C19-D19-D20*1/2-E19-E20*1/2+F19-H19-H20*1/2-I20*1/2</f>
        <v>16</v>
      </c>
    </row>
    <row r="20" spans="1:9" ht="17.25" customHeight="1" x14ac:dyDescent="0.3">
      <c r="A20" s="322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22"/>
      <c r="B21" s="39" t="s">
        <v>31</v>
      </c>
      <c r="C21" s="40">
        <v>82</v>
      </c>
      <c r="D21" s="41"/>
      <c r="E21" s="42">
        <v>3</v>
      </c>
      <c r="F21" s="43"/>
      <c r="G21" s="44"/>
      <c r="H21" s="43"/>
      <c r="I21" s="45">
        <f t="shared" ref="I21:I48" si="0">C21-D21-E21+F21-H21</f>
        <v>79</v>
      </c>
    </row>
    <row r="22" spans="1:9" ht="17.25" customHeight="1" x14ac:dyDescent="0.3">
      <c r="A22" s="322"/>
      <c r="B22" s="21" t="s">
        <v>32</v>
      </c>
      <c r="C22" s="46">
        <v>42</v>
      </c>
      <c r="D22" s="23"/>
      <c r="E22" s="47">
        <v>1</v>
      </c>
      <c r="F22" s="48"/>
      <c r="G22" s="25"/>
      <c r="H22" s="48"/>
      <c r="I22" s="49">
        <f t="shared" si="0"/>
        <v>41</v>
      </c>
    </row>
    <row r="23" spans="1:9" ht="17.25" customHeight="1" x14ac:dyDescent="0.3">
      <c r="A23" s="322"/>
      <c r="B23" s="27" t="s">
        <v>33</v>
      </c>
      <c r="C23" s="33">
        <v>147</v>
      </c>
      <c r="D23" s="29"/>
      <c r="E23" s="50">
        <v>4</v>
      </c>
      <c r="F23" s="51"/>
      <c r="G23" s="25"/>
      <c r="H23" s="51"/>
      <c r="I23" s="52">
        <f>C23-D23-D24-E23-E24+F23+F24-H23-H24-I24</f>
        <v>143</v>
      </c>
    </row>
    <row r="24" spans="1:9" ht="17.25" customHeight="1" x14ac:dyDescent="0.3">
      <c r="A24" s="322"/>
      <c r="B24" s="160" t="s">
        <v>34</v>
      </c>
      <c r="C24" s="53"/>
      <c r="D24" s="41"/>
      <c r="E24" s="42"/>
      <c r="F24" s="43"/>
      <c r="G24" s="113"/>
      <c r="H24" s="43"/>
      <c r="I24" s="54"/>
    </row>
    <row r="25" spans="1:9" ht="17.25" customHeight="1" x14ac:dyDescent="0.3">
      <c r="A25" s="322"/>
      <c r="B25" s="21" t="s">
        <v>35</v>
      </c>
      <c r="C25" s="46">
        <v>34</v>
      </c>
      <c r="D25" s="23">
        <v>3</v>
      </c>
      <c r="E25" s="47"/>
      <c r="F25" s="48"/>
      <c r="G25" s="112"/>
      <c r="H25" s="48"/>
      <c r="I25" s="49">
        <f t="shared" si="0"/>
        <v>31</v>
      </c>
    </row>
    <row r="26" spans="1:9" ht="17.25" customHeight="1" x14ac:dyDescent="0.3">
      <c r="A26" s="322"/>
      <c r="B26" s="160" t="s">
        <v>36</v>
      </c>
      <c r="C26" s="55">
        <v>32</v>
      </c>
      <c r="D26" s="41"/>
      <c r="E26" s="42"/>
      <c r="F26" s="43"/>
      <c r="G26" s="113"/>
      <c r="H26" s="43"/>
      <c r="I26" s="45">
        <f t="shared" si="0"/>
        <v>32</v>
      </c>
    </row>
    <row r="27" spans="1:9" ht="17.25" customHeight="1" x14ac:dyDescent="0.3">
      <c r="A27" s="322"/>
      <c r="B27" s="21" t="s">
        <v>37</v>
      </c>
      <c r="C27" s="46">
        <v>32</v>
      </c>
      <c r="D27" s="23"/>
      <c r="E27" s="47"/>
      <c r="F27" s="48"/>
      <c r="G27" s="112"/>
      <c r="H27" s="48"/>
      <c r="I27" s="49">
        <f t="shared" si="0"/>
        <v>32</v>
      </c>
    </row>
    <row r="28" spans="1:9" ht="17.25" customHeight="1" x14ac:dyDescent="0.3">
      <c r="A28" s="322"/>
      <c r="B28" s="160" t="s">
        <v>38</v>
      </c>
      <c r="C28" s="55">
        <v>46</v>
      </c>
      <c r="D28" s="41">
        <v>5</v>
      </c>
      <c r="E28" s="42">
        <v>2</v>
      </c>
      <c r="F28" s="43"/>
      <c r="G28" s="113"/>
      <c r="H28" s="43"/>
      <c r="I28" s="45">
        <f t="shared" si="0"/>
        <v>39</v>
      </c>
    </row>
    <row r="29" spans="1:9" ht="17.25" customHeight="1" x14ac:dyDescent="0.3">
      <c r="A29" s="322"/>
      <c r="B29" s="21" t="s">
        <v>39</v>
      </c>
      <c r="C29" s="46">
        <v>10</v>
      </c>
      <c r="D29" s="23"/>
      <c r="E29" s="47"/>
      <c r="F29" s="48"/>
      <c r="G29" s="25"/>
      <c r="H29" s="48"/>
      <c r="I29" s="49">
        <f t="shared" si="0"/>
        <v>10</v>
      </c>
    </row>
    <row r="30" spans="1:9" ht="17.25" customHeight="1" x14ac:dyDescent="0.3">
      <c r="A30" s="322"/>
      <c r="B30" s="56" t="s">
        <v>40</v>
      </c>
      <c r="C30" s="57">
        <v>106</v>
      </c>
      <c r="D30" s="29"/>
      <c r="E30" s="50"/>
      <c r="F30" s="51"/>
      <c r="G30" s="25"/>
      <c r="H30" s="51"/>
      <c r="I30" s="52">
        <f>C30-D30-D31-E30-E31+F30+F31-H30-H31-I31</f>
        <v>106</v>
      </c>
    </row>
    <row r="31" spans="1:9" ht="17.25" customHeight="1" x14ac:dyDescent="0.3">
      <c r="A31" s="322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22"/>
      <c r="B32" s="179" t="s">
        <v>117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22"/>
      <c r="B33" s="179" t="s">
        <v>119</v>
      </c>
      <c r="C33" s="185"/>
      <c r="D33" s="29"/>
      <c r="E33" s="50"/>
      <c r="F33" s="51"/>
      <c r="G33" s="25"/>
      <c r="H33" s="51"/>
      <c r="I33" s="188"/>
    </row>
    <row r="34" spans="1:9" ht="17.25" customHeight="1" x14ac:dyDescent="0.3">
      <c r="A34" s="322"/>
      <c r="B34" s="179" t="s">
        <v>121</v>
      </c>
      <c r="C34" s="186"/>
      <c r="D34" s="60"/>
      <c r="E34" s="61"/>
      <c r="F34" s="62"/>
      <c r="G34" s="113"/>
      <c r="H34" s="62"/>
      <c r="I34" s="189"/>
    </row>
    <row r="35" spans="1:9" ht="17.25" customHeight="1" x14ac:dyDescent="0.3">
      <c r="A35" s="322"/>
      <c r="B35" s="191" t="s">
        <v>79</v>
      </c>
      <c r="C35" s="281"/>
      <c r="D35" s="23"/>
      <c r="E35" s="47"/>
      <c r="F35" s="48"/>
      <c r="G35" s="116"/>
      <c r="H35" s="48"/>
      <c r="I35" s="282">
        <v>3</v>
      </c>
    </row>
    <row r="36" spans="1:9" ht="17.25" customHeight="1" x14ac:dyDescent="0.3">
      <c r="A36" s="322"/>
      <c r="B36" s="153" t="s">
        <v>80</v>
      </c>
      <c r="C36" s="121">
        <v>20</v>
      </c>
      <c r="D36" s="122"/>
      <c r="E36" s="123"/>
      <c r="F36" s="124"/>
      <c r="G36" s="112"/>
      <c r="H36" s="124"/>
      <c r="I36" s="52">
        <f>C36-D36-E36+F36-H36</f>
        <v>20</v>
      </c>
    </row>
    <row r="37" spans="1:9" ht="17.25" customHeight="1" x14ac:dyDescent="0.3">
      <c r="A37" s="322"/>
      <c r="B37" s="163" t="s">
        <v>107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22"/>
      <c r="B38" s="178" t="s">
        <v>131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22"/>
      <c r="B39" s="178" t="s">
        <v>109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22"/>
      <c r="B40" s="178" t="s">
        <v>133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22"/>
      <c r="B41" s="178" t="s">
        <v>111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22"/>
      <c r="B42" s="178" t="s">
        <v>135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22"/>
      <c r="B43" s="178" t="s">
        <v>113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22"/>
      <c r="B44" s="178" t="s">
        <v>125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22"/>
      <c r="B45" s="164" t="s">
        <v>115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22"/>
      <c r="B46" s="120" t="s">
        <v>89</v>
      </c>
      <c r="C46" s="154">
        <v>13</v>
      </c>
      <c r="D46" s="23"/>
      <c r="E46" s="47"/>
      <c r="F46" s="48"/>
      <c r="G46" s="116"/>
      <c r="H46" s="48"/>
      <c r="I46" s="49">
        <f t="shared" si="0"/>
        <v>13</v>
      </c>
    </row>
    <row r="47" spans="1:9" ht="17.25" customHeight="1" x14ac:dyDescent="0.3">
      <c r="A47" s="322"/>
      <c r="B47" s="120" t="s">
        <v>88</v>
      </c>
      <c r="C47" s="121">
        <v>9</v>
      </c>
      <c r="D47" s="122"/>
      <c r="E47" s="123"/>
      <c r="F47" s="124"/>
      <c r="G47" s="112"/>
      <c r="H47" s="124"/>
      <c r="I47" s="52">
        <f t="shared" si="0"/>
        <v>9</v>
      </c>
    </row>
    <row r="48" spans="1:9" ht="17.25" customHeight="1" x14ac:dyDescent="0.3">
      <c r="A48" s="322"/>
      <c r="B48" s="56" t="s">
        <v>123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22"/>
      <c r="B49" s="179" t="s">
        <v>127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22"/>
      <c r="B50" s="58" t="s">
        <v>129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23"/>
      <c r="B51" s="64" t="s">
        <v>42</v>
      </c>
      <c r="C51" s="65">
        <f>SUM(C13:C50)</f>
        <v>654</v>
      </c>
      <c r="D51" s="66">
        <f>SUM(D13:D46)</f>
        <v>9</v>
      </c>
      <c r="E51" s="67">
        <f>SUM(E13:E46)</f>
        <v>10</v>
      </c>
      <c r="F51" s="67">
        <f>SUM(F13:F46)</f>
        <v>0</v>
      </c>
      <c r="G51" s="68" t="s">
        <v>22</v>
      </c>
      <c r="H51" s="69">
        <f>SUM(H13:H46)</f>
        <v>0</v>
      </c>
      <c r="I51" s="70">
        <f>SUM(I13:I46)</f>
        <v>629</v>
      </c>
    </row>
    <row r="52" spans="1:10" ht="17.25" customHeight="1" x14ac:dyDescent="0.3">
      <c r="A52" s="326" t="s">
        <v>72</v>
      </c>
      <c r="B52" s="327"/>
      <c r="C52" s="71"/>
      <c r="D52" s="72" t="s">
        <v>163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28"/>
      <c r="B53" s="329"/>
      <c r="C53" s="332" t="s">
        <v>74</v>
      </c>
      <c r="D53" s="334"/>
      <c r="E53" s="336">
        <v>5</v>
      </c>
      <c r="F53" s="336">
        <v>2</v>
      </c>
      <c r="G53" s="336">
        <v>6</v>
      </c>
      <c r="H53" s="336"/>
      <c r="I53" s="339">
        <v>1</v>
      </c>
      <c r="J53" s="174"/>
    </row>
    <row r="54" spans="1:10" s="76" customFormat="1" ht="17.25" customHeight="1" x14ac:dyDescent="0.3">
      <c r="A54" s="328"/>
      <c r="B54" s="329"/>
      <c r="C54" s="333"/>
      <c r="D54" s="335"/>
      <c r="E54" s="337"/>
      <c r="F54" s="337"/>
      <c r="G54" s="337"/>
      <c r="H54" s="338"/>
      <c r="I54" s="340"/>
    </row>
    <row r="55" spans="1:10" s="76" customFormat="1" ht="17.25" customHeight="1" x14ac:dyDescent="0.3">
      <c r="A55" s="328"/>
      <c r="B55" s="329"/>
      <c r="C55" s="332" t="s">
        <v>75</v>
      </c>
      <c r="D55" s="334"/>
      <c r="E55" s="343">
        <v>114300</v>
      </c>
      <c r="F55" s="343">
        <v>56000</v>
      </c>
      <c r="G55" s="343">
        <v>65400</v>
      </c>
      <c r="H55" s="336"/>
      <c r="I55" s="347">
        <v>38600</v>
      </c>
    </row>
    <row r="56" spans="1:10" s="76" customFormat="1" ht="17.25" customHeight="1" thickBot="1" x14ac:dyDescent="0.35">
      <c r="A56" s="330"/>
      <c r="B56" s="331"/>
      <c r="C56" s="341"/>
      <c r="D56" s="342"/>
      <c r="E56" s="344"/>
      <c r="F56" s="344"/>
      <c r="G56" s="344"/>
      <c r="H56" s="344"/>
      <c r="I56" s="348"/>
    </row>
    <row r="57" spans="1:10" s="76" customFormat="1" ht="17.25" customHeight="1" x14ac:dyDescent="0.3">
      <c r="A57" s="326" t="s">
        <v>45</v>
      </c>
      <c r="B57" s="327"/>
      <c r="C57" s="349" t="s">
        <v>681</v>
      </c>
      <c r="D57" s="350"/>
      <c r="E57" s="350"/>
      <c r="F57" s="350"/>
      <c r="G57" s="350"/>
      <c r="H57" s="350"/>
      <c r="I57" s="351"/>
    </row>
    <row r="58" spans="1:10" s="76" customFormat="1" ht="17.25" customHeight="1" x14ac:dyDescent="0.3">
      <c r="A58" s="328"/>
      <c r="B58" s="329"/>
      <c r="C58" s="352" t="s">
        <v>682</v>
      </c>
      <c r="D58" s="352"/>
      <c r="E58" s="352"/>
      <c r="F58" s="352"/>
      <c r="G58" s="352"/>
      <c r="H58" s="352"/>
      <c r="I58" s="353"/>
    </row>
    <row r="59" spans="1:10" s="76" customFormat="1" ht="17.25" customHeight="1" x14ac:dyDescent="0.3">
      <c r="A59" s="328"/>
      <c r="B59" s="329"/>
      <c r="C59" s="354" t="s">
        <v>683</v>
      </c>
      <c r="D59" s="352"/>
      <c r="E59" s="352"/>
      <c r="F59" s="352"/>
      <c r="G59" s="352"/>
      <c r="H59" s="352"/>
      <c r="I59" s="353"/>
    </row>
    <row r="60" spans="1:10" s="76" customFormat="1" ht="17.25" customHeight="1" thickBot="1" x14ac:dyDescent="0.35">
      <c r="A60" s="330"/>
      <c r="B60" s="331"/>
      <c r="C60" s="345" t="s">
        <v>684</v>
      </c>
      <c r="D60" s="345"/>
      <c r="E60" s="345"/>
      <c r="F60" s="345"/>
      <c r="G60" s="345"/>
      <c r="H60" s="345"/>
      <c r="I60" s="346"/>
    </row>
    <row r="61" spans="1:10" s="76" customFormat="1" ht="32.25" customHeight="1" x14ac:dyDescent="0.3">
      <c r="A61" s="326" t="s">
        <v>73</v>
      </c>
      <c r="B61" s="327"/>
      <c r="C61" s="390" t="s">
        <v>664</v>
      </c>
      <c r="D61" s="368"/>
      <c r="E61" s="368"/>
      <c r="F61" s="368"/>
      <c r="G61" s="368"/>
      <c r="H61" s="368"/>
      <c r="I61" s="369"/>
    </row>
    <row r="62" spans="1:10" s="76" customFormat="1" ht="17.25" customHeight="1" x14ac:dyDescent="0.3">
      <c r="A62" s="328"/>
      <c r="B62" s="329"/>
      <c r="C62" s="396" t="s">
        <v>678</v>
      </c>
      <c r="D62" s="397"/>
      <c r="E62" s="397"/>
      <c r="F62" s="397"/>
      <c r="G62" s="397"/>
      <c r="H62" s="397"/>
      <c r="I62" s="398"/>
    </row>
    <row r="63" spans="1:10" s="76" customFormat="1" ht="17.25" customHeight="1" x14ac:dyDescent="0.3">
      <c r="A63" s="328"/>
      <c r="B63" s="329"/>
      <c r="C63" s="359"/>
      <c r="D63" s="360"/>
      <c r="E63" s="360"/>
      <c r="F63" s="360"/>
      <c r="G63" s="360"/>
      <c r="H63" s="360"/>
      <c r="I63" s="361"/>
    </row>
    <row r="64" spans="1:10" s="76" customFormat="1" ht="17.25" customHeight="1" thickBot="1" x14ac:dyDescent="0.35">
      <c r="A64" s="330"/>
      <c r="B64" s="331"/>
      <c r="C64" s="345" t="s">
        <v>679</v>
      </c>
      <c r="D64" s="345"/>
      <c r="E64" s="345"/>
      <c r="F64" s="345"/>
      <c r="G64" s="345"/>
      <c r="H64" s="345"/>
      <c r="I64" s="346"/>
    </row>
    <row r="65" spans="1:9" s="76" customFormat="1" ht="17.25" customHeight="1" x14ac:dyDescent="0.3">
      <c r="A65" s="363" t="s">
        <v>46</v>
      </c>
      <c r="B65" s="366" t="s">
        <v>47</v>
      </c>
      <c r="C65" s="368"/>
      <c r="D65" s="368"/>
      <c r="E65" s="368"/>
      <c r="F65" s="368"/>
      <c r="G65" s="368"/>
      <c r="H65" s="368"/>
      <c r="I65" s="369"/>
    </row>
    <row r="66" spans="1:9" s="76" customFormat="1" ht="17.25" customHeight="1" x14ac:dyDescent="0.3">
      <c r="A66" s="364"/>
      <c r="B66" s="367"/>
      <c r="C66" s="350"/>
      <c r="D66" s="350"/>
      <c r="E66" s="350"/>
      <c r="F66" s="350"/>
      <c r="G66" s="350"/>
      <c r="H66" s="350"/>
      <c r="I66" s="351"/>
    </row>
    <row r="67" spans="1:9" s="76" customFormat="1" ht="17.25" customHeight="1" x14ac:dyDescent="0.3">
      <c r="A67" s="364"/>
      <c r="B67" s="370" t="s">
        <v>48</v>
      </c>
      <c r="C67" s="352"/>
      <c r="D67" s="352"/>
      <c r="E67" s="352"/>
      <c r="F67" s="352"/>
      <c r="G67" s="352"/>
      <c r="H67" s="352"/>
      <c r="I67" s="353"/>
    </row>
    <row r="68" spans="1:9" s="76" customFormat="1" ht="17.25" customHeight="1" x14ac:dyDescent="0.3">
      <c r="A68" s="364"/>
      <c r="B68" s="367"/>
      <c r="C68" s="350"/>
      <c r="D68" s="350"/>
      <c r="E68" s="350"/>
      <c r="F68" s="350"/>
      <c r="G68" s="350"/>
      <c r="H68" s="350"/>
      <c r="I68" s="351"/>
    </row>
    <row r="69" spans="1:9" s="76" customFormat="1" ht="17.25" customHeight="1" thickBot="1" x14ac:dyDescent="0.35">
      <c r="A69" s="365"/>
      <c r="B69" s="371"/>
      <c r="C69" s="362"/>
      <c r="D69" s="345"/>
      <c r="E69" s="345"/>
      <c r="F69" s="345"/>
      <c r="G69" s="345"/>
      <c r="H69" s="345"/>
      <c r="I69" s="346"/>
    </row>
    <row r="70" spans="1:9" s="76" customFormat="1" ht="17.25" customHeight="1" x14ac:dyDescent="0.3">
      <c r="A70" s="326" t="s">
        <v>49</v>
      </c>
      <c r="B70" s="327"/>
      <c r="C70" s="350"/>
      <c r="D70" s="350"/>
      <c r="E70" s="350"/>
      <c r="F70" s="350"/>
      <c r="G70" s="350"/>
      <c r="H70" s="350"/>
      <c r="I70" s="351"/>
    </row>
    <row r="71" spans="1:9" s="76" customFormat="1" ht="17.25" customHeight="1" x14ac:dyDescent="0.3">
      <c r="A71" s="328"/>
      <c r="B71" s="329"/>
      <c r="C71" s="350"/>
      <c r="D71" s="350"/>
      <c r="E71" s="350"/>
      <c r="F71" s="350"/>
      <c r="G71" s="350"/>
      <c r="H71" s="350"/>
      <c r="I71" s="351"/>
    </row>
    <row r="72" spans="1:9" s="76" customFormat="1" ht="17.25" customHeight="1" thickBot="1" x14ac:dyDescent="0.35">
      <c r="A72" s="330"/>
      <c r="B72" s="331"/>
      <c r="C72" s="362"/>
      <c r="D72" s="345"/>
      <c r="E72" s="345"/>
      <c r="F72" s="345"/>
      <c r="G72" s="345"/>
      <c r="H72" s="345"/>
      <c r="I72" s="346"/>
    </row>
    <row r="73" spans="1:9" s="76" customFormat="1" ht="17.25" customHeight="1" x14ac:dyDescent="0.3">
      <c r="A73" s="326" t="s">
        <v>50</v>
      </c>
      <c r="B73" s="327"/>
      <c r="C73" s="389" t="s">
        <v>680</v>
      </c>
      <c r="D73" s="368"/>
      <c r="E73" s="368"/>
      <c r="F73" s="368"/>
      <c r="G73" s="368"/>
      <c r="H73" s="368"/>
      <c r="I73" s="369"/>
    </row>
    <row r="74" spans="1:9" s="76" customFormat="1" ht="17.25" customHeight="1" thickBot="1" x14ac:dyDescent="0.35">
      <c r="A74" s="330"/>
      <c r="B74" s="331"/>
      <c r="C74" s="354"/>
      <c r="D74" s="352"/>
      <c r="E74" s="352"/>
      <c r="F74" s="352"/>
      <c r="G74" s="352"/>
      <c r="H74" s="352"/>
      <c r="I74" s="353"/>
    </row>
    <row r="75" spans="1:9" s="76" customFormat="1" ht="17.25" customHeight="1" x14ac:dyDescent="0.3">
      <c r="A75" s="326" t="s">
        <v>51</v>
      </c>
      <c r="B75" s="327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671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672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375" t="s">
        <v>61</v>
      </c>
      <c r="B78" s="376"/>
      <c r="C78" s="382" t="s">
        <v>62</v>
      </c>
      <c r="D78" s="383"/>
      <c r="E78" s="384" t="s">
        <v>63</v>
      </c>
      <c r="F78" s="383"/>
      <c r="G78" s="385" t="s">
        <v>675</v>
      </c>
      <c r="H78" s="386"/>
      <c r="I78" s="90" t="s">
        <v>65</v>
      </c>
    </row>
    <row r="79" spans="1:9" s="76" customFormat="1" ht="17.25" customHeight="1" thickBot="1" x14ac:dyDescent="0.35">
      <c r="A79" s="377"/>
      <c r="B79" s="378"/>
      <c r="C79" s="92">
        <v>0.25</v>
      </c>
      <c r="D79" s="93" t="s">
        <v>673</v>
      </c>
      <c r="E79" s="94">
        <v>0.8125</v>
      </c>
      <c r="F79" s="93" t="s">
        <v>674</v>
      </c>
      <c r="G79" s="387" t="s">
        <v>676</v>
      </c>
      <c r="H79" s="388"/>
      <c r="I79" s="95" t="s">
        <v>677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372" t="s">
        <v>66</v>
      </c>
      <c r="I80" s="372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5">
    <mergeCell ref="A1:I1"/>
    <mergeCell ref="A2:B2"/>
    <mergeCell ref="C2:D2"/>
    <mergeCell ref="E2:E3"/>
    <mergeCell ref="F2:G2"/>
    <mergeCell ref="H2:I2"/>
    <mergeCell ref="A3:B3"/>
    <mergeCell ref="F3:G3"/>
    <mergeCell ref="H3:I3"/>
    <mergeCell ref="A4:H4"/>
    <mergeCell ref="A7:H7"/>
    <mergeCell ref="A9:A11"/>
    <mergeCell ref="B9:B11"/>
    <mergeCell ref="C9:D9"/>
    <mergeCell ref="E9:F9"/>
    <mergeCell ref="G9:H9"/>
    <mergeCell ref="C62:I63"/>
    <mergeCell ref="A12:A51"/>
    <mergeCell ref="A52:B56"/>
    <mergeCell ref="C53:C54"/>
    <mergeCell ref="D53:D54"/>
    <mergeCell ref="E53:E54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abSelected="1" zoomScale="90" zoomScaleNormal="90" workbookViewId="0">
      <selection activeCell="C59" sqref="C59:I59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296" t="s">
        <v>0</v>
      </c>
      <c r="B1" s="297"/>
      <c r="C1" s="297"/>
      <c r="D1" s="297"/>
      <c r="E1" s="297"/>
      <c r="F1" s="297"/>
      <c r="G1" s="297"/>
      <c r="H1" s="297"/>
      <c r="I1" s="298"/>
    </row>
    <row r="2" spans="1:9" x14ac:dyDescent="0.3">
      <c r="A2" s="299" t="s">
        <v>1</v>
      </c>
      <c r="B2" s="300"/>
      <c r="C2" s="301" t="s">
        <v>685</v>
      </c>
      <c r="D2" s="302"/>
      <c r="E2" s="303" t="s">
        <v>77</v>
      </c>
      <c r="F2" s="305" t="s">
        <v>2</v>
      </c>
      <c r="G2" s="306"/>
      <c r="H2" s="307" t="s">
        <v>76</v>
      </c>
      <c r="I2" s="308"/>
    </row>
    <row r="3" spans="1:9" x14ac:dyDescent="0.3">
      <c r="A3" s="309" t="s">
        <v>3</v>
      </c>
      <c r="B3" s="310"/>
      <c r="C3" s="4" t="s">
        <v>686</v>
      </c>
      <c r="D3" s="5" t="s">
        <v>4</v>
      </c>
      <c r="E3" s="304"/>
      <c r="F3" s="311" t="s">
        <v>687</v>
      </c>
      <c r="G3" s="312"/>
      <c r="H3" s="313">
        <f>G11+'27일'!H3:I3</f>
        <v>54353900</v>
      </c>
      <c r="I3" s="314"/>
    </row>
    <row r="4" spans="1:9" ht="7.5" customHeight="1" x14ac:dyDescent="0.3">
      <c r="A4" s="315"/>
      <c r="B4" s="316"/>
      <c r="C4" s="316"/>
      <c r="D4" s="316"/>
      <c r="E4" s="316"/>
      <c r="F4" s="316"/>
      <c r="G4" s="316"/>
      <c r="H4" s="316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688</v>
      </c>
      <c r="F6" s="15" t="s">
        <v>689</v>
      </c>
      <c r="G6" s="16" t="s">
        <v>690</v>
      </c>
      <c r="H6" s="17">
        <v>0.35</v>
      </c>
      <c r="I6" s="18">
        <v>0.25</v>
      </c>
    </row>
    <row r="7" spans="1:9" ht="7.5" customHeight="1" x14ac:dyDescent="0.3">
      <c r="A7" s="315"/>
      <c r="B7" s="316"/>
      <c r="C7" s="316"/>
      <c r="D7" s="316"/>
      <c r="E7" s="316"/>
      <c r="F7" s="316"/>
      <c r="G7" s="316"/>
      <c r="H7" s="316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79" t="s">
        <v>10</v>
      </c>
      <c r="B9" s="317" t="s">
        <v>11</v>
      </c>
      <c r="C9" s="320" t="s">
        <v>68</v>
      </c>
      <c r="D9" s="303"/>
      <c r="E9" s="303" t="s">
        <v>67</v>
      </c>
      <c r="F9" s="303"/>
      <c r="G9" s="303" t="s">
        <v>69</v>
      </c>
      <c r="H9" s="303"/>
      <c r="I9" s="373" t="s">
        <v>78</v>
      </c>
    </row>
    <row r="10" spans="1:9" ht="18" customHeight="1" x14ac:dyDescent="0.3">
      <c r="A10" s="380"/>
      <c r="B10" s="318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74"/>
    </row>
    <row r="11" spans="1:9" ht="17.25" thickBot="1" x14ac:dyDescent="0.35">
      <c r="A11" s="381"/>
      <c r="B11" s="319"/>
      <c r="C11" s="101">
        <v>1977900</v>
      </c>
      <c r="D11" s="102">
        <v>142</v>
      </c>
      <c r="E11" s="109">
        <f>SUM(E55:I56)</f>
        <v>415300</v>
      </c>
      <c r="F11" s="109">
        <f>SUM(E53:I54)</f>
        <v>17</v>
      </c>
      <c r="G11" s="110">
        <f>C11+E11</f>
        <v>2393200</v>
      </c>
      <c r="H11" s="110">
        <f>D11+F11</f>
        <v>159</v>
      </c>
      <c r="I11" s="111">
        <f>G11/H11</f>
        <v>15051.572327044025</v>
      </c>
    </row>
    <row r="12" spans="1:9" ht="30" customHeight="1" x14ac:dyDescent="0.3">
      <c r="A12" s="321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24" t="s">
        <v>19</v>
      </c>
      <c r="G12" s="325"/>
      <c r="H12" s="158" t="s">
        <v>20</v>
      </c>
      <c r="I12" s="100" t="s">
        <v>21</v>
      </c>
    </row>
    <row r="13" spans="1:9" ht="17.25" customHeight="1" x14ac:dyDescent="0.3">
      <c r="A13" s="322"/>
      <c r="B13" s="21" t="s">
        <v>23</v>
      </c>
      <c r="C13" s="22">
        <v>47</v>
      </c>
      <c r="D13" s="23"/>
      <c r="E13" s="22"/>
      <c r="F13" s="24"/>
      <c r="G13" s="25"/>
      <c r="H13" s="23"/>
      <c r="I13" s="26">
        <f>C13-D13-D14*1/2-E13-E14*1/2+F13-H13-H14*1/2-I14*1/2</f>
        <v>47</v>
      </c>
    </row>
    <row r="14" spans="1:9" ht="17.25" customHeight="1" x14ac:dyDescent="0.3">
      <c r="A14" s="322"/>
      <c r="B14" s="27" t="s">
        <v>24</v>
      </c>
      <c r="C14" s="28"/>
      <c r="D14" s="29"/>
      <c r="E14" s="30"/>
      <c r="F14" s="31"/>
      <c r="G14" s="25"/>
      <c r="H14" s="29"/>
      <c r="I14" s="32"/>
    </row>
    <row r="15" spans="1:9" ht="17.25" customHeight="1" x14ac:dyDescent="0.3">
      <c r="A15" s="322"/>
      <c r="B15" s="27" t="s">
        <v>25</v>
      </c>
      <c r="C15" s="33">
        <v>27</v>
      </c>
      <c r="D15" s="29"/>
      <c r="E15" s="30"/>
      <c r="F15" s="34"/>
      <c r="G15" s="25"/>
      <c r="H15" s="29"/>
      <c r="I15" s="35">
        <f>C15-D15-D16*1/2-E15-E16*1/2+F15-H15-H16*1/2-I16*1/2</f>
        <v>27</v>
      </c>
    </row>
    <row r="16" spans="1:9" ht="17.25" customHeight="1" x14ac:dyDescent="0.3">
      <c r="A16" s="322"/>
      <c r="B16" s="27" t="s">
        <v>26</v>
      </c>
      <c r="C16" s="28"/>
      <c r="D16" s="29"/>
      <c r="E16" s="30"/>
      <c r="F16" s="31"/>
      <c r="G16" s="25"/>
      <c r="H16" s="29"/>
      <c r="I16" s="36"/>
    </row>
    <row r="17" spans="1:9" ht="17.25" customHeight="1" x14ac:dyDescent="0.3">
      <c r="A17" s="322"/>
      <c r="B17" s="27" t="s">
        <v>27</v>
      </c>
      <c r="C17" s="33">
        <v>30</v>
      </c>
      <c r="D17" s="29"/>
      <c r="E17" s="30"/>
      <c r="F17" s="34"/>
      <c r="G17" s="118"/>
      <c r="H17" s="29"/>
      <c r="I17" s="37">
        <f>C17-D17-D18*1/2-E17-E18*1/2+F17-H17-H18*1/2-I18*1/2</f>
        <v>29.5</v>
      </c>
    </row>
    <row r="18" spans="1:9" ht="17.25" customHeight="1" x14ac:dyDescent="0.3">
      <c r="A18" s="322"/>
      <c r="B18" s="27" t="s">
        <v>28</v>
      </c>
      <c r="C18" s="28"/>
      <c r="D18" s="29"/>
      <c r="E18" s="30">
        <v>1</v>
      </c>
      <c r="F18" s="31"/>
      <c r="G18" s="25"/>
      <c r="H18" s="29"/>
      <c r="I18" s="36"/>
    </row>
    <row r="19" spans="1:9" ht="17.25" customHeight="1" x14ac:dyDescent="0.3">
      <c r="A19" s="322"/>
      <c r="B19" s="27" t="s">
        <v>29</v>
      </c>
      <c r="C19" s="33">
        <v>16</v>
      </c>
      <c r="D19" s="29"/>
      <c r="E19" s="30"/>
      <c r="F19" s="34"/>
      <c r="G19" s="25"/>
      <c r="H19" s="29"/>
      <c r="I19" s="35">
        <f>C19-D19-D20*1/2-E19-E20*1/2+F19-H19-H20*1/2-I20*1/2</f>
        <v>16</v>
      </c>
    </row>
    <row r="20" spans="1:9" ht="17.25" customHeight="1" x14ac:dyDescent="0.3">
      <c r="A20" s="322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22"/>
      <c r="B21" s="39" t="s">
        <v>31</v>
      </c>
      <c r="C21" s="40">
        <v>89</v>
      </c>
      <c r="D21" s="41"/>
      <c r="E21" s="42"/>
      <c r="F21" s="43"/>
      <c r="G21" s="44"/>
      <c r="H21" s="43"/>
      <c r="I21" s="45">
        <f t="shared" ref="I21:I48" si="0">C21-D21-E21+F21-H21</f>
        <v>89</v>
      </c>
    </row>
    <row r="22" spans="1:9" ht="17.25" customHeight="1" x14ac:dyDescent="0.3">
      <c r="A22" s="322"/>
      <c r="B22" s="21" t="s">
        <v>32</v>
      </c>
      <c r="C22" s="46">
        <v>68</v>
      </c>
      <c r="D22" s="23">
        <v>1</v>
      </c>
      <c r="E22" s="47">
        <v>2</v>
      </c>
      <c r="F22" s="48"/>
      <c r="G22" s="25"/>
      <c r="H22" s="48"/>
      <c r="I22" s="49">
        <f t="shared" si="0"/>
        <v>65</v>
      </c>
    </row>
    <row r="23" spans="1:9" ht="17.25" customHeight="1" x14ac:dyDescent="0.3">
      <c r="A23" s="322"/>
      <c r="B23" s="27" t="s">
        <v>33</v>
      </c>
      <c r="C23" s="33">
        <v>219</v>
      </c>
      <c r="D23" s="29"/>
      <c r="E23" s="50">
        <v>2</v>
      </c>
      <c r="F23" s="51"/>
      <c r="G23" s="25"/>
      <c r="H23" s="51"/>
      <c r="I23" s="52">
        <f>C23-D23-D24-E23-E24+F23+F24-H23-H24-I24</f>
        <v>216</v>
      </c>
    </row>
    <row r="24" spans="1:9" ht="17.25" customHeight="1" x14ac:dyDescent="0.3">
      <c r="A24" s="322"/>
      <c r="B24" s="160" t="s">
        <v>34</v>
      </c>
      <c r="C24" s="53"/>
      <c r="D24" s="41"/>
      <c r="E24" s="42">
        <v>1</v>
      </c>
      <c r="F24" s="43"/>
      <c r="G24" s="113"/>
      <c r="H24" s="43"/>
      <c r="I24" s="54"/>
    </row>
    <row r="25" spans="1:9" ht="17.25" customHeight="1" x14ac:dyDescent="0.3">
      <c r="A25" s="322"/>
      <c r="B25" s="21" t="s">
        <v>35</v>
      </c>
      <c r="C25" s="46">
        <v>38</v>
      </c>
      <c r="D25" s="23"/>
      <c r="E25" s="47"/>
      <c r="F25" s="48"/>
      <c r="G25" s="112"/>
      <c r="H25" s="48"/>
      <c r="I25" s="49">
        <f t="shared" si="0"/>
        <v>38</v>
      </c>
    </row>
    <row r="26" spans="1:9" ht="17.25" customHeight="1" x14ac:dyDescent="0.3">
      <c r="A26" s="322"/>
      <c r="B26" s="160" t="s">
        <v>36</v>
      </c>
      <c r="C26" s="55">
        <v>35</v>
      </c>
      <c r="D26" s="41"/>
      <c r="E26" s="42"/>
      <c r="F26" s="43"/>
      <c r="G26" s="113"/>
      <c r="H26" s="43"/>
      <c r="I26" s="45">
        <f t="shared" si="0"/>
        <v>35</v>
      </c>
    </row>
    <row r="27" spans="1:9" ht="17.25" customHeight="1" x14ac:dyDescent="0.3">
      <c r="A27" s="322"/>
      <c r="B27" s="21" t="s">
        <v>37</v>
      </c>
      <c r="C27" s="46">
        <v>40</v>
      </c>
      <c r="D27" s="23"/>
      <c r="E27" s="47"/>
      <c r="F27" s="48"/>
      <c r="G27" s="112"/>
      <c r="H27" s="48"/>
      <c r="I27" s="49">
        <f t="shared" si="0"/>
        <v>40</v>
      </c>
    </row>
    <row r="28" spans="1:9" ht="17.25" customHeight="1" x14ac:dyDescent="0.3">
      <c r="A28" s="322"/>
      <c r="B28" s="160" t="s">
        <v>38</v>
      </c>
      <c r="C28" s="55">
        <v>52</v>
      </c>
      <c r="D28" s="41">
        <v>2</v>
      </c>
      <c r="E28" s="42"/>
      <c r="F28" s="43"/>
      <c r="G28" s="113"/>
      <c r="H28" s="43"/>
      <c r="I28" s="45">
        <f t="shared" si="0"/>
        <v>50</v>
      </c>
    </row>
    <row r="29" spans="1:9" ht="17.25" customHeight="1" x14ac:dyDescent="0.3">
      <c r="A29" s="322"/>
      <c r="B29" s="21" t="s">
        <v>39</v>
      </c>
      <c r="C29" s="46">
        <v>10</v>
      </c>
      <c r="D29" s="23"/>
      <c r="E29" s="47"/>
      <c r="F29" s="48"/>
      <c r="G29" s="25"/>
      <c r="H29" s="48"/>
      <c r="I29" s="49">
        <f t="shared" si="0"/>
        <v>10</v>
      </c>
    </row>
    <row r="30" spans="1:9" ht="17.25" customHeight="1" x14ac:dyDescent="0.3">
      <c r="A30" s="322"/>
      <c r="B30" s="56" t="s">
        <v>40</v>
      </c>
      <c r="C30" s="57">
        <v>111</v>
      </c>
      <c r="D30" s="29"/>
      <c r="E30" s="50"/>
      <c r="F30" s="51"/>
      <c r="G30" s="25"/>
      <c r="H30" s="51"/>
      <c r="I30" s="52">
        <f>C30-D30-D31-E30-E31+F30+F31-H30-H31-I31</f>
        <v>111</v>
      </c>
    </row>
    <row r="31" spans="1:9" ht="17.25" customHeight="1" x14ac:dyDescent="0.3">
      <c r="A31" s="322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22"/>
      <c r="B32" s="179" t="s">
        <v>117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22"/>
      <c r="B33" s="179" t="s">
        <v>119</v>
      </c>
      <c r="C33" s="185"/>
      <c r="D33" s="29"/>
      <c r="E33" s="50"/>
      <c r="F33" s="51"/>
      <c r="G33" s="25"/>
      <c r="H33" s="51"/>
      <c r="I33" s="188"/>
    </row>
    <row r="34" spans="1:9" ht="17.25" customHeight="1" x14ac:dyDescent="0.3">
      <c r="A34" s="322"/>
      <c r="B34" s="179" t="s">
        <v>121</v>
      </c>
      <c r="C34" s="186"/>
      <c r="D34" s="60"/>
      <c r="E34" s="61"/>
      <c r="F34" s="62"/>
      <c r="G34" s="113"/>
      <c r="H34" s="62"/>
      <c r="I34" s="189"/>
    </row>
    <row r="35" spans="1:9" ht="17.25" customHeight="1" x14ac:dyDescent="0.3">
      <c r="A35" s="322"/>
      <c r="B35" s="191" t="s">
        <v>79</v>
      </c>
      <c r="C35" s="281"/>
      <c r="D35" s="23"/>
      <c r="E35" s="47"/>
      <c r="F35" s="48"/>
      <c r="G35" s="116"/>
      <c r="H35" s="48"/>
      <c r="I35" s="282"/>
    </row>
    <row r="36" spans="1:9" ht="17.25" customHeight="1" x14ac:dyDescent="0.3">
      <c r="A36" s="322"/>
      <c r="B36" s="153" t="s">
        <v>80</v>
      </c>
      <c r="C36" s="121">
        <v>20</v>
      </c>
      <c r="D36" s="122"/>
      <c r="E36" s="123"/>
      <c r="F36" s="124"/>
      <c r="G36" s="112"/>
      <c r="H36" s="124"/>
      <c r="I36" s="52">
        <f>C36-D36-E36+F36-H36</f>
        <v>20</v>
      </c>
    </row>
    <row r="37" spans="1:9" ht="17.25" customHeight="1" x14ac:dyDescent="0.3">
      <c r="A37" s="322"/>
      <c r="B37" s="163" t="s">
        <v>107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22"/>
      <c r="B38" s="178" t="s">
        <v>131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22"/>
      <c r="B39" s="178" t="s">
        <v>109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22"/>
      <c r="B40" s="178" t="s">
        <v>133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22"/>
      <c r="B41" s="178" t="s">
        <v>111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22"/>
      <c r="B42" s="178" t="s">
        <v>135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22"/>
      <c r="B43" s="178" t="s">
        <v>113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22"/>
      <c r="B44" s="178" t="s">
        <v>125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22"/>
      <c r="B45" s="164" t="s">
        <v>115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22"/>
      <c r="B46" s="120" t="s">
        <v>89</v>
      </c>
      <c r="C46" s="154">
        <v>11</v>
      </c>
      <c r="D46" s="23"/>
      <c r="E46" s="47"/>
      <c r="F46" s="48"/>
      <c r="G46" s="116"/>
      <c r="H46" s="48"/>
      <c r="I46" s="49">
        <f t="shared" si="0"/>
        <v>11</v>
      </c>
    </row>
    <row r="47" spans="1:9" ht="17.25" customHeight="1" x14ac:dyDescent="0.3">
      <c r="A47" s="322"/>
      <c r="B47" s="120" t="s">
        <v>88</v>
      </c>
      <c r="C47" s="121">
        <v>8</v>
      </c>
      <c r="D47" s="122"/>
      <c r="E47" s="123"/>
      <c r="F47" s="124"/>
      <c r="G47" s="112"/>
      <c r="H47" s="124"/>
      <c r="I47" s="52">
        <f t="shared" si="0"/>
        <v>8</v>
      </c>
    </row>
    <row r="48" spans="1:9" ht="17.25" customHeight="1" x14ac:dyDescent="0.3">
      <c r="A48" s="322"/>
      <c r="B48" s="56" t="s">
        <v>123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22"/>
      <c r="B49" s="179" t="s">
        <v>127</v>
      </c>
      <c r="C49" s="192"/>
      <c r="D49" s="180"/>
      <c r="E49" s="181"/>
      <c r="F49" s="182"/>
      <c r="G49" s="183"/>
      <c r="H49" s="182"/>
      <c r="I49" s="195">
        <v>1</v>
      </c>
    </row>
    <row r="50" spans="1:10" ht="17.25" customHeight="1" x14ac:dyDescent="0.3">
      <c r="A50" s="322"/>
      <c r="B50" s="58" t="s">
        <v>129</v>
      </c>
      <c r="C50" s="59"/>
      <c r="D50" s="60"/>
      <c r="E50" s="61"/>
      <c r="F50" s="62"/>
      <c r="G50" s="113"/>
      <c r="H50" s="62"/>
      <c r="I50" s="63">
        <v>3</v>
      </c>
    </row>
    <row r="51" spans="1:10" ht="17.25" customHeight="1" thickBot="1" x14ac:dyDescent="0.35">
      <c r="A51" s="323"/>
      <c r="B51" s="64" t="s">
        <v>42</v>
      </c>
      <c r="C51" s="65">
        <f>SUM(C13:C50)</f>
        <v>821</v>
      </c>
      <c r="D51" s="66">
        <f>SUM(D13:D46)</f>
        <v>3</v>
      </c>
      <c r="E51" s="67">
        <f>SUM(E13:E46)</f>
        <v>6</v>
      </c>
      <c r="F51" s="67">
        <f>SUM(F13:F46)</f>
        <v>0</v>
      </c>
      <c r="G51" s="68" t="s">
        <v>22</v>
      </c>
      <c r="H51" s="69">
        <f>SUM(H13:H46)</f>
        <v>0</v>
      </c>
      <c r="I51" s="70">
        <f>SUM(I13:I46)</f>
        <v>804.5</v>
      </c>
    </row>
    <row r="52" spans="1:10" ht="17.25" customHeight="1" x14ac:dyDescent="0.3">
      <c r="A52" s="326" t="s">
        <v>72</v>
      </c>
      <c r="B52" s="327"/>
      <c r="C52" s="71"/>
      <c r="D52" s="72" t="s">
        <v>163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28"/>
      <c r="B53" s="329"/>
      <c r="C53" s="332" t="s">
        <v>74</v>
      </c>
      <c r="D53" s="334"/>
      <c r="E53" s="336">
        <v>9</v>
      </c>
      <c r="F53" s="336">
        <v>2</v>
      </c>
      <c r="G53" s="336">
        <v>5</v>
      </c>
      <c r="H53" s="336"/>
      <c r="I53" s="339">
        <v>1</v>
      </c>
      <c r="J53" s="174"/>
    </row>
    <row r="54" spans="1:10" s="76" customFormat="1" ht="17.25" customHeight="1" x14ac:dyDescent="0.3">
      <c r="A54" s="328"/>
      <c r="B54" s="329"/>
      <c r="C54" s="333"/>
      <c r="D54" s="335"/>
      <c r="E54" s="337"/>
      <c r="F54" s="337"/>
      <c r="G54" s="337"/>
      <c r="H54" s="338"/>
      <c r="I54" s="340"/>
    </row>
    <row r="55" spans="1:10" s="76" customFormat="1" ht="17.25" customHeight="1" x14ac:dyDescent="0.3">
      <c r="A55" s="328"/>
      <c r="B55" s="329"/>
      <c r="C55" s="332" t="s">
        <v>75</v>
      </c>
      <c r="D55" s="334"/>
      <c r="E55" s="343">
        <v>198700</v>
      </c>
      <c r="F55" s="343">
        <v>48100</v>
      </c>
      <c r="G55" s="343">
        <v>86000</v>
      </c>
      <c r="H55" s="336"/>
      <c r="I55" s="347">
        <v>82500</v>
      </c>
    </row>
    <row r="56" spans="1:10" s="76" customFormat="1" ht="17.25" customHeight="1" thickBot="1" x14ac:dyDescent="0.35">
      <c r="A56" s="330"/>
      <c r="B56" s="331"/>
      <c r="C56" s="341"/>
      <c r="D56" s="342"/>
      <c r="E56" s="344"/>
      <c r="F56" s="344"/>
      <c r="G56" s="344"/>
      <c r="H56" s="344"/>
      <c r="I56" s="348"/>
    </row>
    <row r="57" spans="1:10" s="76" customFormat="1" ht="17.25" customHeight="1" x14ac:dyDescent="0.3">
      <c r="A57" s="326" t="s">
        <v>45</v>
      </c>
      <c r="B57" s="327"/>
      <c r="C57" s="349" t="s">
        <v>700</v>
      </c>
      <c r="D57" s="350"/>
      <c r="E57" s="350"/>
      <c r="F57" s="350"/>
      <c r="G57" s="350"/>
      <c r="H57" s="350"/>
      <c r="I57" s="351"/>
    </row>
    <row r="58" spans="1:10" s="76" customFormat="1" ht="17.25" customHeight="1" x14ac:dyDescent="0.3">
      <c r="A58" s="328"/>
      <c r="B58" s="329"/>
      <c r="C58" s="352" t="s">
        <v>701</v>
      </c>
      <c r="D58" s="352"/>
      <c r="E58" s="352"/>
      <c r="F58" s="352"/>
      <c r="G58" s="352"/>
      <c r="H58" s="352"/>
      <c r="I58" s="353"/>
    </row>
    <row r="59" spans="1:10" s="76" customFormat="1" ht="17.25" customHeight="1" x14ac:dyDescent="0.3">
      <c r="A59" s="328"/>
      <c r="B59" s="329"/>
      <c r="C59" s="354" t="s">
        <v>703</v>
      </c>
      <c r="D59" s="352"/>
      <c r="E59" s="352"/>
      <c r="F59" s="352"/>
      <c r="G59" s="352"/>
      <c r="H59" s="352"/>
      <c r="I59" s="353"/>
    </row>
    <row r="60" spans="1:10" s="76" customFormat="1" ht="17.25" customHeight="1" thickBot="1" x14ac:dyDescent="0.35">
      <c r="A60" s="330"/>
      <c r="B60" s="331"/>
      <c r="C60" s="345" t="s">
        <v>702</v>
      </c>
      <c r="D60" s="345"/>
      <c r="E60" s="345"/>
      <c r="F60" s="345"/>
      <c r="G60" s="345"/>
      <c r="H60" s="345"/>
      <c r="I60" s="346"/>
    </row>
    <row r="61" spans="1:10" s="76" customFormat="1" ht="17.25" customHeight="1" x14ac:dyDescent="0.3">
      <c r="A61" s="326" t="s">
        <v>73</v>
      </c>
      <c r="B61" s="327"/>
      <c r="C61" s="389" t="s">
        <v>698</v>
      </c>
      <c r="D61" s="368"/>
      <c r="E61" s="368"/>
      <c r="F61" s="368"/>
      <c r="G61" s="368"/>
      <c r="H61" s="368"/>
      <c r="I61" s="369"/>
    </row>
    <row r="62" spans="1:10" s="76" customFormat="1" ht="17.25" customHeight="1" x14ac:dyDescent="0.3">
      <c r="A62" s="328"/>
      <c r="B62" s="329"/>
      <c r="C62" s="354" t="s">
        <v>699</v>
      </c>
      <c r="D62" s="352"/>
      <c r="E62" s="352"/>
      <c r="F62" s="352"/>
      <c r="G62" s="352"/>
      <c r="H62" s="352"/>
      <c r="I62" s="353"/>
    </row>
    <row r="63" spans="1:10" s="76" customFormat="1" ht="17.25" customHeight="1" x14ac:dyDescent="0.3">
      <c r="A63" s="328"/>
      <c r="B63" s="329"/>
      <c r="C63" s="393"/>
      <c r="D63" s="394"/>
      <c r="E63" s="394"/>
      <c r="F63" s="394"/>
      <c r="G63" s="394"/>
      <c r="H63" s="394"/>
      <c r="I63" s="395"/>
    </row>
    <row r="64" spans="1:10" s="76" customFormat="1" ht="17.25" customHeight="1" thickBot="1" x14ac:dyDescent="0.35">
      <c r="A64" s="330"/>
      <c r="B64" s="331"/>
      <c r="C64" s="345"/>
      <c r="D64" s="345"/>
      <c r="E64" s="345"/>
      <c r="F64" s="345"/>
      <c r="G64" s="345"/>
      <c r="H64" s="345"/>
      <c r="I64" s="346"/>
    </row>
    <row r="65" spans="1:9" s="76" customFormat="1" ht="17.25" customHeight="1" x14ac:dyDescent="0.3">
      <c r="A65" s="363" t="s">
        <v>46</v>
      </c>
      <c r="B65" s="366" t="s">
        <v>47</v>
      </c>
      <c r="C65" s="368"/>
      <c r="D65" s="368"/>
      <c r="E65" s="368"/>
      <c r="F65" s="368"/>
      <c r="G65" s="368"/>
      <c r="H65" s="368"/>
      <c r="I65" s="369"/>
    </row>
    <row r="66" spans="1:9" s="76" customFormat="1" ht="17.25" customHeight="1" x14ac:dyDescent="0.3">
      <c r="A66" s="364"/>
      <c r="B66" s="367"/>
      <c r="C66" s="350"/>
      <c r="D66" s="350"/>
      <c r="E66" s="350"/>
      <c r="F66" s="350"/>
      <c r="G66" s="350"/>
      <c r="H66" s="350"/>
      <c r="I66" s="351"/>
    </row>
    <row r="67" spans="1:9" s="76" customFormat="1" ht="17.25" customHeight="1" x14ac:dyDescent="0.3">
      <c r="A67" s="364"/>
      <c r="B67" s="370" t="s">
        <v>48</v>
      </c>
      <c r="C67" s="352"/>
      <c r="D67" s="352"/>
      <c r="E67" s="352"/>
      <c r="F67" s="352"/>
      <c r="G67" s="352"/>
      <c r="H67" s="352"/>
      <c r="I67" s="353"/>
    </row>
    <row r="68" spans="1:9" s="76" customFormat="1" ht="17.25" customHeight="1" x14ac:dyDescent="0.3">
      <c r="A68" s="364"/>
      <c r="B68" s="367"/>
      <c r="C68" s="350"/>
      <c r="D68" s="350"/>
      <c r="E68" s="350"/>
      <c r="F68" s="350"/>
      <c r="G68" s="350"/>
      <c r="H68" s="350"/>
      <c r="I68" s="351"/>
    </row>
    <row r="69" spans="1:9" s="76" customFormat="1" ht="17.25" customHeight="1" thickBot="1" x14ac:dyDescent="0.35">
      <c r="A69" s="365"/>
      <c r="B69" s="371"/>
      <c r="C69" s="362"/>
      <c r="D69" s="345"/>
      <c r="E69" s="345"/>
      <c r="F69" s="345"/>
      <c r="G69" s="345"/>
      <c r="H69" s="345"/>
      <c r="I69" s="346"/>
    </row>
    <row r="70" spans="1:9" s="76" customFormat="1" ht="17.25" customHeight="1" x14ac:dyDescent="0.3">
      <c r="A70" s="326" t="s">
        <v>49</v>
      </c>
      <c r="B70" s="327"/>
      <c r="C70" s="350" t="s">
        <v>691</v>
      </c>
      <c r="D70" s="350"/>
      <c r="E70" s="350"/>
      <c r="F70" s="350"/>
      <c r="G70" s="350"/>
      <c r="H70" s="350"/>
      <c r="I70" s="351"/>
    </row>
    <row r="71" spans="1:9" s="76" customFormat="1" ht="17.25" customHeight="1" x14ac:dyDescent="0.3">
      <c r="A71" s="328"/>
      <c r="B71" s="329"/>
      <c r="C71" s="350"/>
      <c r="D71" s="350"/>
      <c r="E71" s="350"/>
      <c r="F71" s="350"/>
      <c r="G71" s="350"/>
      <c r="H71" s="350"/>
      <c r="I71" s="351"/>
    </row>
    <row r="72" spans="1:9" s="76" customFormat="1" ht="17.25" customHeight="1" thickBot="1" x14ac:dyDescent="0.35">
      <c r="A72" s="330"/>
      <c r="B72" s="331"/>
      <c r="C72" s="362"/>
      <c r="D72" s="345"/>
      <c r="E72" s="345"/>
      <c r="F72" s="345"/>
      <c r="G72" s="345"/>
      <c r="H72" s="345"/>
      <c r="I72" s="346"/>
    </row>
    <row r="73" spans="1:9" s="76" customFormat="1" ht="17.25" customHeight="1" x14ac:dyDescent="0.3">
      <c r="A73" s="326" t="s">
        <v>50</v>
      </c>
      <c r="B73" s="327"/>
      <c r="C73" s="389"/>
      <c r="D73" s="368"/>
      <c r="E73" s="368"/>
      <c r="F73" s="368"/>
      <c r="G73" s="368"/>
      <c r="H73" s="368"/>
      <c r="I73" s="369"/>
    </row>
    <row r="74" spans="1:9" s="76" customFormat="1" ht="17.25" customHeight="1" thickBot="1" x14ac:dyDescent="0.35">
      <c r="A74" s="330"/>
      <c r="B74" s="331"/>
      <c r="C74" s="354"/>
      <c r="D74" s="352"/>
      <c r="E74" s="352"/>
      <c r="F74" s="352"/>
      <c r="G74" s="352"/>
      <c r="H74" s="352"/>
      <c r="I74" s="353"/>
    </row>
    <row r="75" spans="1:9" s="76" customFormat="1" ht="17.25" customHeight="1" x14ac:dyDescent="0.3">
      <c r="A75" s="326" t="s">
        <v>51</v>
      </c>
      <c r="B75" s="327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692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693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375" t="s">
        <v>61</v>
      </c>
      <c r="B78" s="376"/>
      <c r="C78" s="382" t="s">
        <v>62</v>
      </c>
      <c r="D78" s="383"/>
      <c r="E78" s="384" t="s">
        <v>63</v>
      </c>
      <c r="F78" s="383"/>
      <c r="G78" s="385" t="s">
        <v>64</v>
      </c>
      <c r="H78" s="386"/>
      <c r="I78" s="90" t="s">
        <v>65</v>
      </c>
    </row>
    <row r="79" spans="1:9" s="76" customFormat="1" ht="17.25" customHeight="1" thickBot="1" x14ac:dyDescent="0.35">
      <c r="A79" s="377"/>
      <c r="B79" s="378"/>
      <c r="C79" s="92">
        <v>0.25</v>
      </c>
      <c r="D79" s="93" t="s">
        <v>694</v>
      </c>
      <c r="E79" s="94">
        <v>0.77083333333333337</v>
      </c>
      <c r="F79" s="93" t="s">
        <v>695</v>
      </c>
      <c r="G79" s="387" t="s">
        <v>696</v>
      </c>
      <c r="H79" s="388"/>
      <c r="I79" s="95" t="s">
        <v>697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372" t="s">
        <v>66</v>
      </c>
      <c r="I80" s="372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1:I1"/>
    <mergeCell ref="A2:B2"/>
    <mergeCell ref="C2:D2"/>
    <mergeCell ref="E2:E3"/>
    <mergeCell ref="F2:G2"/>
    <mergeCell ref="H2:I2"/>
    <mergeCell ref="A3:B3"/>
    <mergeCell ref="F3:G3"/>
    <mergeCell ref="H3:I3"/>
    <mergeCell ref="A4:H4"/>
    <mergeCell ref="A7:H7"/>
    <mergeCell ref="A9:A11"/>
    <mergeCell ref="B9:B11"/>
    <mergeCell ref="C9:D9"/>
    <mergeCell ref="E9:F9"/>
    <mergeCell ref="G9:H9"/>
    <mergeCell ref="A12:A51"/>
    <mergeCell ref="A52:B56"/>
    <mergeCell ref="C53:C54"/>
    <mergeCell ref="D53:D54"/>
    <mergeCell ref="E53:E54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zoomScale="90" zoomScaleNormal="90" workbookViewId="0">
      <selection activeCell="D13" sqref="D13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296" t="s">
        <v>0</v>
      </c>
      <c r="B1" s="297"/>
      <c r="C1" s="297"/>
      <c r="D1" s="297"/>
      <c r="E1" s="297"/>
      <c r="F1" s="297"/>
      <c r="G1" s="297"/>
      <c r="H1" s="297"/>
      <c r="I1" s="298"/>
    </row>
    <row r="2" spans="1:9" x14ac:dyDescent="0.3">
      <c r="A2" s="299" t="s">
        <v>1</v>
      </c>
      <c r="B2" s="300"/>
      <c r="C2" s="301" t="s">
        <v>105</v>
      </c>
      <c r="D2" s="302"/>
      <c r="E2" s="303" t="s">
        <v>77</v>
      </c>
      <c r="F2" s="305" t="s">
        <v>2</v>
      </c>
      <c r="G2" s="306"/>
      <c r="H2" s="307" t="s">
        <v>76</v>
      </c>
      <c r="I2" s="308"/>
    </row>
    <row r="3" spans="1:9" x14ac:dyDescent="0.3">
      <c r="A3" s="309" t="s">
        <v>3</v>
      </c>
      <c r="B3" s="310"/>
      <c r="C3" s="4"/>
      <c r="D3" s="5" t="s">
        <v>4</v>
      </c>
      <c r="E3" s="304"/>
      <c r="F3" s="311"/>
      <c r="G3" s="312"/>
      <c r="H3" s="313">
        <f>G11+'28일'!H3:I3</f>
        <v>54353900</v>
      </c>
      <c r="I3" s="314"/>
    </row>
    <row r="4" spans="1:9" ht="7.5" customHeight="1" x14ac:dyDescent="0.3">
      <c r="A4" s="315"/>
      <c r="B4" s="316"/>
      <c r="C4" s="316"/>
      <c r="D4" s="316"/>
      <c r="E4" s="316"/>
      <c r="F4" s="316"/>
      <c r="G4" s="316"/>
      <c r="H4" s="316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/>
      <c r="F6" s="15"/>
      <c r="G6" s="16"/>
      <c r="H6" s="17"/>
      <c r="I6" s="18"/>
    </row>
    <row r="7" spans="1:9" ht="7.5" customHeight="1" x14ac:dyDescent="0.3">
      <c r="A7" s="315"/>
      <c r="B7" s="316"/>
      <c r="C7" s="316"/>
      <c r="D7" s="316"/>
      <c r="E7" s="316"/>
      <c r="F7" s="316"/>
      <c r="G7" s="316"/>
      <c r="H7" s="316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79" t="s">
        <v>10</v>
      </c>
      <c r="B9" s="317" t="s">
        <v>11</v>
      </c>
      <c r="C9" s="320" t="s">
        <v>68</v>
      </c>
      <c r="D9" s="303"/>
      <c r="E9" s="303" t="s">
        <v>67</v>
      </c>
      <c r="F9" s="303"/>
      <c r="G9" s="303" t="s">
        <v>69</v>
      </c>
      <c r="H9" s="303"/>
      <c r="I9" s="373" t="s">
        <v>78</v>
      </c>
    </row>
    <row r="10" spans="1:9" ht="18" customHeight="1" x14ac:dyDescent="0.3">
      <c r="A10" s="380"/>
      <c r="B10" s="318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74"/>
    </row>
    <row r="11" spans="1:9" ht="17.25" thickBot="1" x14ac:dyDescent="0.35">
      <c r="A11" s="381"/>
      <c r="B11" s="319"/>
      <c r="C11" s="101"/>
      <c r="D11" s="102"/>
      <c r="E11" s="109">
        <f>SUM(E55:I56)</f>
        <v>0</v>
      </c>
      <c r="F11" s="109">
        <f>SUM(E53:I54)</f>
        <v>0</v>
      </c>
      <c r="G11" s="110">
        <f>C11+E11</f>
        <v>0</v>
      </c>
      <c r="H11" s="110">
        <f>D11+F11</f>
        <v>0</v>
      </c>
      <c r="I11" s="111" t="e">
        <f>G11/H11</f>
        <v>#DIV/0!</v>
      </c>
    </row>
    <row r="12" spans="1:9" ht="30" customHeight="1" x14ac:dyDescent="0.3">
      <c r="A12" s="321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24" t="s">
        <v>19</v>
      </c>
      <c r="G12" s="325"/>
      <c r="H12" s="158" t="s">
        <v>20</v>
      </c>
      <c r="I12" s="100" t="s">
        <v>21</v>
      </c>
    </row>
    <row r="13" spans="1:9" ht="17.25" customHeight="1" x14ac:dyDescent="0.3">
      <c r="A13" s="322"/>
      <c r="B13" s="21" t="s">
        <v>23</v>
      </c>
      <c r="C13" s="22"/>
      <c r="D13" s="23"/>
      <c r="E13" s="22"/>
      <c r="F13" s="24"/>
      <c r="G13" s="25"/>
      <c r="H13" s="23"/>
      <c r="I13" s="26">
        <f>C13-D13-D14*1/2-E13-E14*1/2+F13-H13-H14*1/2-I14*1/2</f>
        <v>0</v>
      </c>
    </row>
    <row r="14" spans="1:9" ht="17.25" customHeight="1" x14ac:dyDescent="0.3">
      <c r="A14" s="322"/>
      <c r="B14" s="27" t="s">
        <v>24</v>
      </c>
      <c r="C14" s="28"/>
      <c r="D14" s="29"/>
      <c r="E14" s="30"/>
      <c r="F14" s="31"/>
      <c r="G14" s="25"/>
      <c r="H14" s="29"/>
      <c r="I14" s="32"/>
    </row>
    <row r="15" spans="1:9" ht="17.25" customHeight="1" x14ac:dyDescent="0.3">
      <c r="A15" s="322"/>
      <c r="B15" s="27" t="s">
        <v>25</v>
      </c>
      <c r="C15" s="33"/>
      <c r="D15" s="29"/>
      <c r="E15" s="30"/>
      <c r="F15" s="34"/>
      <c r="G15" s="25"/>
      <c r="H15" s="29"/>
      <c r="I15" s="35">
        <f>C15-D15-D16*1/2-E15-E16*1/2+F15-H15-H16*1/2-I16*1/2</f>
        <v>0</v>
      </c>
    </row>
    <row r="16" spans="1:9" ht="17.25" customHeight="1" x14ac:dyDescent="0.3">
      <c r="A16" s="322"/>
      <c r="B16" s="27" t="s">
        <v>26</v>
      </c>
      <c r="C16" s="28"/>
      <c r="D16" s="29"/>
      <c r="E16" s="30"/>
      <c r="F16" s="31"/>
      <c r="G16" s="25"/>
      <c r="H16" s="29"/>
      <c r="I16" s="36"/>
    </row>
    <row r="17" spans="1:9" ht="17.25" customHeight="1" x14ac:dyDescent="0.3">
      <c r="A17" s="322"/>
      <c r="B17" s="27" t="s">
        <v>27</v>
      </c>
      <c r="C17" s="33"/>
      <c r="D17" s="29"/>
      <c r="E17" s="30"/>
      <c r="F17" s="34"/>
      <c r="G17" s="118"/>
      <c r="H17" s="29"/>
      <c r="I17" s="37">
        <f>C17-D17-D18*1/2-E17-E18*1/2+F17-H17-H18*1/2-I18*1/2</f>
        <v>0</v>
      </c>
    </row>
    <row r="18" spans="1:9" ht="17.25" customHeight="1" x14ac:dyDescent="0.3">
      <c r="A18" s="322"/>
      <c r="B18" s="27" t="s">
        <v>28</v>
      </c>
      <c r="C18" s="28"/>
      <c r="D18" s="29"/>
      <c r="E18" s="30"/>
      <c r="F18" s="31"/>
      <c r="G18" s="25"/>
      <c r="H18" s="29"/>
      <c r="I18" s="36"/>
    </row>
    <row r="19" spans="1:9" ht="17.25" customHeight="1" x14ac:dyDescent="0.3">
      <c r="A19" s="322"/>
      <c r="B19" s="27" t="s">
        <v>29</v>
      </c>
      <c r="C19" s="33"/>
      <c r="D19" s="29"/>
      <c r="E19" s="30"/>
      <c r="F19" s="34"/>
      <c r="G19" s="25"/>
      <c r="H19" s="29"/>
      <c r="I19" s="35">
        <f>C19-D19-D20*1/2-E19-E20*1/2+F19-H19-H20*1/2-I20*1/2</f>
        <v>0</v>
      </c>
    </row>
    <row r="20" spans="1:9" ht="17.25" customHeight="1" x14ac:dyDescent="0.3">
      <c r="A20" s="322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22"/>
      <c r="B21" s="39" t="s">
        <v>31</v>
      </c>
      <c r="C21" s="40"/>
      <c r="D21" s="41"/>
      <c r="E21" s="42"/>
      <c r="F21" s="43"/>
      <c r="G21" s="44"/>
      <c r="H21" s="43"/>
      <c r="I21" s="45">
        <f t="shared" ref="I21:I48" si="0">C21-D21-E21+F21-H21</f>
        <v>0</v>
      </c>
    </row>
    <row r="22" spans="1:9" ht="17.25" customHeight="1" x14ac:dyDescent="0.3">
      <c r="A22" s="322"/>
      <c r="B22" s="21" t="s">
        <v>32</v>
      </c>
      <c r="C22" s="46"/>
      <c r="D22" s="23"/>
      <c r="E22" s="47"/>
      <c r="F22" s="48"/>
      <c r="G22" s="25"/>
      <c r="H22" s="48"/>
      <c r="I22" s="49">
        <f t="shared" si="0"/>
        <v>0</v>
      </c>
    </row>
    <row r="23" spans="1:9" ht="17.25" customHeight="1" x14ac:dyDescent="0.3">
      <c r="A23" s="322"/>
      <c r="B23" s="27" t="s">
        <v>33</v>
      </c>
      <c r="C23" s="33"/>
      <c r="D23" s="29"/>
      <c r="E23" s="50"/>
      <c r="F23" s="51"/>
      <c r="G23" s="25"/>
      <c r="H23" s="51"/>
      <c r="I23" s="52">
        <f>C23-D23-D24-E23-E24+F23+F24-H23-H24-I24</f>
        <v>0</v>
      </c>
    </row>
    <row r="24" spans="1:9" ht="17.25" customHeight="1" x14ac:dyDescent="0.3">
      <c r="A24" s="322"/>
      <c r="B24" s="160" t="s">
        <v>34</v>
      </c>
      <c r="C24" s="53"/>
      <c r="D24" s="41"/>
      <c r="E24" s="42"/>
      <c r="F24" s="43"/>
      <c r="G24" s="113"/>
      <c r="H24" s="43"/>
      <c r="I24" s="54"/>
    </row>
    <row r="25" spans="1:9" ht="17.25" customHeight="1" x14ac:dyDescent="0.3">
      <c r="A25" s="322"/>
      <c r="B25" s="21" t="s">
        <v>35</v>
      </c>
      <c r="C25" s="46"/>
      <c r="D25" s="23"/>
      <c r="E25" s="47"/>
      <c r="F25" s="48"/>
      <c r="G25" s="112"/>
      <c r="H25" s="48"/>
      <c r="I25" s="49">
        <f t="shared" si="0"/>
        <v>0</v>
      </c>
    </row>
    <row r="26" spans="1:9" ht="17.25" customHeight="1" x14ac:dyDescent="0.3">
      <c r="A26" s="322"/>
      <c r="B26" s="160" t="s">
        <v>36</v>
      </c>
      <c r="C26" s="55"/>
      <c r="D26" s="41"/>
      <c r="E26" s="42"/>
      <c r="F26" s="43"/>
      <c r="G26" s="113"/>
      <c r="H26" s="43"/>
      <c r="I26" s="45">
        <f t="shared" si="0"/>
        <v>0</v>
      </c>
    </row>
    <row r="27" spans="1:9" ht="17.25" customHeight="1" x14ac:dyDescent="0.3">
      <c r="A27" s="322"/>
      <c r="B27" s="21" t="s">
        <v>37</v>
      </c>
      <c r="C27" s="46"/>
      <c r="D27" s="23"/>
      <c r="E27" s="47"/>
      <c r="F27" s="48"/>
      <c r="G27" s="112"/>
      <c r="H27" s="48"/>
      <c r="I27" s="49">
        <f t="shared" si="0"/>
        <v>0</v>
      </c>
    </row>
    <row r="28" spans="1:9" ht="17.25" customHeight="1" x14ac:dyDescent="0.3">
      <c r="A28" s="322"/>
      <c r="B28" s="160" t="s">
        <v>38</v>
      </c>
      <c r="C28" s="55"/>
      <c r="D28" s="41"/>
      <c r="E28" s="42"/>
      <c r="F28" s="43"/>
      <c r="G28" s="113"/>
      <c r="H28" s="43"/>
      <c r="I28" s="45">
        <f t="shared" si="0"/>
        <v>0</v>
      </c>
    </row>
    <row r="29" spans="1:9" ht="17.25" customHeight="1" x14ac:dyDescent="0.3">
      <c r="A29" s="322"/>
      <c r="B29" s="21" t="s">
        <v>39</v>
      </c>
      <c r="C29" s="46"/>
      <c r="D29" s="23"/>
      <c r="E29" s="47"/>
      <c r="F29" s="48"/>
      <c r="G29" s="25"/>
      <c r="H29" s="48"/>
      <c r="I29" s="49">
        <f t="shared" si="0"/>
        <v>0</v>
      </c>
    </row>
    <row r="30" spans="1:9" ht="17.25" customHeight="1" x14ac:dyDescent="0.3">
      <c r="A30" s="322"/>
      <c r="B30" s="56" t="s">
        <v>40</v>
      </c>
      <c r="C30" s="57"/>
      <c r="D30" s="29"/>
      <c r="E30" s="50"/>
      <c r="F30" s="51"/>
      <c r="G30" s="25"/>
      <c r="H30" s="51"/>
      <c r="I30" s="52">
        <f>C30-D30-D31-E30-E31+F30+F31-H30-H31-I31</f>
        <v>0</v>
      </c>
    </row>
    <row r="31" spans="1:9" ht="17.25" customHeight="1" x14ac:dyDescent="0.3">
      <c r="A31" s="322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22"/>
      <c r="B32" s="179" t="s">
        <v>117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22"/>
      <c r="B33" s="179" t="s">
        <v>119</v>
      </c>
      <c r="C33" s="185"/>
      <c r="D33" s="29"/>
      <c r="E33" s="50"/>
      <c r="F33" s="51"/>
      <c r="G33" s="25"/>
      <c r="H33" s="51"/>
      <c r="I33" s="188"/>
    </row>
    <row r="34" spans="1:9" ht="17.25" customHeight="1" x14ac:dyDescent="0.3">
      <c r="A34" s="322"/>
      <c r="B34" s="179" t="s">
        <v>121</v>
      </c>
      <c r="C34" s="186"/>
      <c r="D34" s="60"/>
      <c r="E34" s="61"/>
      <c r="F34" s="62"/>
      <c r="G34" s="113"/>
      <c r="H34" s="62"/>
      <c r="I34" s="189"/>
    </row>
    <row r="35" spans="1:9" ht="17.25" customHeight="1" x14ac:dyDescent="0.3">
      <c r="A35" s="322"/>
      <c r="B35" s="191" t="s">
        <v>79</v>
      </c>
      <c r="C35" s="281"/>
      <c r="D35" s="23"/>
      <c r="E35" s="47"/>
      <c r="F35" s="48"/>
      <c r="G35" s="116"/>
      <c r="H35" s="48"/>
      <c r="I35" s="282"/>
    </row>
    <row r="36" spans="1:9" ht="17.25" customHeight="1" x14ac:dyDescent="0.3">
      <c r="A36" s="322"/>
      <c r="B36" s="153" t="s">
        <v>80</v>
      </c>
      <c r="C36" s="121"/>
      <c r="D36" s="122"/>
      <c r="E36" s="123"/>
      <c r="F36" s="124"/>
      <c r="G36" s="112"/>
      <c r="H36" s="124"/>
      <c r="I36" s="52">
        <f>C36-D36-E36+F36-H36</f>
        <v>0</v>
      </c>
    </row>
    <row r="37" spans="1:9" ht="17.25" customHeight="1" x14ac:dyDescent="0.3">
      <c r="A37" s="322"/>
      <c r="B37" s="163" t="s">
        <v>107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22"/>
      <c r="B38" s="178" t="s">
        <v>131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22"/>
      <c r="B39" s="178" t="s">
        <v>109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22"/>
      <c r="B40" s="178" t="s">
        <v>133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22"/>
      <c r="B41" s="178" t="s">
        <v>111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22"/>
      <c r="B42" s="178" t="s">
        <v>135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22"/>
      <c r="B43" s="178" t="s">
        <v>113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22"/>
      <c r="B44" s="178" t="s">
        <v>125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22"/>
      <c r="B45" s="164" t="s">
        <v>115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22"/>
      <c r="B46" s="120" t="s">
        <v>89</v>
      </c>
      <c r="C46" s="154"/>
      <c r="D46" s="23"/>
      <c r="E46" s="47"/>
      <c r="F46" s="48"/>
      <c r="G46" s="116"/>
      <c r="H46" s="48"/>
      <c r="I46" s="49">
        <f t="shared" si="0"/>
        <v>0</v>
      </c>
    </row>
    <row r="47" spans="1:9" ht="17.25" customHeight="1" x14ac:dyDescent="0.3">
      <c r="A47" s="322"/>
      <c r="B47" s="120" t="s">
        <v>88</v>
      </c>
      <c r="C47" s="121"/>
      <c r="D47" s="122"/>
      <c r="E47" s="123"/>
      <c r="F47" s="124"/>
      <c r="G47" s="112"/>
      <c r="H47" s="124"/>
      <c r="I47" s="52">
        <f t="shared" si="0"/>
        <v>0</v>
      </c>
    </row>
    <row r="48" spans="1:9" ht="17.25" customHeight="1" x14ac:dyDescent="0.3">
      <c r="A48" s="322"/>
      <c r="B48" s="56" t="s">
        <v>123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22"/>
      <c r="B49" s="179" t="s">
        <v>127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22"/>
      <c r="B50" s="58" t="s">
        <v>129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23"/>
      <c r="B51" s="64" t="s">
        <v>42</v>
      </c>
      <c r="C51" s="65">
        <f>SUM(C13:C50)</f>
        <v>0</v>
      </c>
      <c r="D51" s="66">
        <f>SUM(D13:D46)</f>
        <v>0</v>
      </c>
      <c r="E51" s="67">
        <f>SUM(E13:E46)</f>
        <v>0</v>
      </c>
      <c r="F51" s="67">
        <f>SUM(F13:F46)</f>
        <v>0</v>
      </c>
      <c r="G51" s="68" t="s">
        <v>22</v>
      </c>
      <c r="H51" s="69">
        <f>SUM(H13:H46)</f>
        <v>0</v>
      </c>
      <c r="I51" s="70">
        <f>SUM(I13:I46)</f>
        <v>0</v>
      </c>
    </row>
    <row r="52" spans="1:10" ht="17.25" customHeight="1" x14ac:dyDescent="0.3">
      <c r="A52" s="326" t="s">
        <v>72</v>
      </c>
      <c r="B52" s="327"/>
      <c r="C52" s="71"/>
      <c r="D52" s="72" t="s">
        <v>163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28"/>
      <c r="B53" s="329"/>
      <c r="C53" s="332" t="s">
        <v>74</v>
      </c>
      <c r="D53" s="334"/>
      <c r="E53" s="336"/>
      <c r="F53" s="336"/>
      <c r="G53" s="336"/>
      <c r="H53" s="336"/>
      <c r="I53" s="339"/>
      <c r="J53" s="174"/>
    </row>
    <row r="54" spans="1:10" s="76" customFormat="1" ht="17.25" customHeight="1" x14ac:dyDescent="0.3">
      <c r="A54" s="328"/>
      <c r="B54" s="329"/>
      <c r="C54" s="333"/>
      <c r="D54" s="335"/>
      <c r="E54" s="337"/>
      <c r="F54" s="337"/>
      <c r="G54" s="337"/>
      <c r="H54" s="338"/>
      <c r="I54" s="340"/>
    </row>
    <row r="55" spans="1:10" s="76" customFormat="1" ht="17.25" customHeight="1" x14ac:dyDescent="0.3">
      <c r="A55" s="328"/>
      <c r="B55" s="329"/>
      <c r="C55" s="332" t="s">
        <v>75</v>
      </c>
      <c r="D55" s="334"/>
      <c r="E55" s="343"/>
      <c r="F55" s="343"/>
      <c r="G55" s="343"/>
      <c r="H55" s="336"/>
      <c r="I55" s="347"/>
    </row>
    <row r="56" spans="1:10" s="76" customFormat="1" ht="17.25" customHeight="1" thickBot="1" x14ac:dyDescent="0.35">
      <c r="A56" s="330"/>
      <c r="B56" s="331"/>
      <c r="C56" s="341"/>
      <c r="D56" s="342"/>
      <c r="E56" s="344"/>
      <c r="F56" s="344"/>
      <c r="G56" s="344"/>
      <c r="H56" s="344"/>
      <c r="I56" s="348"/>
    </row>
    <row r="57" spans="1:10" s="76" customFormat="1" ht="17.25" customHeight="1" x14ac:dyDescent="0.3">
      <c r="A57" s="326" t="s">
        <v>45</v>
      </c>
      <c r="B57" s="327"/>
      <c r="C57" s="349"/>
      <c r="D57" s="350"/>
      <c r="E57" s="350"/>
      <c r="F57" s="350"/>
      <c r="G57" s="350"/>
      <c r="H57" s="350"/>
      <c r="I57" s="351"/>
    </row>
    <row r="58" spans="1:10" s="76" customFormat="1" ht="17.25" customHeight="1" x14ac:dyDescent="0.3">
      <c r="A58" s="328"/>
      <c r="B58" s="329"/>
      <c r="C58" s="352"/>
      <c r="D58" s="352"/>
      <c r="E58" s="352"/>
      <c r="F58" s="352"/>
      <c r="G58" s="352"/>
      <c r="H58" s="352"/>
      <c r="I58" s="353"/>
    </row>
    <row r="59" spans="1:10" s="76" customFormat="1" ht="17.25" customHeight="1" x14ac:dyDescent="0.3">
      <c r="A59" s="328"/>
      <c r="B59" s="329"/>
      <c r="C59" s="354"/>
      <c r="D59" s="352"/>
      <c r="E59" s="352"/>
      <c r="F59" s="352"/>
      <c r="G59" s="352"/>
      <c r="H59" s="352"/>
      <c r="I59" s="353"/>
    </row>
    <row r="60" spans="1:10" s="76" customFormat="1" ht="17.25" customHeight="1" thickBot="1" x14ac:dyDescent="0.35">
      <c r="A60" s="330"/>
      <c r="B60" s="331"/>
      <c r="C60" s="345"/>
      <c r="D60" s="345"/>
      <c r="E60" s="345"/>
      <c r="F60" s="345"/>
      <c r="G60" s="345"/>
      <c r="H60" s="345"/>
      <c r="I60" s="346"/>
    </row>
    <row r="61" spans="1:10" s="76" customFormat="1" ht="17.25" customHeight="1" x14ac:dyDescent="0.3">
      <c r="A61" s="326" t="s">
        <v>73</v>
      </c>
      <c r="B61" s="327"/>
      <c r="C61" s="389"/>
      <c r="D61" s="368"/>
      <c r="E61" s="368"/>
      <c r="F61" s="368"/>
      <c r="G61" s="368"/>
      <c r="H61" s="368"/>
      <c r="I61" s="369"/>
    </row>
    <row r="62" spans="1:10" s="76" customFormat="1" ht="17.25" customHeight="1" x14ac:dyDescent="0.3">
      <c r="A62" s="328"/>
      <c r="B62" s="329"/>
      <c r="C62" s="393"/>
      <c r="D62" s="394"/>
      <c r="E62" s="394"/>
      <c r="F62" s="394"/>
      <c r="G62" s="394"/>
      <c r="H62" s="394"/>
      <c r="I62" s="395"/>
    </row>
    <row r="63" spans="1:10" s="76" customFormat="1" ht="17.25" customHeight="1" x14ac:dyDescent="0.3">
      <c r="A63" s="328"/>
      <c r="B63" s="329"/>
      <c r="C63" s="393"/>
      <c r="D63" s="394"/>
      <c r="E63" s="394"/>
      <c r="F63" s="394"/>
      <c r="G63" s="394"/>
      <c r="H63" s="394"/>
      <c r="I63" s="395"/>
    </row>
    <row r="64" spans="1:10" s="76" customFormat="1" ht="17.25" customHeight="1" thickBot="1" x14ac:dyDescent="0.35">
      <c r="A64" s="330"/>
      <c r="B64" s="331"/>
      <c r="C64" s="345"/>
      <c r="D64" s="345"/>
      <c r="E64" s="345"/>
      <c r="F64" s="345"/>
      <c r="G64" s="345"/>
      <c r="H64" s="345"/>
      <c r="I64" s="346"/>
    </row>
    <row r="65" spans="1:9" s="76" customFormat="1" ht="17.25" customHeight="1" x14ac:dyDescent="0.3">
      <c r="A65" s="363" t="s">
        <v>46</v>
      </c>
      <c r="B65" s="366" t="s">
        <v>47</v>
      </c>
      <c r="C65" s="368"/>
      <c r="D65" s="368"/>
      <c r="E65" s="368"/>
      <c r="F65" s="368"/>
      <c r="G65" s="368"/>
      <c r="H65" s="368"/>
      <c r="I65" s="369"/>
    </row>
    <row r="66" spans="1:9" s="76" customFormat="1" ht="17.25" customHeight="1" x14ac:dyDescent="0.3">
      <c r="A66" s="364"/>
      <c r="B66" s="367"/>
      <c r="C66" s="350"/>
      <c r="D66" s="350"/>
      <c r="E66" s="350"/>
      <c r="F66" s="350"/>
      <c r="G66" s="350"/>
      <c r="H66" s="350"/>
      <c r="I66" s="351"/>
    </row>
    <row r="67" spans="1:9" s="76" customFormat="1" ht="17.25" customHeight="1" x14ac:dyDescent="0.3">
      <c r="A67" s="364"/>
      <c r="B67" s="370" t="s">
        <v>48</v>
      </c>
      <c r="C67" s="352"/>
      <c r="D67" s="352"/>
      <c r="E67" s="352"/>
      <c r="F67" s="352"/>
      <c r="G67" s="352"/>
      <c r="H67" s="352"/>
      <c r="I67" s="353"/>
    </row>
    <row r="68" spans="1:9" s="76" customFormat="1" ht="17.25" customHeight="1" x14ac:dyDescent="0.3">
      <c r="A68" s="364"/>
      <c r="B68" s="367"/>
      <c r="C68" s="350"/>
      <c r="D68" s="350"/>
      <c r="E68" s="350"/>
      <c r="F68" s="350"/>
      <c r="G68" s="350"/>
      <c r="H68" s="350"/>
      <c r="I68" s="351"/>
    </row>
    <row r="69" spans="1:9" s="76" customFormat="1" ht="17.25" customHeight="1" thickBot="1" x14ac:dyDescent="0.35">
      <c r="A69" s="365"/>
      <c r="B69" s="371"/>
      <c r="C69" s="362"/>
      <c r="D69" s="345"/>
      <c r="E69" s="345"/>
      <c r="F69" s="345"/>
      <c r="G69" s="345"/>
      <c r="H69" s="345"/>
      <c r="I69" s="346"/>
    </row>
    <row r="70" spans="1:9" s="76" customFormat="1" ht="17.25" customHeight="1" x14ac:dyDescent="0.3">
      <c r="A70" s="326" t="s">
        <v>49</v>
      </c>
      <c r="B70" s="327"/>
      <c r="C70" s="350"/>
      <c r="D70" s="350"/>
      <c r="E70" s="350"/>
      <c r="F70" s="350"/>
      <c r="G70" s="350"/>
      <c r="H70" s="350"/>
      <c r="I70" s="351"/>
    </row>
    <row r="71" spans="1:9" s="76" customFormat="1" ht="17.25" customHeight="1" x14ac:dyDescent="0.3">
      <c r="A71" s="328"/>
      <c r="B71" s="329"/>
      <c r="C71" s="350"/>
      <c r="D71" s="350"/>
      <c r="E71" s="350"/>
      <c r="F71" s="350"/>
      <c r="G71" s="350"/>
      <c r="H71" s="350"/>
      <c r="I71" s="351"/>
    </row>
    <row r="72" spans="1:9" s="76" customFormat="1" ht="17.25" customHeight="1" thickBot="1" x14ac:dyDescent="0.35">
      <c r="A72" s="330"/>
      <c r="B72" s="331"/>
      <c r="C72" s="362"/>
      <c r="D72" s="345"/>
      <c r="E72" s="345"/>
      <c r="F72" s="345"/>
      <c r="G72" s="345"/>
      <c r="H72" s="345"/>
      <c r="I72" s="346"/>
    </row>
    <row r="73" spans="1:9" s="76" customFormat="1" ht="17.25" customHeight="1" x14ac:dyDescent="0.3">
      <c r="A73" s="326" t="s">
        <v>50</v>
      </c>
      <c r="B73" s="327"/>
      <c r="C73" s="389"/>
      <c r="D73" s="368"/>
      <c r="E73" s="368"/>
      <c r="F73" s="368"/>
      <c r="G73" s="368"/>
      <c r="H73" s="368"/>
      <c r="I73" s="369"/>
    </row>
    <row r="74" spans="1:9" s="76" customFormat="1" ht="17.25" customHeight="1" thickBot="1" x14ac:dyDescent="0.35">
      <c r="A74" s="330"/>
      <c r="B74" s="331"/>
      <c r="C74" s="354"/>
      <c r="D74" s="352"/>
      <c r="E74" s="352"/>
      <c r="F74" s="352"/>
      <c r="G74" s="352"/>
      <c r="H74" s="352"/>
      <c r="I74" s="353"/>
    </row>
    <row r="75" spans="1:9" s="76" customFormat="1" ht="17.25" customHeight="1" x14ac:dyDescent="0.3">
      <c r="A75" s="326" t="s">
        <v>51</v>
      </c>
      <c r="B75" s="327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/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/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375" t="s">
        <v>61</v>
      </c>
      <c r="B78" s="376"/>
      <c r="C78" s="382" t="s">
        <v>62</v>
      </c>
      <c r="D78" s="383"/>
      <c r="E78" s="384" t="s">
        <v>63</v>
      </c>
      <c r="F78" s="383"/>
      <c r="G78" s="385" t="s">
        <v>64</v>
      </c>
      <c r="H78" s="386"/>
      <c r="I78" s="90" t="s">
        <v>65</v>
      </c>
    </row>
    <row r="79" spans="1:9" s="76" customFormat="1" ht="17.25" customHeight="1" thickBot="1" x14ac:dyDescent="0.35">
      <c r="A79" s="377"/>
      <c r="B79" s="378"/>
      <c r="C79" s="92"/>
      <c r="D79" s="93"/>
      <c r="E79" s="94"/>
      <c r="F79" s="93"/>
      <c r="G79" s="387"/>
      <c r="H79" s="388"/>
      <c r="I79" s="95"/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372" t="s">
        <v>66</v>
      </c>
      <c r="I80" s="372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1:I1"/>
    <mergeCell ref="A2:B2"/>
    <mergeCell ref="C2:D2"/>
    <mergeCell ref="E2:E3"/>
    <mergeCell ref="F2:G2"/>
    <mergeCell ref="H2:I2"/>
    <mergeCell ref="A3:B3"/>
    <mergeCell ref="F3:G3"/>
    <mergeCell ref="H3:I3"/>
    <mergeCell ref="A4:H4"/>
    <mergeCell ref="A7:H7"/>
    <mergeCell ref="A9:A11"/>
    <mergeCell ref="B9:B11"/>
    <mergeCell ref="C9:D9"/>
    <mergeCell ref="E9:F9"/>
    <mergeCell ref="G9:H9"/>
    <mergeCell ref="A12:A51"/>
    <mergeCell ref="A52:B56"/>
    <mergeCell ref="C53:C54"/>
    <mergeCell ref="D53:D54"/>
    <mergeCell ref="E53:E54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zoomScale="90" zoomScaleNormal="90" workbookViewId="0">
      <selection activeCell="A4" sqref="A4:H4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296" t="s">
        <v>0</v>
      </c>
      <c r="B1" s="297"/>
      <c r="C1" s="297"/>
      <c r="D1" s="297"/>
      <c r="E1" s="297"/>
      <c r="F1" s="297"/>
      <c r="G1" s="297"/>
      <c r="H1" s="297"/>
      <c r="I1" s="298"/>
    </row>
    <row r="2" spans="1:9" x14ac:dyDescent="0.3">
      <c r="A2" s="299" t="s">
        <v>1</v>
      </c>
      <c r="B2" s="300"/>
      <c r="C2" s="301" t="s">
        <v>105</v>
      </c>
      <c r="D2" s="302"/>
      <c r="E2" s="303" t="s">
        <v>77</v>
      </c>
      <c r="F2" s="305" t="s">
        <v>2</v>
      </c>
      <c r="G2" s="306"/>
      <c r="H2" s="307" t="s">
        <v>76</v>
      </c>
      <c r="I2" s="308"/>
    </row>
    <row r="3" spans="1:9" x14ac:dyDescent="0.3">
      <c r="A3" s="309" t="s">
        <v>3</v>
      </c>
      <c r="B3" s="310"/>
      <c r="C3" s="4"/>
      <c r="D3" s="5" t="s">
        <v>4</v>
      </c>
      <c r="E3" s="304"/>
      <c r="F3" s="311"/>
      <c r="G3" s="312"/>
      <c r="H3" s="313">
        <f>G11+'29일'!H3:I3</f>
        <v>54353900</v>
      </c>
      <c r="I3" s="314"/>
    </row>
    <row r="4" spans="1:9" ht="7.5" customHeight="1" x14ac:dyDescent="0.3">
      <c r="A4" s="315"/>
      <c r="B4" s="316"/>
      <c r="C4" s="316"/>
      <c r="D4" s="316"/>
      <c r="E4" s="316"/>
      <c r="F4" s="316"/>
      <c r="G4" s="316"/>
      <c r="H4" s="316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/>
      <c r="F6" s="15"/>
      <c r="G6" s="16"/>
      <c r="H6" s="17"/>
      <c r="I6" s="18"/>
    </row>
    <row r="7" spans="1:9" ht="7.5" customHeight="1" x14ac:dyDescent="0.3">
      <c r="A7" s="315"/>
      <c r="B7" s="316"/>
      <c r="C7" s="316"/>
      <c r="D7" s="316"/>
      <c r="E7" s="316"/>
      <c r="F7" s="316"/>
      <c r="G7" s="316"/>
      <c r="H7" s="316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79" t="s">
        <v>10</v>
      </c>
      <c r="B9" s="317" t="s">
        <v>11</v>
      </c>
      <c r="C9" s="320" t="s">
        <v>68</v>
      </c>
      <c r="D9" s="303"/>
      <c r="E9" s="303" t="s">
        <v>67</v>
      </c>
      <c r="F9" s="303"/>
      <c r="G9" s="303" t="s">
        <v>69</v>
      </c>
      <c r="H9" s="303"/>
      <c r="I9" s="373" t="s">
        <v>78</v>
      </c>
    </row>
    <row r="10" spans="1:9" ht="18" customHeight="1" x14ac:dyDescent="0.3">
      <c r="A10" s="380"/>
      <c r="B10" s="318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74"/>
    </row>
    <row r="11" spans="1:9" ht="17.25" thickBot="1" x14ac:dyDescent="0.35">
      <c r="A11" s="381"/>
      <c r="B11" s="319"/>
      <c r="C11" s="101"/>
      <c r="D11" s="102"/>
      <c r="E11" s="109">
        <f>SUM(E55:I56)</f>
        <v>0</v>
      </c>
      <c r="F11" s="109">
        <f>SUM(E53:I54)</f>
        <v>0</v>
      </c>
      <c r="G11" s="110">
        <f>C11+E11</f>
        <v>0</v>
      </c>
      <c r="H11" s="110">
        <f>D11+F11</f>
        <v>0</v>
      </c>
      <c r="I11" s="111" t="e">
        <f>G11/H11</f>
        <v>#DIV/0!</v>
      </c>
    </row>
    <row r="12" spans="1:9" ht="30" customHeight="1" x14ac:dyDescent="0.3">
      <c r="A12" s="321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24" t="s">
        <v>19</v>
      </c>
      <c r="G12" s="325"/>
      <c r="H12" s="158" t="s">
        <v>20</v>
      </c>
      <c r="I12" s="100" t="s">
        <v>21</v>
      </c>
    </row>
    <row r="13" spans="1:9" ht="17.25" customHeight="1" x14ac:dyDescent="0.3">
      <c r="A13" s="322"/>
      <c r="B13" s="21" t="s">
        <v>23</v>
      </c>
      <c r="C13" s="22"/>
      <c r="D13" s="23"/>
      <c r="E13" s="22"/>
      <c r="F13" s="24"/>
      <c r="G13" s="25"/>
      <c r="H13" s="23"/>
      <c r="I13" s="26">
        <f>C13-D13-D14*1/2-E13-E14*1/2+F13-H13-H14*1/2-I14*1/2</f>
        <v>0</v>
      </c>
    </row>
    <row r="14" spans="1:9" ht="17.25" customHeight="1" x14ac:dyDescent="0.3">
      <c r="A14" s="322"/>
      <c r="B14" s="27" t="s">
        <v>24</v>
      </c>
      <c r="C14" s="28"/>
      <c r="D14" s="29"/>
      <c r="E14" s="30"/>
      <c r="F14" s="31"/>
      <c r="G14" s="25"/>
      <c r="H14" s="29"/>
      <c r="I14" s="32"/>
    </row>
    <row r="15" spans="1:9" ht="17.25" customHeight="1" x14ac:dyDescent="0.3">
      <c r="A15" s="322"/>
      <c r="B15" s="27" t="s">
        <v>25</v>
      </c>
      <c r="C15" s="33"/>
      <c r="D15" s="29"/>
      <c r="E15" s="30"/>
      <c r="F15" s="34"/>
      <c r="G15" s="25"/>
      <c r="H15" s="29"/>
      <c r="I15" s="35">
        <f>C15-D15-D16*1/2-E15-E16*1/2+F15-H15-H16*1/2-I16*1/2</f>
        <v>0</v>
      </c>
    </row>
    <row r="16" spans="1:9" ht="17.25" customHeight="1" x14ac:dyDescent="0.3">
      <c r="A16" s="322"/>
      <c r="B16" s="27" t="s">
        <v>26</v>
      </c>
      <c r="C16" s="28"/>
      <c r="D16" s="29"/>
      <c r="E16" s="30"/>
      <c r="F16" s="31"/>
      <c r="G16" s="25"/>
      <c r="H16" s="29"/>
      <c r="I16" s="36"/>
    </row>
    <row r="17" spans="1:9" ht="17.25" customHeight="1" x14ac:dyDescent="0.3">
      <c r="A17" s="322"/>
      <c r="B17" s="27" t="s">
        <v>27</v>
      </c>
      <c r="C17" s="33"/>
      <c r="D17" s="29"/>
      <c r="E17" s="30"/>
      <c r="F17" s="34"/>
      <c r="G17" s="118"/>
      <c r="H17" s="29"/>
      <c r="I17" s="37">
        <f>C17-D17-D18*1/2-E17-E18*1/2+F17-H17-H18*1/2-I18*1/2</f>
        <v>0</v>
      </c>
    </row>
    <row r="18" spans="1:9" ht="17.25" customHeight="1" x14ac:dyDescent="0.3">
      <c r="A18" s="322"/>
      <c r="B18" s="27" t="s">
        <v>28</v>
      </c>
      <c r="C18" s="28"/>
      <c r="D18" s="29"/>
      <c r="E18" s="30"/>
      <c r="F18" s="31"/>
      <c r="G18" s="25"/>
      <c r="H18" s="29"/>
      <c r="I18" s="36"/>
    </row>
    <row r="19" spans="1:9" ht="17.25" customHeight="1" x14ac:dyDescent="0.3">
      <c r="A19" s="322"/>
      <c r="B19" s="27" t="s">
        <v>29</v>
      </c>
      <c r="C19" s="33"/>
      <c r="D19" s="29"/>
      <c r="E19" s="30"/>
      <c r="F19" s="34"/>
      <c r="G19" s="25"/>
      <c r="H19" s="29"/>
      <c r="I19" s="35">
        <f>C19-D19-D20*1/2-E19-E20*1/2+F19-H19-H20*1/2-I20*1/2</f>
        <v>0</v>
      </c>
    </row>
    <row r="20" spans="1:9" ht="17.25" customHeight="1" x14ac:dyDescent="0.3">
      <c r="A20" s="322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22"/>
      <c r="B21" s="39" t="s">
        <v>31</v>
      </c>
      <c r="C21" s="40"/>
      <c r="D21" s="41"/>
      <c r="E21" s="42"/>
      <c r="F21" s="43"/>
      <c r="G21" s="44"/>
      <c r="H21" s="43"/>
      <c r="I21" s="45">
        <f t="shared" ref="I21:I48" si="0">C21-D21-E21+F21-H21</f>
        <v>0</v>
      </c>
    </row>
    <row r="22" spans="1:9" ht="17.25" customHeight="1" x14ac:dyDescent="0.3">
      <c r="A22" s="322"/>
      <c r="B22" s="21" t="s">
        <v>32</v>
      </c>
      <c r="C22" s="46"/>
      <c r="D22" s="23"/>
      <c r="E22" s="47"/>
      <c r="F22" s="48"/>
      <c r="G22" s="25"/>
      <c r="H22" s="48"/>
      <c r="I22" s="49">
        <f t="shared" si="0"/>
        <v>0</v>
      </c>
    </row>
    <row r="23" spans="1:9" ht="17.25" customHeight="1" x14ac:dyDescent="0.3">
      <c r="A23" s="322"/>
      <c r="B23" s="27" t="s">
        <v>33</v>
      </c>
      <c r="C23" s="33"/>
      <c r="D23" s="29"/>
      <c r="E23" s="50"/>
      <c r="F23" s="51"/>
      <c r="G23" s="25"/>
      <c r="H23" s="51"/>
      <c r="I23" s="52">
        <f>C23-D23-D24-E23-E24+F23+F24-H23-H24-I24</f>
        <v>0</v>
      </c>
    </row>
    <row r="24" spans="1:9" ht="17.25" customHeight="1" x14ac:dyDescent="0.3">
      <c r="A24" s="322"/>
      <c r="B24" s="160" t="s">
        <v>34</v>
      </c>
      <c r="C24" s="53"/>
      <c r="D24" s="41"/>
      <c r="E24" s="42"/>
      <c r="F24" s="43"/>
      <c r="G24" s="113"/>
      <c r="H24" s="43"/>
      <c r="I24" s="54"/>
    </row>
    <row r="25" spans="1:9" ht="17.25" customHeight="1" x14ac:dyDescent="0.3">
      <c r="A25" s="322"/>
      <c r="B25" s="21" t="s">
        <v>35</v>
      </c>
      <c r="C25" s="46"/>
      <c r="D25" s="23"/>
      <c r="E25" s="47"/>
      <c r="F25" s="48"/>
      <c r="G25" s="112"/>
      <c r="H25" s="48"/>
      <c r="I25" s="49">
        <f t="shared" si="0"/>
        <v>0</v>
      </c>
    </row>
    <row r="26" spans="1:9" ht="17.25" customHeight="1" x14ac:dyDescent="0.3">
      <c r="A26" s="322"/>
      <c r="B26" s="160" t="s">
        <v>36</v>
      </c>
      <c r="C26" s="55"/>
      <c r="D26" s="41"/>
      <c r="E26" s="42"/>
      <c r="F26" s="43"/>
      <c r="G26" s="113"/>
      <c r="H26" s="43"/>
      <c r="I26" s="45">
        <f t="shared" si="0"/>
        <v>0</v>
      </c>
    </row>
    <row r="27" spans="1:9" ht="17.25" customHeight="1" x14ac:dyDescent="0.3">
      <c r="A27" s="322"/>
      <c r="B27" s="21" t="s">
        <v>37</v>
      </c>
      <c r="C27" s="46"/>
      <c r="D27" s="23"/>
      <c r="E27" s="47"/>
      <c r="F27" s="48"/>
      <c r="G27" s="112"/>
      <c r="H27" s="48"/>
      <c r="I27" s="49">
        <f t="shared" si="0"/>
        <v>0</v>
      </c>
    </row>
    <row r="28" spans="1:9" ht="17.25" customHeight="1" x14ac:dyDescent="0.3">
      <c r="A28" s="322"/>
      <c r="B28" s="160" t="s">
        <v>38</v>
      </c>
      <c r="C28" s="55"/>
      <c r="D28" s="41"/>
      <c r="E28" s="42"/>
      <c r="F28" s="43"/>
      <c r="G28" s="113"/>
      <c r="H28" s="43"/>
      <c r="I28" s="45">
        <f t="shared" si="0"/>
        <v>0</v>
      </c>
    </row>
    <row r="29" spans="1:9" ht="17.25" customHeight="1" x14ac:dyDescent="0.3">
      <c r="A29" s="322"/>
      <c r="B29" s="21" t="s">
        <v>39</v>
      </c>
      <c r="C29" s="46"/>
      <c r="D29" s="23"/>
      <c r="E29" s="47"/>
      <c r="F29" s="48"/>
      <c r="G29" s="25"/>
      <c r="H29" s="48"/>
      <c r="I29" s="49">
        <f t="shared" si="0"/>
        <v>0</v>
      </c>
    </row>
    <row r="30" spans="1:9" ht="17.25" customHeight="1" x14ac:dyDescent="0.3">
      <c r="A30" s="322"/>
      <c r="B30" s="56" t="s">
        <v>40</v>
      </c>
      <c r="C30" s="57"/>
      <c r="D30" s="29"/>
      <c r="E30" s="50"/>
      <c r="F30" s="51"/>
      <c r="G30" s="25"/>
      <c r="H30" s="51"/>
      <c r="I30" s="52">
        <f>C30-D30-D31-E30-E31+F30+F31-H30-H31-I31</f>
        <v>0</v>
      </c>
    </row>
    <row r="31" spans="1:9" ht="17.25" customHeight="1" x14ac:dyDescent="0.3">
      <c r="A31" s="322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22"/>
      <c r="B32" s="179" t="s">
        <v>117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22"/>
      <c r="B33" s="179" t="s">
        <v>119</v>
      </c>
      <c r="C33" s="185"/>
      <c r="D33" s="29"/>
      <c r="E33" s="50"/>
      <c r="F33" s="51"/>
      <c r="G33" s="25"/>
      <c r="H33" s="51"/>
      <c r="I33" s="188"/>
    </row>
    <row r="34" spans="1:9" ht="17.25" customHeight="1" x14ac:dyDescent="0.3">
      <c r="A34" s="322"/>
      <c r="B34" s="179" t="s">
        <v>121</v>
      </c>
      <c r="C34" s="186"/>
      <c r="D34" s="60"/>
      <c r="E34" s="61"/>
      <c r="F34" s="62"/>
      <c r="G34" s="113"/>
      <c r="H34" s="62"/>
      <c r="I34" s="189"/>
    </row>
    <row r="35" spans="1:9" ht="17.25" customHeight="1" x14ac:dyDescent="0.3">
      <c r="A35" s="322"/>
      <c r="B35" s="191" t="s">
        <v>79</v>
      </c>
      <c r="C35" s="281"/>
      <c r="D35" s="23"/>
      <c r="E35" s="47"/>
      <c r="F35" s="48"/>
      <c r="G35" s="116"/>
      <c r="H35" s="48"/>
      <c r="I35" s="282"/>
    </row>
    <row r="36" spans="1:9" ht="17.25" customHeight="1" x14ac:dyDescent="0.3">
      <c r="A36" s="322"/>
      <c r="B36" s="153" t="s">
        <v>80</v>
      </c>
      <c r="C36" s="121"/>
      <c r="D36" s="122"/>
      <c r="E36" s="123"/>
      <c r="F36" s="124"/>
      <c r="G36" s="112"/>
      <c r="H36" s="124"/>
      <c r="I36" s="52">
        <f>C36-D36-E36+F36-H36</f>
        <v>0</v>
      </c>
    </row>
    <row r="37" spans="1:9" ht="17.25" customHeight="1" x14ac:dyDescent="0.3">
      <c r="A37" s="322"/>
      <c r="B37" s="163" t="s">
        <v>107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22"/>
      <c r="B38" s="178" t="s">
        <v>131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22"/>
      <c r="B39" s="178" t="s">
        <v>109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22"/>
      <c r="B40" s="178" t="s">
        <v>133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22"/>
      <c r="B41" s="178" t="s">
        <v>111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22"/>
      <c r="B42" s="178" t="s">
        <v>135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22"/>
      <c r="B43" s="178" t="s">
        <v>113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22"/>
      <c r="B44" s="178" t="s">
        <v>125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22"/>
      <c r="B45" s="164" t="s">
        <v>115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22"/>
      <c r="B46" s="120" t="s">
        <v>89</v>
      </c>
      <c r="C46" s="154"/>
      <c r="D46" s="23"/>
      <c r="E46" s="47"/>
      <c r="F46" s="48"/>
      <c r="G46" s="116"/>
      <c r="H46" s="48"/>
      <c r="I46" s="49">
        <f t="shared" si="0"/>
        <v>0</v>
      </c>
    </row>
    <row r="47" spans="1:9" ht="17.25" customHeight="1" x14ac:dyDescent="0.3">
      <c r="A47" s="322"/>
      <c r="B47" s="120" t="s">
        <v>88</v>
      </c>
      <c r="C47" s="121"/>
      <c r="D47" s="122"/>
      <c r="E47" s="123"/>
      <c r="F47" s="124"/>
      <c r="G47" s="112"/>
      <c r="H47" s="124"/>
      <c r="I47" s="52">
        <f t="shared" si="0"/>
        <v>0</v>
      </c>
    </row>
    <row r="48" spans="1:9" ht="17.25" customHeight="1" x14ac:dyDescent="0.3">
      <c r="A48" s="322"/>
      <c r="B48" s="56" t="s">
        <v>123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22"/>
      <c r="B49" s="179" t="s">
        <v>127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22"/>
      <c r="B50" s="58" t="s">
        <v>129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23"/>
      <c r="B51" s="64" t="s">
        <v>42</v>
      </c>
      <c r="C51" s="65">
        <f>SUM(C13:C50)</f>
        <v>0</v>
      </c>
      <c r="D51" s="66">
        <f>SUM(D13:D46)</f>
        <v>0</v>
      </c>
      <c r="E51" s="67">
        <f>SUM(E13:E46)</f>
        <v>0</v>
      </c>
      <c r="F51" s="67">
        <f>SUM(F13:F46)</f>
        <v>0</v>
      </c>
      <c r="G51" s="68" t="s">
        <v>22</v>
      </c>
      <c r="H51" s="69">
        <f>SUM(H13:H46)</f>
        <v>0</v>
      </c>
      <c r="I51" s="70">
        <f>SUM(I13:I46)</f>
        <v>0</v>
      </c>
    </row>
    <row r="52" spans="1:10" ht="17.25" customHeight="1" x14ac:dyDescent="0.3">
      <c r="A52" s="326" t="s">
        <v>72</v>
      </c>
      <c r="B52" s="327"/>
      <c r="C52" s="71"/>
      <c r="D52" s="72" t="s">
        <v>163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28"/>
      <c r="B53" s="329"/>
      <c r="C53" s="332" t="s">
        <v>74</v>
      </c>
      <c r="D53" s="334"/>
      <c r="E53" s="336"/>
      <c r="F53" s="336"/>
      <c r="G53" s="336"/>
      <c r="H53" s="336"/>
      <c r="I53" s="339"/>
      <c r="J53" s="174"/>
    </row>
    <row r="54" spans="1:10" s="76" customFormat="1" ht="17.25" customHeight="1" x14ac:dyDescent="0.3">
      <c r="A54" s="328"/>
      <c r="B54" s="329"/>
      <c r="C54" s="333"/>
      <c r="D54" s="335"/>
      <c r="E54" s="337"/>
      <c r="F54" s="337"/>
      <c r="G54" s="337"/>
      <c r="H54" s="338"/>
      <c r="I54" s="340"/>
    </row>
    <row r="55" spans="1:10" s="76" customFormat="1" ht="17.25" customHeight="1" x14ac:dyDescent="0.3">
      <c r="A55" s="328"/>
      <c r="B55" s="329"/>
      <c r="C55" s="332" t="s">
        <v>75</v>
      </c>
      <c r="D55" s="334"/>
      <c r="E55" s="343"/>
      <c r="F55" s="343"/>
      <c r="G55" s="343"/>
      <c r="H55" s="336"/>
      <c r="I55" s="347"/>
    </row>
    <row r="56" spans="1:10" s="76" customFormat="1" ht="17.25" customHeight="1" thickBot="1" x14ac:dyDescent="0.35">
      <c r="A56" s="330"/>
      <c r="B56" s="331"/>
      <c r="C56" s="341"/>
      <c r="D56" s="342"/>
      <c r="E56" s="344"/>
      <c r="F56" s="344"/>
      <c r="G56" s="344"/>
      <c r="H56" s="344"/>
      <c r="I56" s="348"/>
    </row>
    <row r="57" spans="1:10" s="76" customFormat="1" ht="17.25" customHeight="1" x14ac:dyDescent="0.3">
      <c r="A57" s="326" t="s">
        <v>45</v>
      </c>
      <c r="B57" s="327"/>
      <c r="C57" s="349"/>
      <c r="D57" s="350"/>
      <c r="E57" s="350"/>
      <c r="F57" s="350"/>
      <c r="G57" s="350"/>
      <c r="H57" s="350"/>
      <c r="I57" s="351"/>
    </row>
    <row r="58" spans="1:10" s="76" customFormat="1" ht="17.25" customHeight="1" x14ac:dyDescent="0.3">
      <c r="A58" s="328"/>
      <c r="B58" s="329"/>
      <c r="C58" s="352"/>
      <c r="D58" s="352"/>
      <c r="E58" s="352"/>
      <c r="F58" s="352"/>
      <c r="G58" s="352"/>
      <c r="H58" s="352"/>
      <c r="I58" s="353"/>
    </row>
    <row r="59" spans="1:10" s="76" customFormat="1" ht="17.25" customHeight="1" x14ac:dyDescent="0.3">
      <c r="A59" s="328"/>
      <c r="B59" s="329"/>
      <c r="C59" s="354"/>
      <c r="D59" s="352"/>
      <c r="E59" s="352"/>
      <c r="F59" s="352"/>
      <c r="G59" s="352"/>
      <c r="H59" s="352"/>
      <c r="I59" s="353"/>
    </row>
    <row r="60" spans="1:10" s="76" customFormat="1" ht="17.25" customHeight="1" thickBot="1" x14ac:dyDescent="0.35">
      <c r="A60" s="330"/>
      <c r="B60" s="331"/>
      <c r="C60" s="345"/>
      <c r="D60" s="345"/>
      <c r="E60" s="345"/>
      <c r="F60" s="345"/>
      <c r="G60" s="345"/>
      <c r="H60" s="345"/>
      <c r="I60" s="346"/>
    </row>
    <row r="61" spans="1:10" s="76" customFormat="1" ht="17.25" customHeight="1" x14ac:dyDescent="0.3">
      <c r="A61" s="326" t="s">
        <v>73</v>
      </c>
      <c r="B61" s="327"/>
      <c r="C61" s="389"/>
      <c r="D61" s="368"/>
      <c r="E61" s="368"/>
      <c r="F61" s="368"/>
      <c r="G61" s="368"/>
      <c r="H61" s="368"/>
      <c r="I61" s="369"/>
    </row>
    <row r="62" spans="1:10" s="76" customFormat="1" ht="17.25" customHeight="1" x14ac:dyDescent="0.3">
      <c r="A62" s="328"/>
      <c r="B62" s="329"/>
      <c r="C62" s="393"/>
      <c r="D62" s="394"/>
      <c r="E62" s="394"/>
      <c r="F62" s="394"/>
      <c r="G62" s="394"/>
      <c r="H62" s="394"/>
      <c r="I62" s="395"/>
    </row>
    <row r="63" spans="1:10" s="76" customFormat="1" ht="17.25" customHeight="1" x14ac:dyDescent="0.3">
      <c r="A63" s="328"/>
      <c r="B63" s="329"/>
      <c r="C63" s="393"/>
      <c r="D63" s="394"/>
      <c r="E63" s="394"/>
      <c r="F63" s="394"/>
      <c r="G63" s="394"/>
      <c r="H63" s="394"/>
      <c r="I63" s="395"/>
    </row>
    <row r="64" spans="1:10" s="76" customFormat="1" ht="17.25" customHeight="1" thickBot="1" x14ac:dyDescent="0.35">
      <c r="A64" s="330"/>
      <c r="B64" s="331"/>
      <c r="C64" s="345"/>
      <c r="D64" s="345"/>
      <c r="E64" s="345"/>
      <c r="F64" s="345"/>
      <c r="G64" s="345"/>
      <c r="H64" s="345"/>
      <c r="I64" s="346"/>
    </row>
    <row r="65" spans="1:9" s="76" customFormat="1" ht="17.25" customHeight="1" x14ac:dyDescent="0.3">
      <c r="A65" s="363" t="s">
        <v>46</v>
      </c>
      <c r="B65" s="366" t="s">
        <v>47</v>
      </c>
      <c r="C65" s="368"/>
      <c r="D65" s="368"/>
      <c r="E65" s="368"/>
      <c r="F65" s="368"/>
      <c r="G65" s="368"/>
      <c r="H65" s="368"/>
      <c r="I65" s="369"/>
    </row>
    <row r="66" spans="1:9" s="76" customFormat="1" ht="17.25" customHeight="1" x14ac:dyDescent="0.3">
      <c r="A66" s="364"/>
      <c r="B66" s="367"/>
      <c r="C66" s="350"/>
      <c r="D66" s="350"/>
      <c r="E66" s="350"/>
      <c r="F66" s="350"/>
      <c r="G66" s="350"/>
      <c r="H66" s="350"/>
      <c r="I66" s="351"/>
    </row>
    <row r="67" spans="1:9" s="76" customFormat="1" ht="17.25" customHeight="1" x14ac:dyDescent="0.3">
      <c r="A67" s="364"/>
      <c r="B67" s="370" t="s">
        <v>48</v>
      </c>
      <c r="C67" s="352"/>
      <c r="D67" s="352"/>
      <c r="E67" s="352"/>
      <c r="F67" s="352"/>
      <c r="G67" s="352"/>
      <c r="H67" s="352"/>
      <c r="I67" s="353"/>
    </row>
    <row r="68" spans="1:9" s="76" customFormat="1" ht="17.25" customHeight="1" x14ac:dyDescent="0.3">
      <c r="A68" s="364"/>
      <c r="B68" s="367"/>
      <c r="C68" s="350"/>
      <c r="D68" s="350"/>
      <c r="E68" s="350"/>
      <c r="F68" s="350"/>
      <c r="G68" s="350"/>
      <c r="H68" s="350"/>
      <c r="I68" s="351"/>
    </row>
    <row r="69" spans="1:9" s="76" customFormat="1" ht="17.25" customHeight="1" thickBot="1" x14ac:dyDescent="0.35">
      <c r="A69" s="365"/>
      <c r="B69" s="371"/>
      <c r="C69" s="362"/>
      <c r="D69" s="345"/>
      <c r="E69" s="345"/>
      <c r="F69" s="345"/>
      <c r="G69" s="345"/>
      <c r="H69" s="345"/>
      <c r="I69" s="346"/>
    </row>
    <row r="70" spans="1:9" s="76" customFormat="1" ht="17.25" customHeight="1" x14ac:dyDescent="0.3">
      <c r="A70" s="326" t="s">
        <v>49</v>
      </c>
      <c r="B70" s="327"/>
      <c r="C70" s="350"/>
      <c r="D70" s="350"/>
      <c r="E70" s="350"/>
      <c r="F70" s="350"/>
      <c r="G70" s="350"/>
      <c r="H70" s="350"/>
      <c r="I70" s="351"/>
    </row>
    <row r="71" spans="1:9" s="76" customFormat="1" ht="17.25" customHeight="1" x14ac:dyDescent="0.3">
      <c r="A71" s="328"/>
      <c r="B71" s="329"/>
      <c r="C71" s="350"/>
      <c r="D71" s="350"/>
      <c r="E71" s="350"/>
      <c r="F71" s="350"/>
      <c r="G71" s="350"/>
      <c r="H71" s="350"/>
      <c r="I71" s="351"/>
    </row>
    <row r="72" spans="1:9" s="76" customFormat="1" ht="17.25" customHeight="1" thickBot="1" x14ac:dyDescent="0.35">
      <c r="A72" s="330"/>
      <c r="B72" s="331"/>
      <c r="C72" s="362"/>
      <c r="D72" s="345"/>
      <c r="E72" s="345"/>
      <c r="F72" s="345"/>
      <c r="G72" s="345"/>
      <c r="H72" s="345"/>
      <c r="I72" s="346"/>
    </row>
    <row r="73" spans="1:9" s="76" customFormat="1" ht="17.25" customHeight="1" x14ac:dyDescent="0.3">
      <c r="A73" s="326" t="s">
        <v>50</v>
      </c>
      <c r="B73" s="327"/>
      <c r="C73" s="389"/>
      <c r="D73" s="368"/>
      <c r="E73" s="368"/>
      <c r="F73" s="368"/>
      <c r="G73" s="368"/>
      <c r="H73" s="368"/>
      <c r="I73" s="369"/>
    </row>
    <row r="74" spans="1:9" s="76" customFormat="1" ht="17.25" customHeight="1" thickBot="1" x14ac:dyDescent="0.35">
      <c r="A74" s="330"/>
      <c r="B74" s="331"/>
      <c r="C74" s="354"/>
      <c r="D74" s="352"/>
      <c r="E74" s="352"/>
      <c r="F74" s="352"/>
      <c r="G74" s="352"/>
      <c r="H74" s="352"/>
      <c r="I74" s="353"/>
    </row>
    <row r="75" spans="1:9" s="76" customFormat="1" ht="17.25" customHeight="1" x14ac:dyDescent="0.3">
      <c r="A75" s="326" t="s">
        <v>51</v>
      </c>
      <c r="B75" s="327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/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/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375" t="s">
        <v>61</v>
      </c>
      <c r="B78" s="376"/>
      <c r="C78" s="382" t="s">
        <v>62</v>
      </c>
      <c r="D78" s="383"/>
      <c r="E78" s="384" t="s">
        <v>63</v>
      </c>
      <c r="F78" s="383"/>
      <c r="G78" s="385" t="s">
        <v>64</v>
      </c>
      <c r="H78" s="386"/>
      <c r="I78" s="90" t="s">
        <v>65</v>
      </c>
    </row>
    <row r="79" spans="1:9" s="76" customFormat="1" ht="17.25" customHeight="1" thickBot="1" x14ac:dyDescent="0.35">
      <c r="A79" s="377"/>
      <c r="B79" s="378"/>
      <c r="C79" s="92"/>
      <c r="D79" s="93"/>
      <c r="E79" s="94"/>
      <c r="F79" s="93"/>
      <c r="G79" s="387"/>
      <c r="H79" s="388"/>
      <c r="I79" s="95"/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372" t="s">
        <v>66</v>
      </c>
      <c r="I80" s="372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1:I1"/>
    <mergeCell ref="A2:B2"/>
    <mergeCell ref="C2:D2"/>
    <mergeCell ref="E2:E3"/>
    <mergeCell ref="F2:G2"/>
    <mergeCell ref="H2:I2"/>
    <mergeCell ref="A3:B3"/>
    <mergeCell ref="F3:G3"/>
    <mergeCell ref="H3:I3"/>
    <mergeCell ref="A4:H4"/>
    <mergeCell ref="A7:H7"/>
    <mergeCell ref="A9:A11"/>
    <mergeCell ref="B9:B11"/>
    <mergeCell ref="C9:D9"/>
    <mergeCell ref="E9:F9"/>
    <mergeCell ref="G9:H9"/>
    <mergeCell ref="A12:A51"/>
    <mergeCell ref="A52:B56"/>
    <mergeCell ref="C53:C54"/>
    <mergeCell ref="D53:D54"/>
    <mergeCell ref="E53:E54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zoomScale="90" zoomScaleNormal="90" workbookViewId="0">
      <selection activeCell="A4" sqref="A4:H4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296" t="s">
        <v>0</v>
      </c>
      <c r="B1" s="297"/>
      <c r="C1" s="297"/>
      <c r="D1" s="297"/>
      <c r="E1" s="297"/>
      <c r="F1" s="297"/>
      <c r="G1" s="297"/>
      <c r="H1" s="297"/>
      <c r="I1" s="298"/>
    </row>
    <row r="2" spans="1:9" x14ac:dyDescent="0.3">
      <c r="A2" s="299" t="s">
        <v>1</v>
      </c>
      <c r="B2" s="300"/>
      <c r="C2" s="301" t="s">
        <v>105</v>
      </c>
      <c r="D2" s="302"/>
      <c r="E2" s="303" t="s">
        <v>77</v>
      </c>
      <c r="F2" s="305" t="s">
        <v>2</v>
      </c>
      <c r="G2" s="306"/>
      <c r="H2" s="307" t="s">
        <v>76</v>
      </c>
      <c r="I2" s="308"/>
    </row>
    <row r="3" spans="1:9" x14ac:dyDescent="0.3">
      <c r="A3" s="309" t="s">
        <v>3</v>
      </c>
      <c r="B3" s="310"/>
      <c r="C3" s="4"/>
      <c r="D3" s="5" t="s">
        <v>4</v>
      </c>
      <c r="E3" s="304"/>
      <c r="F3" s="311"/>
      <c r="G3" s="312"/>
      <c r="H3" s="313">
        <f>G11+'30일'!H3:I3</f>
        <v>54353900</v>
      </c>
      <c r="I3" s="314"/>
    </row>
    <row r="4" spans="1:9" ht="7.5" customHeight="1" x14ac:dyDescent="0.3">
      <c r="A4" s="315"/>
      <c r="B4" s="316"/>
      <c r="C4" s="316"/>
      <c r="D4" s="316"/>
      <c r="E4" s="316"/>
      <c r="F4" s="316"/>
      <c r="G4" s="316"/>
      <c r="H4" s="316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/>
      <c r="F6" s="15"/>
      <c r="G6" s="16"/>
      <c r="H6" s="17"/>
      <c r="I6" s="18"/>
    </row>
    <row r="7" spans="1:9" ht="7.5" customHeight="1" x14ac:dyDescent="0.3">
      <c r="A7" s="315"/>
      <c r="B7" s="316"/>
      <c r="C7" s="316"/>
      <c r="D7" s="316"/>
      <c r="E7" s="316"/>
      <c r="F7" s="316"/>
      <c r="G7" s="316"/>
      <c r="H7" s="316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79" t="s">
        <v>10</v>
      </c>
      <c r="B9" s="317" t="s">
        <v>11</v>
      </c>
      <c r="C9" s="320" t="s">
        <v>68</v>
      </c>
      <c r="D9" s="303"/>
      <c r="E9" s="303" t="s">
        <v>67</v>
      </c>
      <c r="F9" s="303"/>
      <c r="G9" s="303" t="s">
        <v>69</v>
      </c>
      <c r="H9" s="303"/>
      <c r="I9" s="373" t="s">
        <v>78</v>
      </c>
    </row>
    <row r="10" spans="1:9" ht="18" customHeight="1" x14ac:dyDescent="0.3">
      <c r="A10" s="380"/>
      <c r="B10" s="318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74"/>
    </row>
    <row r="11" spans="1:9" ht="17.25" thickBot="1" x14ac:dyDescent="0.35">
      <c r="A11" s="381"/>
      <c r="B11" s="319"/>
      <c r="C11" s="101"/>
      <c r="D11" s="102"/>
      <c r="E11" s="109">
        <f>SUM(E55:I56)</f>
        <v>0</v>
      </c>
      <c r="F11" s="109">
        <f>SUM(E53:I54)</f>
        <v>0</v>
      </c>
      <c r="G11" s="110">
        <f>C11+E11</f>
        <v>0</v>
      </c>
      <c r="H11" s="110">
        <f>D11+F11</f>
        <v>0</v>
      </c>
      <c r="I11" s="111" t="e">
        <f>G11/H11</f>
        <v>#DIV/0!</v>
      </c>
    </row>
    <row r="12" spans="1:9" ht="30" customHeight="1" x14ac:dyDescent="0.3">
      <c r="A12" s="321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24" t="s">
        <v>19</v>
      </c>
      <c r="G12" s="325"/>
      <c r="H12" s="158" t="s">
        <v>20</v>
      </c>
      <c r="I12" s="100" t="s">
        <v>21</v>
      </c>
    </row>
    <row r="13" spans="1:9" ht="17.25" customHeight="1" x14ac:dyDescent="0.3">
      <c r="A13" s="322"/>
      <c r="B13" s="21" t="s">
        <v>23</v>
      </c>
      <c r="C13" s="22"/>
      <c r="D13" s="23"/>
      <c r="E13" s="22"/>
      <c r="F13" s="24"/>
      <c r="G13" s="25"/>
      <c r="H13" s="23"/>
      <c r="I13" s="26">
        <f>C13-D13-D14*1/2-E13-E14*1/2+F13-H13-H14*1/2-I14*1/2</f>
        <v>0</v>
      </c>
    </row>
    <row r="14" spans="1:9" ht="17.25" customHeight="1" x14ac:dyDescent="0.3">
      <c r="A14" s="322"/>
      <c r="B14" s="27" t="s">
        <v>24</v>
      </c>
      <c r="C14" s="28"/>
      <c r="D14" s="29"/>
      <c r="E14" s="30"/>
      <c r="F14" s="31"/>
      <c r="G14" s="25"/>
      <c r="H14" s="29"/>
      <c r="I14" s="32"/>
    </row>
    <row r="15" spans="1:9" ht="17.25" customHeight="1" x14ac:dyDescent="0.3">
      <c r="A15" s="322"/>
      <c r="B15" s="27" t="s">
        <v>25</v>
      </c>
      <c r="C15" s="33"/>
      <c r="D15" s="29"/>
      <c r="E15" s="30"/>
      <c r="F15" s="34"/>
      <c r="G15" s="25"/>
      <c r="H15" s="29"/>
      <c r="I15" s="35">
        <f>C15-D15-D16*1/2-E15-E16*1/2+F15-H15-H16*1/2-I16*1/2</f>
        <v>0</v>
      </c>
    </row>
    <row r="16" spans="1:9" ht="17.25" customHeight="1" x14ac:dyDescent="0.3">
      <c r="A16" s="322"/>
      <c r="B16" s="27" t="s">
        <v>26</v>
      </c>
      <c r="C16" s="28"/>
      <c r="D16" s="29"/>
      <c r="E16" s="30"/>
      <c r="F16" s="31"/>
      <c r="G16" s="25"/>
      <c r="H16" s="29"/>
      <c r="I16" s="36"/>
    </row>
    <row r="17" spans="1:9" ht="17.25" customHeight="1" x14ac:dyDescent="0.3">
      <c r="A17" s="322"/>
      <c r="B17" s="27" t="s">
        <v>27</v>
      </c>
      <c r="C17" s="33"/>
      <c r="D17" s="29"/>
      <c r="E17" s="30"/>
      <c r="F17" s="34"/>
      <c r="G17" s="118"/>
      <c r="H17" s="29"/>
      <c r="I17" s="37">
        <f>C17-D17-D18*1/2-E17-E18*1/2+F17-H17-H18*1/2-I18*1/2</f>
        <v>0</v>
      </c>
    </row>
    <row r="18" spans="1:9" ht="17.25" customHeight="1" x14ac:dyDescent="0.3">
      <c r="A18" s="322"/>
      <c r="B18" s="27" t="s">
        <v>28</v>
      </c>
      <c r="C18" s="28"/>
      <c r="D18" s="29"/>
      <c r="E18" s="30"/>
      <c r="F18" s="31"/>
      <c r="G18" s="25"/>
      <c r="H18" s="29"/>
      <c r="I18" s="36"/>
    </row>
    <row r="19" spans="1:9" ht="17.25" customHeight="1" x14ac:dyDescent="0.3">
      <c r="A19" s="322"/>
      <c r="B19" s="27" t="s">
        <v>29</v>
      </c>
      <c r="C19" s="33"/>
      <c r="D19" s="29"/>
      <c r="E19" s="30"/>
      <c r="F19" s="34"/>
      <c r="G19" s="25"/>
      <c r="H19" s="29"/>
      <c r="I19" s="35">
        <f>C19-D19-D20*1/2-E19-E20*1/2+F19-H19-H20*1/2-I20*1/2</f>
        <v>0</v>
      </c>
    </row>
    <row r="20" spans="1:9" ht="17.25" customHeight="1" x14ac:dyDescent="0.3">
      <c r="A20" s="322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22"/>
      <c r="B21" s="39" t="s">
        <v>31</v>
      </c>
      <c r="C21" s="40"/>
      <c r="D21" s="41"/>
      <c r="E21" s="42"/>
      <c r="F21" s="43"/>
      <c r="G21" s="44"/>
      <c r="H21" s="43"/>
      <c r="I21" s="45">
        <f t="shared" ref="I21:I48" si="0">C21-D21-E21+F21-H21</f>
        <v>0</v>
      </c>
    </row>
    <row r="22" spans="1:9" ht="17.25" customHeight="1" x14ac:dyDescent="0.3">
      <c r="A22" s="322"/>
      <c r="B22" s="21" t="s">
        <v>32</v>
      </c>
      <c r="C22" s="46"/>
      <c r="D22" s="23"/>
      <c r="E22" s="47"/>
      <c r="F22" s="48"/>
      <c r="G22" s="25"/>
      <c r="H22" s="48"/>
      <c r="I22" s="49">
        <f t="shared" si="0"/>
        <v>0</v>
      </c>
    </row>
    <row r="23" spans="1:9" ht="17.25" customHeight="1" x14ac:dyDescent="0.3">
      <c r="A23" s="322"/>
      <c r="B23" s="27" t="s">
        <v>33</v>
      </c>
      <c r="C23" s="33"/>
      <c r="D23" s="29"/>
      <c r="E23" s="50"/>
      <c r="F23" s="51"/>
      <c r="G23" s="25"/>
      <c r="H23" s="51"/>
      <c r="I23" s="52">
        <f>C23-D23-D24-E23-E24+F23+F24-H23-H24-I24</f>
        <v>0</v>
      </c>
    </row>
    <row r="24" spans="1:9" ht="17.25" customHeight="1" x14ac:dyDescent="0.3">
      <c r="A24" s="322"/>
      <c r="B24" s="160" t="s">
        <v>34</v>
      </c>
      <c r="C24" s="53"/>
      <c r="D24" s="41"/>
      <c r="E24" s="42"/>
      <c r="F24" s="43"/>
      <c r="G24" s="113"/>
      <c r="H24" s="43"/>
      <c r="I24" s="54"/>
    </row>
    <row r="25" spans="1:9" ht="17.25" customHeight="1" x14ac:dyDescent="0.3">
      <c r="A25" s="322"/>
      <c r="B25" s="21" t="s">
        <v>35</v>
      </c>
      <c r="C25" s="46"/>
      <c r="D25" s="23"/>
      <c r="E25" s="47"/>
      <c r="F25" s="48"/>
      <c r="G25" s="112"/>
      <c r="H25" s="48"/>
      <c r="I25" s="49">
        <f t="shared" si="0"/>
        <v>0</v>
      </c>
    </row>
    <row r="26" spans="1:9" ht="17.25" customHeight="1" x14ac:dyDescent="0.3">
      <c r="A26" s="322"/>
      <c r="B26" s="160" t="s">
        <v>36</v>
      </c>
      <c r="C26" s="55"/>
      <c r="D26" s="41"/>
      <c r="E26" s="42"/>
      <c r="F26" s="43"/>
      <c r="G26" s="113"/>
      <c r="H26" s="43"/>
      <c r="I26" s="45">
        <f t="shared" si="0"/>
        <v>0</v>
      </c>
    </row>
    <row r="27" spans="1:9" ht="17.25" customHeight="1" x14ac:dyDescent="0.3">
      <c r="A27" s="322"/>
      <c r="B27" s="21" t="s">
        <v>37</v>
      </c>
      <c r="C27" s="46"/>
      <c r="D27" s="23"/>
      <c r="E27" s="47"/>
      <c r="F27" s="48"/>
      <c r="G27" s="112"/>
      <c r="H27" s="48"/>
      <c r="I27" s="49">
        <f t="shared" si="0"/>
        <v>0</v>
      </c>
    </row>
    <row r="28" spans="1:9" ht="17.25" customHeight="1" x14ac:dyDescent="0.3">
      <c r="A28" s="322"/>
      <c r="B28" s="160" t="s">
        <v>38</v>
      </c>
      <c r="C28" s="55"/>
      <c r="D28" s="41"/>
      <c r="E28" s="42"/>
      <c r="F28" s="43"/>
      <c r="G28" s="113"/>
      <c r="H28" s="43"/>
      <c r="I28" s="45">
        <f t="shared" si="0"/>
        <v>0</v>
      </c>
    </row>
    <row r="29" spans="1:9" ht="17.25" customHeight="1" x14ac:dyDescent="0.3">
      <c r="A29" s="322"/>
      <c r="B29" s="21" t="s">
        <v>39</v>
      </c>
      <c r="C29" s="46"/>
      <c r="D29" s="23"/>
      <c r="E29" s="47"/>
      <c r="F29" s="48"/>
      <c r="G29" s="25"/>
      <c r="H29" s="48"/>
      <c r="I29" s="49">
        <f t="shared" si="0"/>
        <v>0</v>
      </c>
    </row>
    <row r="30" spans="1:9" ht="17.25" customHeight="1" x14ac:dyDescent="0.3">
      <c r="A30" s="322"/>
      <c r="B30" s="56" t="s">
        <v>40</v>
      </c>
      <c r="C30" s="57"/>
      <c r="D30" s="29"/>
      <c r="E30" s="50"/>
      <c r="F30" s="51"/>
      <c r="G30" s="25"/>
      <c r="H30" s="51"/>
      <c r="I30" s="52">
        <f>C30-D30-D31-E30-E31+F30+F31-H30-H31-I31</f>
        <v>0</v>
      </c>
    </row>
    <row r="31" spans="1:9" ht="17.25" customHeight="1" x14ac:dyDescent="0.3">
      <c r="A31" s="322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22"/>
      <c r="B32" s="179" t="s">
        <v>117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22"/>
      <c r="B33" s="179" t="s">
        <v>119</v>
      </c>
      <c r="C33" s="185"/>
      <c r="D33" s="29"/>
      <c r="E33" s="50"/>
      <c r="F33" s="51"/>
      <c r="G33" s="25"/>
      <c r="H33" s="51"/>
      <c r="I33" s="188"/>
    </row>
    <row r="34" spans="1:9" ht="17.25" customHeight="1" x14ac:dyDescent="0.3">
      <c r="A34" s="322"/>
      <c r="B34" s="179" t="s">
        <v>121</v>
      </c>
      <c r="C34" s="186"/>
      <c r="D34" s="60"/>
      <c r="E34" s="61"/>
      <c r="F34" s="62"/>
      <c r="G34" s="113"/>
      <c r="H34" s="62"/>
      <c r="I34" s="189"/>
    </row>
    <row r="35" spans="1:9" ht="17.25" customHeight="1" x14ac:dyDescent="0.3">
      <c r="A35" s="322"/>
      <c r="B35" s="191" t="s">
        <v>79</v>
      </c>
      <c r="C35" s="281"/>
      <c r="D35" s="23"/>
      <c r="E35" s="47"/>
      <c r="F35" s="48"/>
      <c r="G35" s="116"/>
      <c r="H35" s="48"/>
      <c r="I35" s="282"/>
    </row>
    <row r="36" spans="1:9" ht="17.25" customHeight="1" x14ac:dyDescent="0.3">
      <c r="A36" s="322"/>
      <c r="B36" s="153" t="s">
        <v>80</v>
      </c>
      <c r="C36" s="121"/>
      <c r="D36" s="122"/>
      <c r="E36" s="123"/>
      <c r="F36" s="124"/>
      <c r="G36" s="112"/>
      <c r="H36" s="124"/>
      <c r="I36" s="52">
        <f>C36-D36-E36+F36-H36</f>
        <v>0</v>
      </c>
    </row>
    <row r="37" spans="1:9" ht="17.25" customHeight="1" x14ac:dyDescent="0.3">
      <c r="A37" s="322"/>
      <c r="B37" s="163" t="s">
        <v>107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22"/>
      <c r="B38" s="178" t="s">
        <v>131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22"/>
      <c r="B39" s="178" t="s">
        <v>109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22"/>
      <c r="B40" s="178" t="s">
        <v>133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22"/>
      <c r="B41" s="178" t="s">
        <v>111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22"/>
      <c r="B42" s="178" t="s">
        <v>135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22"/>
      <c r="B43" s="178" t="s">
        <v>113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22"/>
      <c r="B44" s="178" t="s">
        <v>125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22"/>
      <c r="B45" s="164" t="s">
        <v>115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22"/>
      <c r="B46" s="120" t="s">
        <v>89</v>
      </c>
      <c r="C46" s="154"/>
      <c r="D46" s="23"/>
      <c r="E46" s="47"/>
      <c r="F46" s="48"/>
      <c r="G46" s="116"/>
      <c r="H46" s="48"/>
      <c r="I46" s="49">
        <f t="shared" si="0"/>
        <v>0</v>
      </c>
    </row>
    <row r="47" spans="1:9" ht="17.25" customHeight="1" x14ac:dyDescent="0.3">
      <c r="A47" s="322"/>
      <c r="B47" s="120" t="s">
        <v>88</v>
      </c>
      <c r="C47" s="121"/>
      <c r="D47" s="122"/>
      <c r="E47" s="123"/>
      <c r="F47" s="124"/>
      <c r="G47" s="112"/>
      <c r="H47" s="124"/>
      <c r="I47" s="52">
        <f t="shared" si="0"/>
        <v>0</v>
      </c>
    </row>
    <row r="48" spans="1:9" ht="17.25" customHeight="1" x14ac:dyDescent="0.3">
      <c r="A48" s="322"/>
      <c r="B48" s="56" t="s">
        <v>123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22"/>
      <c r="B49" s="179" t="s">
        <v>127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22"/>
      <c r="B50" s="58" t="s">
        <v>129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23"/>
      <c r="B51" s="64" t="s">
        <v>42</v>
      </c>
      <c r="C51" s="65">
        <f>SUM(C13:C50)</f>
        <v>0</v>
      </c>
      <c r="D51" s="66">
        <f>SUM(D13:D46)</f>
        <v>0</v>
      </c>
      <c r="E51" s="67">
        <f>SUM(E13:E46)</f>
        <v>0</v>
      </c>
      <c r="F51" s="67">
        <f>SUM(F13:F46)</f>
        <v>0</v>
      </c>
      <c r="G51" s="68" t="s">
        <v>22</v>
      </c>
      <c r="H51" s="69">
        <f>SUM(H13:H46)</f>
        <v>0</v>
      </c>
      <c r="I51" s="70">
        <f>SUM(I13:I46)</f>
        <v>0</v>
      </c>
    </row>
    <row r="52" spans="1:10" ht="17.25" customHeight="1" x14ac:dyDescent="0.3">
      <c r="A52" s="326" t="s">
        <v>72</v>
      </c>
      <c r="B52" s="327"/>
      <c r="C52" s="71"/>
      <c r="D52" s="72" t="s">
        <v>163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28"/>
      <c r="B53" s="329"/>
      <c r="C53" s="332" t="s">
        <v>74</v>
      </c>
      <c r="D53" s="334"/>
      <c r="E53" s="336"/>
      <c r="F53" s="336"/>
      <c r="G53" s="336"/>
      <c r="H53" s="336"/>
      <c r="I53" s="339"/>
      <c r="J53" s="174"/>
    </row>
    <row r="54" spans="1:10" s="76" customFormat="1" ht="17.25" customHeight="1" x14ac:dyDescent="0.3">
      <c r="A54" s="328"/>
      <c r="B54" s="329"/>
      <c r="C54" s="333"/>
      <c r="D54" s="335"/>
      <c r="E54" s="337"/>
      <c r="F54" s="337"/>
      <c r="G54" s="337"/>
      <c r="H54" s="338"/>
      <c r="I54" s="340"/>
    </row>
    <row r="55" spans="1:10" s="76" customFormat="1" ht="17.25" customHeight="1" x14ac:dyDescent="0.3">
      <c r="A55" s="328"/>
      <c r="B55" s="329"/>
      <c r="C55" s="332" t="s">
        <v>75</v>
      </c>
      <c r="D55" s="334"/>
      <c r="E55" s="343"/>
      <c r="F55" s="343"/>
      <c r="G55" s="343"/>
      <c r="H55" s="336"/>
      <c r="I55" s="347"/>
    </row>
    <row r="56" spans="1:10" s="76" customFormat="1" ht="17.25" customHeight="1" thickBot="1" x14ac:dyDescent="0.35">
      <c r="A56" s="330"/>
      <c r="B56" s="331"/>
      <c r="C56" s="341"/>
      <c r="D56" s="342"/>
      <c r="E56" s="344"/>
      <c r="F56" s="344"/>
      <c r="G56" s="344"/>
      <c r="H56" s="344"/>
      <c r="I56" s="348"/>
    </row>
    <row r="57" spans="1:10" s="76" customFormat="1" ht="17.25" customHeight="1" x14ac:dyDescent="0.3">
      <c r="A57" s="326" t="s">
        <v>45</v>
      </c>
      <c r="B57" s="327"/>
      <c r="C57" s="349"/>
      <c r="D57" s="350"/>
      <c r="E57" s="350"/>
      <c r="F57" s="350"/>
      <c r="G57" s="350"/>
      <c r="H57" s="350"/>
      <c r="I57" s="351"/>
    </row>
    <row r="58" spans="1:10" s="76" customFormat="1" ht="17.25" customHeight="1" x14ac:dyDescent="0.3">
      <c r="A58" s="328"/>
      <c r="B58" s="329"/>
      <c r="C58" s="352"/>
      <c r="D58" s="352"/>
      <c r="E58" s="352"/>
      <c r="F58" s="352"/>
      <c r="G58" s="352"/>
      <c r="H58" s="352"/>
      <c r="I58" s="353"/>
    </row>
    <row r="59" spans="1:10" s="76" customFormat="1" ht="17.25" customHeight="1" x14ac:dyDescent="0.3">
      <c r="A59" s="328"/>
      <c r="B59" s="329"/>
      <c r="C59" s="354"/>
      <c r="D59" s="352"/>
      <c r="E59" s="352"/>
      <c r="F59" s="352"/>
      <c r="G59" s="352"/>
      <c r="H59" s="352"/>
      <c r="I59" s="353"/>
    </row>
    <row r="60" spans="1:10" s="76" customFormat="1" ht="17.25" customHeight="1" thickBot="1" x14ac:dyDescent="0.35">
      <c r="A60" s="330"/>
      <c r="B60" s="331"/>
      <c r="C60" s="345"/>
      <c r="D60" s="345"/>
      <c r="E60" s="345"/>
      <c r="F60" s="345"/>
      <c r="G60" s="345"/>
      <c r="H60" s="345"/>
      <c r="I60" s="346"/>
    </row>
    <row r="61" spans="1:10" s="76" customFormat="1" ht="17.25" customHeight="1" x14ac:dyDescent="0.3">
      <c r="A61" s="326" t="s">
        <v>73</v>
      </c>
      <c r="B61" s="327"/>
      <c r="C61" s="389"/>
      <c r="D61" s="368"/>
      <c r="E61" s="368"/>
      <c r="F61" s="368"/>
      <c r="G61" s="368"/>
      <c r="H61" s="368"/>
      <c r="I61" s="369"/>
    </row>
    <row r="62" spans="1:10" s="76" customFormat="1" ht="17.25" customHeight="1" x14ac:dyDescent="0.3">
      <c r="A62" s="328"/>
      <c r="B62" s="329"/>
      <c r="C62" s="393"/>
      <c r="D62" s="394"/>
      <c r="E62" s="394"/>
      <c r="F62" s="394"/>
      <c r="G62" s="394"/>
      <c r="H62" s="394"/>
      <c r="I62" s="395"/>
    </row>
    <row r="63" spans="1:10" s="76" customFormat="1" ht="17.25" customHeight="1" x14ac:dyDescent="0.3">
      <c r="A63" s="328"/>
      <c r="B63" s="329"/>
      <c r="C63" s="393"/>
      <c r="D63" s="394"/>
      <c r="E63" s="394"/>
      <c r="F63" s="394"/>
      <c r="G63" s="394"/>
      <c r="H63" s="394"/>
      <c r="I63" s="395"/>
    </row>
    <row r="64" spans="1:10" s="76" customFormat="1" ht="17.25" customHeight="1" thickBot="1" x14ac:dyDescent="0.35">
      <c r="A64" s="330"/>
      <c r="B64" s="331"/>
      <c r="C64" s="345"/>
      <c r="D64" s="345"/>
      <c r="E64" s="345"/>
      <c r="F64" s="345"/>
      <c r="G64" s="345"/>
      <c r="H64" s="345"/>
      <c r="I64" s="346"/>
    </row>
    <row r="65" spans="1:9" s="76" customFormat="1" ht="17.25" customHeight="1" x14ac:dyDescent="0.3">
      <c r="A65" s="363" t="s">
        <v>46</v>
      </c>
      <c r="B65" s="366" t="s">
        <v>47</v>
      </c>
      <c r="C65" s="368"/>
      <c r="D65" s="368"/>
      <c r="E65" s="368"/>
      <c r="F65" s="368"/>
      <c r="G65" s="368"/>
      <c r="H65" s="368"/>
      <c r="I65" s="369"/>
    </row>
    <row r="66" spans="1:9" s="76" customFormat="1" ht="17.25" customHeight="1" x14ac:dyDescent="0.3">
      <c r="A66" s="364"/>
      <c r="B66" s="367"/>
      <c r="C66" s="350"/>
      <c r="D66" s="350"/>
      <c r="E66" s="350"/>
      <c r="F66" s="350"/>
      <c r="G66" s="350"/>
      <c r="H66" s="350"/>
      <c r="I66" s="351"/>
    </row>
    <row r="67" spans="1:9" s="76" customFormat="1" ht="17.25" customHeight="1" x14ac:dyDescent="0.3">
      <c r="A67" s="364"/>
      <c r="B67" s="370" t="s">
        <v>48</v>
      </c>
      <c r="C67" s="352"/>
      <c r="D67" s="352"/>
      <c r="E67" s="352"/>
      <c r="F67" s="352"/>
      <c r="G67" s="352"/>
      <c r="H67" s="352"/>
      <c r="I67" s="353"/>
    </row>
    <row r="68" spans="1:9" s="76" customFormat="1" ht="17.25" customHeight="1" x14ac:dyDescent="0.3">
      <c r="A68" s="364"/>
      <c r="B68" s="367"/>
      <c r="C68" s="350"/>
      <c r="D68" s="350"/>
      <c r="E68" s="350"/>
      <c r="F68" s="350"/>
      <c r="G68" s="350"/>
      <c r="H68" s="350"/>
      <c r="I68" s="351"/>
    </row>
    <row r="69" spans="1:9" s="76" customFormat="1" ht="17.25" customHeight="1" thickBot="1" x14ac:dyDescent="0.35">
      <c r="A69" s="365"/>
      <c r="B69" s="371"/>
      <c r="C69" s="362"/>
      <c r="D69" s="345"/>
      <c r="E69" s="345"/>
      <c r="F69" s="345"/>
      <c r="G69" s="345"/>
      <c r="H69" s="345"/>
      <c r="I69" s="346"/>
    </row>
    <row r="70" spans="1:9" s="76" customFormat="1" ht="17.25" customHeight="1" x14ac:dyDescent="0.3">
      <c r="A70" s="326" t="s">
        <v>49</v>
      </c>
      <c r="B70" s="327"/>
      <c r="C70" s="350"/>
      <c r="D70" s="350"/>
      <c r="E70" s="350"/>
      <c r="F70" s="350"/>
      <c r="G70" s="350"/>
      <c r="H70" s="350"/>
      <c r="I70" s="351"/>
    </row>
    <row r="71" spans="1:9" s="76" customFormat="1" ht="17.25" customHeight="1" x14ac:dyDescent="0.3">
      <c r="A71" s="328"/>
      <c r="B71" s="329"/>
      <c r="C71" s="350"/>
      <c r="D71" s="350"/>
      <c r="E71" s="350"/>
      <c r="F71" s="350"/>
      <c r="G71" s="350"/>
      <c r="H71" s="350"/>
      <c r="I71" s="351"/>
    </row>
    <row r="72" spans="1:9" s="76" customFormat="1" ht="17.25" customHeight="1" thickBot="1" x14ac:dyDescent="0.35">
      <c r="A72" s="330"/>
      <c r="B72" s="331"/>
      <c r="C72" s="362"/>
      <c r="D72" s="345"/>
      <c r="E72" s="345"/>
      <c r="F72" s="345"/>
      <c r="G72" s="345"/>
      <c r="H72" s="345"/>
      <c r="I72" s="346"/>
    </row>
    <row r="73" spans="1:9" s="76" customFormat="1" ht="17.25" customHeight="1" x14ac:dyDescent="0.3">
      <c r="A73" s="326" t="s">
        <v>50</v>
      </c>
      <c r="B73" s="327"/>
      <c r="C73" s="389"/>
      <c r="D73" s="368"/>
      <c r="E73" s="368"/>
      <c r="F73" s="368"/>
      <c r="G73" s="368"/>
      <c r="H73" s="368"/>
      <c r="I73" s="369"/>
    </row>
    <row r="74" spans="1:9" s="76" customFormat="1" ht="17.25" customHeight="1" thickBot="1" x14ac:dyDescent="0.35">
      <c r="A74" s="330"/>
      <c r="B74" s="331"/>
      <c r="C74" s="354"/>
      <c r="D74" s="352"/>
      <c r="E74" s="352"/>
      <c r="F74" s="352"/>
      <c r="G74" s="352"/>
      <c r="H74" s="352"/>
      <c r="I74" s="353"/>
    </row>
    <row r="75" spans="1:9" s="76" customFormat="1" ht="17.25" customHeight="1" x14ac:dyDescent="0.3">
      <c r="A75" s="326" t="s">
        <v>51</v>
      </c>
      <c r="B75" s="327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/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/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375" t="s">
        <v>61</v>
      </c>
      <c r="B78" s="376"/>
      <c r="C78" s="382" t="s">
        <v>62</v>
      </c>
      <c r="D78" s="383"/>
      <c r="E78" s="384" t="s">
        <v>63</v>
      </c>
      <c r="F78" s="383"/>
      <c r="G78" s="385" t="s">
        <v>64</v>
      </c>
      <c r="H78" s="386"/>
      <c r="I78" s="90" t="s">
        <v>65</v>
      </c>
    </row>
    <row r="79" spans="1:9" s="76" customFormat="1" ht="17.25" customHeight="1" thickBot="1" x14ac:dyDescent="0.35">
      <c r="A79" s="377"/>
      <c r="B79" s="378"/>
      <c r="C79" s="92"/>
      <c r="D79" s="93"/>
      <c r="E79" s="94"/>
      <c r="F79" s="93"/>
      <c r="G79" s="387"/>
      <c r="H79" s="388"/>
      <c r="I79" s="95"/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372" t="s">
        <v>66</v>
      </c>
      <c r="I80" s="372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1:I1"/>
    <mergeCell ref="A2:B2"/>
    <mergeCell ref="C2:D2"/>
    <mergeCell ref="E2:E3"/>
    <mergeCell ref="F2:G2"/>
    <mergeCell ref="H2:I2"/>
    <mergeCell ref="A3:B3"/>
    <mergeCell ref="F3:G3"/>
    <mergeCell ref="H3:I3"/>
    <mergeCell ref="A4:H4"/>
    <mergeCell ref="A7:H7"/>
    <mergeCell ref="A9:A11"/>
    <mergeCell ref="B9:B11"/>
    <mergeCell ref="C9:D9"/>
    <mergeCell ref="E9:F9"/>
    <mergeCell ref="G9:H9"/>
    <mergeCell ref="A12:A51"/>
    <mergeCell ref="A52:B56"/>
    <mergeCell ref="C53:C54"/>
    <mergeCell ref="D53:D54"/>
    <mergeCell ref="E53:E54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N52"/>
  <sheetViews>
    <sheetView zoomScale="90" zoomScaleNormal="90" workbookViewId="0">
      <selection activeCell="I12" sqref="I12"/>
    </sheetView>
  </sheetViews>
  <sheetFormatPr defaultColWidth="9" defaultRowHeight="16.5" x14ac:dyDescent="0.3"/>
  <cols>
    <col min="1" max="1" width="7.875" style="2" customWidth="1"/>
    <col min="2" max="2" width="15.625" style="2" customWidth="1"/>
    <col min="3" max="9" width="13.375" style="2" customWidth="1"/>
    <col min="10" max="10" width="1.375" style="134" customWidth="1"/>
    <col min="11" max="11" width="18.125" style="134" customWidth="1"/>
    <col min="12" max="12" width="9.5" style="2" bestFit="1" customWidth="1"/>
    <col min="13" max="16384" width="9" style="2"/>
  </cols>
  <sheetData>
    <row r="1" spans="1:14" ht="39" thickBot="1" x14ac:dyDescent="0.35">
      <c r="A1" s="296" t="s">
        <v>0</v>
      </c>
      <c r="B1" s="297"/>
      <c r="C1" s="297"/>
      <c r="D1" s="297"/>
      <c r="E1" s="297"/>
      <c r="F1" s="297"/>
      <c r="G1" s="297"/>
      <c r="H1" s="297"/>
      <c r="I1" s="298"/>
      <c r="J1" s="132"/>
      <c r="K1" s="132"/>
    </row>
    <row r="2" spans="1:14" x14ac:dyDescent="0.3">
      <c r="A2" s="299" t="s">
        <v>1</v>
      </c>
      <c r="B2" s="300"/>
      <c r="C2" s="301" t="s">
        <v>81</v>
      </c>
      <c r="D2" s="302"/>
      <c r="E2" s="303" t="s">
        <v>77</v>
      </c>
      <c r="F2" s="305" t="s">
        <v>2</v>
      </c>
      <c r="G2" s="306"/>
      <c r="H2" s="307" t="s">
        <v>76</v>
      </c>
      <c r="I2" s="308"/>
      <c r="J2" s="133"/>
      <c r="K2" s="133"/>
    </row>
    <row r="3" spans="1:14" x14ac:dyDescent="0.3">
      <c r="A3" s="309" t="s">
        <v>3</v>
      </c>
      <c r="B3" s="310"/>
      <c r="C3" s="4"/>
      <c r="D3" s="5" t="s">
        <v>4</v>
      </c>
      <c r="E3" s="304"/>
      <c r="F3" s="311"/>
      <c r="G3" s="312"/>
      <c r="H3" s="313">
        <f>G11</f>
        <v>54353900</v>
      </c>
      <c r="I3" s="314"/>
      <c r="J3" s="133"/>
      <c r="K3" s="133"/>
    </row>
    <row r="4" spans="1:14" hidden="1" x14ac:dyDescent="0.3">
      <c r="A4" s="166"/>
      <c r="B4" s="167"/>
      <c r="C4" s="168"/>
      <c r="D4" s="119"/>
      <c r="E4" s="169"/>
      <c r="F4" s="161"/>
      <c r="G4" s="84"/>
      <c r="H4" s="170"/>
      <c r="I4" s="171"/>
      <c r="J4" s="133"/>
      <c r="K4" s="133"/>
    </row>
    <row r="5" spans="1:14" hidden="1" x14ac:dyDescent="0.3">
      <c r="A5" s="166"/>
      <c r="B5" s="167"/>
      <c r="C5" s="168"/>
      <c r="D5" s="119"/>
      <c r="E5" s="169"/>
      <c r="F5" s="161"/>
      <c r="G5" s="84"/>
      <c r="H5" s="170"/>
      <c r="I5" s="171"/>
      <c r="J5" s="133"/>
      <c r="K5" s="133"/>
    </row>
    <row r="6" spans="1:14" hidden="1" x14ac:dyDescent="0.3">
      <c r="A6" s="166"/>
      <c r="B6" s="167"/>
      <c r="C6" s="168"/>
      <c r="D6" s="119"/>
      <c r="E6" s="169"/>
      <c r="F6" s="161"/>
      <c r="G6" s="84"/>
      <c r="H6" s="170"/>
      <c r="I6" s="171"/>
      <c r="J6" s="133"/>
      <c r="K6" s="133"/>
    </row>
    <row r="7" spans="1:14" hidden="1" x14ac:dyDescent="0.3">
      <c r="A7" s="166"/>
      <c r="B7" s="167"/>
      <c r="C7" s="168"/>
      <c r="D7" s="119"/>
      <c r="E7" s="169"/>
      <c r="F7" s="161"/>
      <c r="G7" s="84"/>
      <c r="H7" s="170"/>
      <c r="I7" s="171"/>
      <c r="J7" s="133"/>
      <c r="K7" s="133"/>
    </row>
    <row r="8" spans="1:14" ht="18" customHeight="1" thickBot="1" x14ac:dyDescent="0.35">
      <c r="A8" s="114"/>
      <c r="B8" s="115"/>
      <c r="C8" s="115"/>
      <c r="D8" s="115"/>
      <c r="E8" s="115"/>
      <c r="F8" s="115"/>
      <c r="G8" s="115"/>
      <c r="H8" s="115"/>
      <c r="I8" s="6"/>
      <c r="J8" s="133"/>
      <c r="K8" s="133"/>
    </row>
    <row r="9" spans="1:14" ht="18" customHeight="1" x14ac:dyDescent="0.3">
      <c r="A9" s="379" t="s">
        <v>10</v>
      </c>
      <c r="B9" s="414" t="s">
        <v>11</v>
      </c>
      <c r="C9" s="320" t="s">
        <v>68</v>
      </c>
      <c r="D9" s="303"/>
      <c r="E9" s="303" t="s">
        <v>67</v>
      </c>
      <c r="F9" s="303"/>
      <c r="G9" s="303" t="s">
        <v>69</v>
      </c>
      <c r="H9" s="303"/>
      <c r="I9" s="373" t="s">
        <v>78</v>
      </c>
      <c r="J9" s="133"/>
      <c r="K9" s="133"/>
    </row>
    <row r="10" spans="1:14" ht="18" customHeight="1" x14ac:dyDescent="0.3">
      <c r="A10" s="380"/>
      <c r="B10" s="415"/>
      <c r="C10" s="138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74"/>
      <c r="J10" s="133"/>
      <c r="K10" s="133"/>
    </row>
    <row r="11" spans="1:14" ht="17.25" thickBot="1" x14ac:dyDescent="0.35">
      <c r="A11" s="381"/>
      <c r="B11" s="416"/>
      <c r="C11" s="125">
        <f>SUM('1일:31일'!C11)</f>
        <v>45771900</v>
      </c>
      <c r="D11" s="125">
        <f>SUM('1일:31일'!D11)</f>
        <v>3447</v>
      </c>
      <c r="E11" s="125">
        <f>SUM('1일:31일'!E11)</f>
        <v>8582000</v>
      </c>
      <c r="F11" s="125">
        <f>SUM('1일:31일'!F11)</f>
        <v>307</v>
      </c>
      <c r="G11" s="125">
        <f>SUM('1일:31일'!G11)</f>
        <v>54353900</v>
      </c>
      <c r="H11" s="125">
        <f>SUM('1일:31일'!H11)</f>
        <v>3754</v>
      </c>
      <c r="I11" s="125">
        <f>G11/H11</f>
        <v>14478.929142248269</v>
      </c>
      <c r="J11" s="133"/>
      <c r="K11" s="133"/>
    </row>
    <row r="12" spans="1:14" ht="30" customHeight="1" thickBot="1" x14ac:dyDescent="0.35">
      <c r="A12" s="419" t="s">
        <v>14</v>
      </c>
      <c r="B12" s="107" t="s">
        <v>15</v>
      </c>
      <c r="C12" s="142" t="s">
        <v>82</v>
      </c>
      <c r="D12" s="143" t="s">
        <v>83</v>
      </c>
      <c r="E12" s="144" t="s">
        <v>84</v>
      </c>
      <c r="F12" s="417" t="s">
        <v>85</v>
      </c>
      <c r="G12" s="418"/>
      <c r="H12" s="143" t="s">
        <v>86</v>
      </c>
      <c r="I12" s="145" t="s">
        <v>87</v>
      </c>
      <c r="J12" s="131"/>
      <c r="K12" s="140" t="s">
        <v>15</v>
      </c>
      <c r="L12" s="229" t="s">
        <v>92</v>
      </c>
      <c r="M12" s="230" t="s">
        <v>93</v>
      </c>
      <c r="N12" s="177" t="s">
        <v>102</v>
      </c>
    </row>
    <row r="13" spans="1:14" ht="16.5" customHeight="1" x14ac:dyDescent="0.3">
      <c r="A13" s="420"/>
      <c r="B13" s="126" t="s">
        <v>23</v>
      </c>
      <c r="C13" s="146">
        <f>SUM('1일:31일'!C13)</f>
        <v>907</v>
      </c>
      <c r="D13" s="146">
        <f>SUM('1일:31일'!D13)</f>
        <v>2</v>
      </c>
      <c r="E13" s="146">
        <f>SUM('1일:31일'!E13)</f>
        <v>1</v>
      </c>
      <c r="F13" s="146">
        <f>SUM('1일:31일'!F13)</f>
        <v>0</v>
      </c>
      <c r="G13" s="146"/>
      <c r="H13" s="146">
        <f>SUM('1일:31일'!H13)</f>
        <v>33</v>
      </c>
      <c r="I13" s="146">
        <f>SUM('1일:31일'!I13)</f>
        <v>864</v>
      </c>
      <c r="J13" s="135"/>
      <c r="K13" s="228" t="s">
        <v>23</v>
      </c>
      <c r="L13" s="232">
        <f>(I13+I14*0.5)/(C13+F13)</f>
        <v>0.9525909592061742</v>
      </c>
      <c r="M13" s="225">
        <f>1-L13</f>
        <v>4.7409040793825796E-2</v>
      </c>
      <c r="N13" s="233">
        <f>(H13+H14*0.5)/(C13+F13)</f>
        <v>3.9691289966923927E-2</v>
      </c>
    </row>
    <row r="14" spans="1:14" ht="16.5" customHeight="1" x14ac:dyDescent="0.3">
      <c r="A14" s="420"/>
      <c r="B14" s="27" t="s">
        <v>24</v>
      </c>
      <c r="C14" s="146">
        <f>SUM('1일:31일'!C14)</f>
        <v>0</v>
      </c>
      <c r="D14" s="146">
        <f>SUM('1일:31일'!D14)</f>
        <v>3</v>
      </c>
      <c r="E14" s="146">
        <f>SUM('1일:31일'!E14)</f>
        <v>5</v>
      </c>
      <c r="F14" s="146">
        <f>SUM('1일:31일'!F14)</f>
        <v>0</v>
      </c>
      <c r="G14" s="146"/>
      <c r="H14" s="146">
        <f>SUM('1일:31일'!H14)</f>
        <v>6</v>
      </c>
      <c r="I14" s="146">
        <f>SUM('1일:31일'!I14)</f>
        <v>0</v>
      </c>
      <c r="J14" s="135"/>
      <c r="K14" s="228" t="s">
        <v>24</v>
      </c>
      <c r="L14" s="234"/>
      <c r="M14" s="151"/>
      <c r="N14" s="149"/>
    </row>
    <row r="15" spans="1:14" ht="16.5" customHeight="1" x14ac:dyDescent="0.3">
      <c r="A15" s="420"/>
      <c r="B15" s="27" t="s">
        <v>25</v>
      </c>
      <c r="C15" s="146">
        <f>SUM('1일:31일'!C15)</f>
        <v>606</v>
      </c>
      <c r="D15" s="146">
        <f>SUM('1일:31일'!D15)</f>
        <v>2</v>
      </c>
      <c r="E15" s="146">
        <f>SUM('1일:31일'!E15)</f>
        <v>0</v>
      </c>
      <c r="F15" s="146">
        <f>SUM('1일:31일'!F15)</f>
        <v>0</v>
      </c>
      <c r="G15" s="146"/>
      <c r="H15" s="146">
        <f>SUM('1일:31일'!H15)</f>
        <v>43</v>
      </c>
      <c r="I15" s="146">
        <f>SUM('1일:31일'!I15)</f>
        <v>556</v>
      </c>
      <c r="J15" s="135"/>
      <c r="K15" s="228" t="s">
        <v>25</v>
      </c>
      <c r="L15" s="235">
        <f>(I15+I16*0.5)/(C15+F15)</f>
        <v>0.91749174917491749</v>
      </c>
      <c r="M15" s="150">
        <f t="shared" ref="M15:M39" si="0">1-L15</f>
        <v>8.2508250825082508E-2</v>
      </c>
      <c r="N15" s="139">
        <f>(H15+H16*0.5)/(C15+F15)</f>
        <v>7.590759075907591E-2</v>
      </c>
    </row>
    <row r="16" spans="1:14" ht="16.5" customHeight="1" x14ac:dyDescent="0.3">
      <c r="A16" s="420"/>
      <c r="B16" s="27" t="s">
        <v>26</v>
      </c>
      <c r="C16" s="146">
        <f>SUM('1일:31일'!C16)</f>
        <v>0</v>
      </c>
      <c r="D16" s="146">
        <f>SUM('1일:31일'!D16)</f>
        <v>0</v>
      </c>
      <c r="E16" s="146">
        <f>SUM('1일:31일'!E16)</f>
        <v>4</v>
      </c>
      <c r="F16" s="146">
        <f>SUM('1일:31일'!F16)</f>
        <v>0</v>
      </c>
      <c r="G16" s="146"/>
      <c r="H16" s="146">
        <f>SUM('1일:31일'!H16)</f>
        <v>6</v>
      </c>
      <c r="I16" s="146">
        <f>SUM('1일:31일'!I16)</f>
        <v>0</v>
      </c>
      <c r="J16" s="135"/>
      <c r="K16" s="228" t="s">
        <v>26</v>
      </c>
      <c r="L16" s="234"/>
      <c r="M16" s="151"/>
      <c r="N16" s="149"/>
    </row>
    <row r="17" spans="1:14" ht="16.5" customHeight="1" x14ac:dyDescent="0.3">
      <c r="A17" s="420"/>
      <c r="B17" s="27" t="s">
        <v>27</v>
      </c>
      <c r="C17" s="146">
        <f>SUM('1일:31일'!C17)</f>
        <v>780</v>
      </c>
      <c r="D17" s="146">
        <f>SUM('1일:31일'!D17)</f>
        <v>10</v>
      </c>
      <c r="E17" s="146">
        <f>SUM('1일:31일'!E17)</f>
        <v>0</v>
      </c>
      <c r="F17" s="146">
        <f>SUM('1일:31일'!F17)</f>
        <v>0</v>
      </c>
      <c r="G17" s="146"/>
      <c r="H17" s="146">
        <f>SUM('1일:31일'!H17)</f>
        <v>18</v>
      </c>
      <c r="I17" s="146">
        <f>SUM('1일:31일'!I17)</f>
        <v>739</v>
      </c>
      <c r="J17" s="135"/>
      <c r="K17" s="228" t="s">
        <v>27</v>
      </c>
      <c r="L17" s="235">
        <f t="shared" ref="L17:L19" si="1">(I17+I18*0.5)/(C17+F17)</f>
        <v>0.9474358974358974</v>
      </c>
      <c r="M17" s="150">
        <f t="shared" si="0"/>
        <v>5.2564102564102599E-2</v>
      </c>
      <c r="N17" s="139">
        <f>(H17+H18*0.5)/(C17+F17)</f>
        <v>2.3717948717948717E-2</v>
      </c>
    </row>
    <row r="18" spans="1:14" ht="16.5" customHeight="1" x14ac:dyDescent="0.3">
      <c r="A18" s="420"/>
      <c r="B18" s="27" t="s">
        <v>28</v>
      </c>
      <c r="C18" s="146">
        <f>SUM('1일:31일'!C18)</f>
        <v>0</v>
      </c>
      <c r="D18" s="146">
        <f>SUM('1일:31일'!D18)</f>
        <v>6</v>
      </c>
      <c r="E18" s="146">
        <f>SUM('1일:31일'!E18)</f>
        <v>19</v>
      </c>
      <c r="F18" s="146">
        <f>SUM('1일:31일'!F18)</f>
        <v>0</v>
      </c>
      <c r="G18" s="146"/>
      <c r="H18" s="146">
        <f>SUM('1일:31일'!H18)</f>
        <v>1</v>
      </c>
      <c r="I18" s="146">
        <f>SUM('1일:31일'!I18)</f>
        <v>0</v>
      </c>
      <c r="J18" s="135"/>
      <c r="K18" s="228" t="s">
        <v>28</v>
      </c>
      <c r="L18" s="234"/>
      <c r="M18" s="151"/>
      <c r="N18" s="149"/>
    </row>
    <row r="19" spans="1:14" ht="16.5" customHeight="1" x14ac:dyDescent="0.3">
      <c r="A19" s="420"/>
      <c r="B19" s="27" t="s">
        <v>29</v>
      </c>
      <c r="C19" s="146">
        <f>SUM('1일:31일'!C19)</f>
        <v>380</v>
      </c>
      <c r="D19" s="146">
        <f>SUM('1일:31일'!D19)</f>
        <v>7</v>
      </c>
      <c r="E19" s="146">
        <f>SUM('1일:31일'!E19)</f>
        <v>0</v>
      </c>
      <c r="F19" s="146">
        <f>SUM('1일:31일'!F19)</f>
        <v>0</v>
      </c>
      <c r="G19" s="146"/>
      <c r="H19" s="146">
        <f>SUM('1일:31일'!H19)</f>
        <v>5</v>
      </c>
      <c r="I19" s="146">
        <f>SUM('1일:31일'!I19)</f>
        <v>366</v>
      </c>
      <c r="J19" s="135"/>
      <c r="K19" s="228" t="s">
        <v>29</v>
      </c>
      <c r="L19" s="235">
        <f t="shared" si="1"/>
        <v>0.9631578947368421</v>
      </c>
      <c r="M19" s="150">
        <f t="shared" si="0"/>
        <v>3.6842105263157898E-2</v>
      </c>
      <c r="N19" s="139">
        <f>(H19+H20*0.5)/(C19+F19)</f>
        <v>1.4473684210526316E-2</v>
      </c>
    </row>
    <row r="20" spans="1:14" ht="16.5" customHeight="1" thickBot="1" x14ac:dyDescent="0.35">
      <c r="A20" s="420"/>
      <c r="B20" s="27" t="s">
        <v>30</v>
      </c>
      <c r="C20" s="146">
        <f>SUM('1일:31일'!C20)</f>
        <v>0</v>
      </c>
      <c r="D20" s="146">
        <f>SUM('1일:31일'!D20)</f>
        <v>2</v>
      </c>
      <c r="E20" s="146">
        <f>SUM('1일:31일'!E20)</f>
        <v>1</v>
      </c>
      <c r="F20" s="146">
        <f>SUM('1일:31일'!F20)</f>
        <v>0</v>
      </c>
      <c r="G20" s="146"/>
      <c r="H20" s="146">
        <f>SUM('1일:31일'!H20)</f>
        <v>1</v>
      </c>
      <c r="I20" s="146">
        <f>SUM('1일:31일'!I20)</f>
        <v>0</v>
      </c>
      <c r="J20" s="135"/>
      <c r="K20" s="228" t="s">
        <v>30</v>
      </c>
      <c r="L20" s="236"/>
      <c r="M20" s="193"/>
      <c r="N20" s="237"/>
    </row>
    <row r="21" spans="1:14" ht="16.5" customHeight="1" x14ac:dyDescent="0.3">
      <c r="A21" s="420"/>
      <c r="B21" s="58" t="s">
        <v>31</v>
      </c>
      <c r="C21" s="146">
        <f>SUM('1일:31일'!C21)</f>
        <v>2163</v>
      </c>
      <c r="D21" s="146">
        <f>SUM('1일:31일'!D21)</f>
        <v>5</v>
      </c>
      <c r="E21" s="146">
        <f>SUM('1일:31일'!E21)</f>
        <v>25</v>
      </c>
      <c r="F21" s="146">
        <f>SUM('1일:31일'!F21)</f>
        <v>0</v>
      </c>
      <c r="G21" s="146"/>
      <c r="H21" s="146">
        <f>SUM('1일:31일'!H21)</f>
        <v>116</v>
      </c>
      <c r="I21" s="146">
        <f>SUM('1일:31일'!I21)</f>
        <v>2017</v>
      </c>
      <c r="J21" s="135"/>
      <c r="K21" s="238" t="s">
        <v>31</v>
      </c>
      <c r="L21" s="241">
        <f>I21/(C21+F21)</f>
        <v>0.93250115580212667</v>
      </c>
      <c r="M21" s="225">
        <f>1-L21</f>
        <v>6.7498844197873331E-2</v>
      </c>
      <c r="N21" s="233">
        <f>H21/(C21+F21)</f>
        <v>5.3629218677762366E-2</v>
      </c>
    </row>
    <row r="22" spans="1:14" ht="16.5" customHeight="1" x14ac:dyDescent="0.3">
      <c r="A22" s="420"/>
      <c r="B22" s="126" t="s">
        <v>32</v>
      </c>
      <c r="C22" s="146">
        <f>SUM('1일:31일'!C22)</f>
        <v>1257</v>
      </c>
      <c r="D22" s="146">
        <f>SUM('1일:31일'!D22)</f>
        <v>12</v>
      </c>
      <c r="E22" s="146">
        <f>SUM('1일:31일'!E22)</f>
        <v>31</v>
      </c>
      <c r="F22" s="146">
        <f>SUM('1일:31일'!F22)</f>
        <v>0</v>
      </c>
      <c r="G22" s="146"/>
      <c r="H22" s="146">
        <f>SUM('1일:31일'!H22)</f>
        <v>147</v>
      </c>
      <c r="I22" s="146">
        <f>SUM('1일:31일'!I22)</f>
        <v>1067</v>
      </c>
      <c r="J22" s="135"/>
      <c r="K22" s="228" t="s">
        <v>32</v>
      </c>
      <c r="L22" s="235">
        <f>I22/(C22+F22)</f>
        <v>0.84884645982498008</v>
      </c>
      <c r="M22" s="150">
        <f>1-L22</f>
        <v>0.15115354017501992</v>
      </c>
      <c r="N22" s="139">
        <f>H22/(C22+F22)</f>
        <v>0.11694510739856802</v>
      </c>
    </row>
    <row r="23" spans="1:14" ht="16.5" customHeight="1" x14ac:dyDescent="0.3">
      <c r="A23" s="420"/>
      <c r="B23" s="27" t="s">
        <v>33</v>
      </c>
      <c r="C23" s="146">
        <f>SUM('1일:31일'!C23)</f>
        <v>4201</v>
      </c>
      <c r="D23" s="146">
        <f>SUM('1일:31일'!D23)</f>
        <v>34</v>
      </c>
      <c r="E23" s="146">
        <f>SUM('1일:31일'!E23)</f>
        <v>52</v>
      </c>
      <c r="F23" s="146">
        <f>SUM('1일:31일'!F23)</f>
        <v>0</v>
      </c>
      <c r="G23" s="146"/>
      <c r="H23" s="146">
        <f>SUM('1일:31일'!H23)</f>
        <v>203</v>
      </c>
      <c r="I23" s="146" t="e">
        <f>SUM('1일:31일'!I23)</f>
        <v>#VALUE!</v>
      </c>
      <c r="J23" s="135"/>
      <c r="K23" s="228" t="s">
        <v>33</v>
      </c>
      <c r="L23" s="410" t="e">
        <f>(I23+I24)/(C23+F23+F24)</f>
        <v>#VALUE!</v>
      </c>
      <c r="M23" s="411" t="e">
        <f t="shared" ref="M23" si="2">1-L23</f>
        <v>#VALUE!</v>
      </c>
      <c r="N23" s="408">
        <f>(H23+H24)/(C23+F23+F24)</f>
        <v>6.4746488931206853E-2</v>
      </c>
    </row>
    <row r="24" spans="1:14" ht="16.5" customHeight="1" x14ac:dyDescent="0.3">
      <c r="A24" s="420"/>
      <c r="B24" s="127" t="s">
        <v>34</v>
      </c>
      <c r="C24" s="146">
        <f>SUM('1일:31일'!C24)</f>
        <v>0</v>
      </c>
      <c r="D24" s="146">
        <f>SUM('1일:31일'!D24)</f>
        <v>19</v>
      </c>
      <c r="E24" s="146">
        <f>SUM('1일:31일'!E24)</f>
        <v>27</v>
      </c>
      <c r="F24" s="146">
        <f>SUM('1일:31일'!F24)</f>
        <v>0</v>
      </c>
      <c r="G24" s="146"/>
      <c r="H24" s="146">
        <f>SUM('1일:31일'!H24)</f>
        <v>69</v>
      </c>
      <c r="I24" s="146">
        <f>SUM('1일:31일'!I24)</f>
        <v>0</v>
      </c>
      <c r="J24" s="135"/>
      <c r="K24" s="228" t="s">
        <v>34</v>
      </c>
      <c r="L24" s="410"/>
      <c r="M24" s="411"/>
      <c r="N24" s="408"/>
    </row>
    <row r="25" spans="1:14" ht="16.5" customHeight="1" x14ac:dyDescent="0.3">
      <c r="A25" s="420"/>
      <c r="B25" s="21" t="s">
        <v>35</v>
      </c>
      <c r="C25" s="146">
        <f>SUM('1일:31일'!C25)</f>
        <v>931</v>
      </c>
      <c r="D25" s="146">
        <f>SUM('1일:31일'!D25)</f>
        <v>33</v>
      </c>
      <c r="E25" s="146">
        <f>SUM('1일:31일'!E25)</f>
        <v>4</v>
      </c>
      <c r="F25" s="146">
        <f>SUM('1일:31일'!F25)</f>
        <v>0</v>
      </c>
      <c r="G25" s="146"/>
      <c r="H25" s="146">
        <f>SUM('1일:31일'!H25)</f>
        <v>74</v>
      </c>
      <c r="I25" s="146">
        <f>SUM('1일:31일'!I25)</f>
        <v>820</v>
      </c>
      <c r="J25" s="135"/>
      <c r="K25" s="228" t="s">
        <v>35</v>
      </c>
      <c r="L25" s="235">
        <f>I25/(C25+F25)</f>
        <v>0.88077336197636946</v>
      </c>
      <c r="M25" s="150">
        <f t="shared" si="0"/>
        <v>0.11922663802363054</v>
      </c>
      <c r="N25" s="139">
        <f>H25/(C25+F25)</f>
        <v>7.9484425349087007E-2</v>
      </c>
    </row>
    <row r="26" spans="1:14" ht="16.5" customHeight="1" x14ac:dyDescent="0.3">
      <c r="A26" s="420"/>
      <c r="B26" s="127" t="s">
        <v>36</v>
      </c>
      <c r="C26" s="146">
        <f>SUM('1일:31일'!C26)</f>
        <v>960</v>
      </c>
      <c r="D26" s="146">
        <f>SUM('1일:31일'!D26)</f>
        <v>7</v>
      </c>
      <c r="E26" s="146">
        <f>SUM('1일:31일'!E26)</f>
        <v>0</v>
      </c>
      <c r="F26" s="146">
        <f>SUM('1일:31일'!F26)</f>
        <v>0</v>
      </c>
      <c r="G26" s="146"/>
      <c r="H26" s="146">
        <f>SUM('1일:31일'!H26)</f>
        <v>15</v>
      </c>
      <c r="I26" s="146">
        <f>SUM('1일:31일'!I26)</f>
        <v>938</v>
      </c>
      <c r="J26" s="135"/>
      <c r="K26" s="228" t="s">
        <v>36</v>
      </c>
      <c r="L26" s="235">
        <f>I26/(C26+F26)</f>
        <v>0.9770833333333333</v>
      </c>
      <c r="M26" s="150">
        <f t="shared" si="0"/>
        <v>2.2916666666666696E-2</v>
      </c>
      <c r="N26" s="139">
        <f t="shared" ref="N26:N27" si="3">H26/(C26+F26)</f>
        <v>1.5625E-2</v>
      </c>
    </row>
    <row r="27" spans="1:14" ht="16.5" customHeight="1" x14ac:dyDescent="0.3">
      <c r="A27" s="420"/>
      <c r="B27" s="21" t="s">
        <v>37</v>
      </c>
      <c r="C27" s="146">
        <f>SUM('1일:31일'!C27)</f>
        <v>779</v>
      </c>
      <c r="D27" s="146">
        <f>SUM('1일:31일'!D27)</f>
        <v>9</v>
      </c>
      <c r="E27" s="146">
        <f>SUM('1일:31일'!E27)</f>
        <v>6</v>
      </c>
      <c r="F27" s="146">
        <f>SUM('1일:31일'!F27)</f>
        <v>0</v>
      </c>
      <c r="G27" s="146"/>
      <c r="H27" s="146">
        <f>SUM('1일:31일'!H27)</f>
        <v>56</v>
      </c>
      <c r="I27" s="146">
        <f>SUM('1일:31일'!I27)</f>
        <v>708</v>
      </c>
      <c r="J27" s="135"/>
      <c r="K27" s="228" t="s">
        <v>37</v>
      </c>
      <c r="L27" s="235">
        <f>I27/(C27+F27)</f>
        <v>0.90885750962772782</v>
      </c>
      <c r="M27" s="150">
        <f t="shared" si="0"/>
        <v>9.1142490372272178E-2</v>
      </c>
      <c r="N27" s="139">
        <f t="shared" si="3"/>
        <v>7.1887034659820284E-2</v>
      </c>
    </row>
    <row r="28" spans="1:14" ht="16.5" customHeight="1" x14ac:dyDescent="0.3">
      <c r="A28" s="420"/>
      <c r="B28" s="127" t="s">
        <v>38</v>
      </c>
      <c r="C28" s="146">
        <f>SUM('1일:31일'!C28)</f>
        <v>917</v>
      </c>
      <c r="D28" s="146">
        <f>SUM('1일:31일'!D28)</f>
        <v>24</v>
      </c>
      <c r="E28" s="146">
        <f>SUM('1일:31일'!E28)</f>
        <v>11</v>
      </c>
      <c r="F28" s="146">
        <f>SUM('1일:31일'!F28)</f>
        <v>0</v>
      </c>
      <c r="G28" s="146"/>
      <c r="H28" s="146">
        <f>SUM('1일:31일'!H28)</f>
        <v>49</v>
      </c>
      <c r="I28" s="146">
        <f>SUM('1일:31일'!I28)</f>
        <v>833</v>
      </c>
      <c r="J28" s="135"/>
      <c r="K28" s="228" t="s">
        <v>38</v>
      </c>
      <c r="L28" s="235">
        <f>I28/(C28+F28)</f>
        <v>0.90839694656488545</v>
      </c>
      <c r="M28" s="150">
        <f t="shared" si="0"/>
        <v>9.1603053435114545E-2</v>
      </c>
      <c r="N28" s="139">
        <f>H28/(C28+F28)</f>
        <v>5.3435114503816793E-2</v>
      </c>
    </row>
    <row r="29" spans="1:14" ht="16.5" customHeight="1" x14ac:dyDescent="0.3">
      <c r="A29" s="420"/>
      <c r="B29" s="21" t="s">
        <v>39</v>
      </c>
      <c r="C29" s="146">
        <f>SUM('1일:31일'!C29)</f>
        <v>260</v>
      </c>
      <c r="D29" s="146">
        <f>SUM('1일:31일'!D29)</f>
        <v>4</v>
      </c>
      <c r="E29" s="146">
        <f>SUM('1일:31일'!E29)</f>
        <v>1</v>
      </c>
      <c r="F29" s="146">
        <f>SUM('1일:31일'!F29)</f>
        <v>0</v>
      </c>
      <c r="G29" s="146"/>
      <c r="H29" s="146">
        <f>SUM('1일:31일'!H29)</f>
        <v>7</v>
      </c>
      <c r="I29" s="146">
        <f>SUM('1일:31일'!I29)</f>
        <v>248</v>
      </c>
      <c r="J29" s="135"/>
      <c r="K29" s="228" t="s">
        <v>39</v>
      </c>
      <c r="L29" s="235">
        <f>I29/(C29+F29)</f>
        <v>0.9538461538461539</v>
      </c>
      <c r="M29" s="150">
        <f t="shared" si="0"/>
        <v>4.6153846153846101E-2</v>
      </c>
      <c r="N29" s="139">
        <f>H29/(C29+F29)</f>
        <v>2.6923076923076925E-2</v>
      </c>
    </row>
    <row r="30" spans="1:14" ht="16.5" customHeight="1" x14ac:dyDescent="0.3">
      <c r="A30" s="420"/>
      <c r="B30" s="56" t="s">
        <v>40</v>
      </c>
      <c r="C30" s="146">
        <f>SUM('1일:31일'!C30)</f>
        <v>2503</v>
      </c>
      <c r="D30" s="146">
        <f>SUM('1일:31일'!D30)</f>
        <v>39</v>
      </c>
      <c r="E30" s="146">
        <f>SUM('1일:31일'!E30)</f>
        <v>15</v>
      </c>
      <c r="F30" s="146">
        <f>SUM('1일:31일'!F30)</f>
        <v>0</v>
      </c>
      <c r="G30" s="146"/>
      <c r="H30" s="146">
        <f>SUM('1일:31일'!H30)</f>
        <v>85</v>
      </c>
      <c r="I30" s="146">
        <f>SUM('1일:31일'!I30)</f>
        <v>2362</v>
      </c>
      <c r="J30" s="135"/>
      <c r="K30" s="238" t="s">
        <v>40</v>
      </c>
      <c r="L30" s="410">
        <f>(I30+I31)/(C30+F30+F31)</f>
        <v>0.94366759888134244</v>
      </c>
      <c r="M30" s="411">
        <f t="shared" si="0"/>
        <v>5.633240111865756E-2</v>
      </c>
      <c r="N30" s="408">
        <f>(H30+H31)/(C30+F30+F31)</f>
        <v>3.395924890131842E-2</v>
      </c>
    </row>
    <row r="31" spans="1:14" ht="16.5" customHeight="1" thickBot="1" x14ac:dyDescent="0.35">
      <c r="A31" s="420"/>
      <c r="B31" s="58" t="s">
        <v>41</v>
      </c>
      <c r="C31" s="146">
        <f>SUM('1일:31일'!C31)</f>
        <v>0</v>
      </c>
      <c r="D31" s="146">
        <f>SUM('1일:31일'!D31)</f>
        <v>0</v>
      </c>
      <c r="E31" s="146">
        <f>SUM('1일:31일'!E31)</f>
        <v>2</v>
      </c>
      <c r="F31" s="146">
        <f>SUM('1일:31일'!F31)</f>
        <v>0</v>
      </c>
      <c r="G31" s="146"/>
      <c r="H31" s="146">
        <f>SUM('1일:31일'!H31)</f>
        <v>0</v>
      </c>
      <c r="I31" s="146">
        <f>SUM('1일:31일'!I31)</f>
        <v>0</v>
      </c>
      <c r="J31" s="135"/>
      <c r="K31" s="242" t="s">
        <v>41</v>
      </c>
      <c r="L31" s="412"/>
      <c r="M31" s="413"/>
      <c r="N31" s="409"/>
    </row>
    <row r="32" spans="1:14" ht="16.5" customHeight="1" x14ac:dyDescent="0.3">
      <c r="A32" s="420"/>
      <c r="B32" s="179" t="s">
        <v>117</v>
      </c>
      <c r="C32" s="146">
        <f>SUM('1일:31일'!C32)</f>
        <v>0</v>
      </c>
      <c r="D32" s="146">
        <f>SUM('1일:31일'!D32)</f>
        <v>0</v>
      </c>
      <c r="E32" s="146">
        <f>SUM('1일:31일'!E32)</f>
        <v>0</v>
      </c>
      <c r="F32" s="146">
        <f>SUM('1일:31일'!F32)</f>
        <v>0</v>
      </c>
      <c r="G32" s="146"/>
      <c r="H32" s="146">
        <f>SUM('1일:31일'!H32)</f>
        <v>0</v>
      </c>
      <c r="I32" s="146">
        <f>SUM('1일:31일'!I32)</f>
        <v>15</v>
      </c>
      <c r="J32" s="135"/>
      <c r="K32" s="243" t="s">
        <v>117</v>
      </c>
      <c r="L32" s="239"/>
      <c r="M32" s="231">
        <f t="shared" ref="M32:M33" si="4">D32/I32</f>
        <v>0</v>
      </c>
      <c r="N32" s="240"/>
    </row>
    <row r="33" spans="1:14" ht="16.5" customHeight="1" x14ac:dyDescent="0.3">
      <c r="A33" s="420"/>
      <c r="B33" s="179" t="s">
        <v>119</v>
      </c>
      <c r="C33" s="146">
        <f>SUM('1일:31일'!C33)</f>
        <v>0</v>
      </c>
      <c r="D33" s="146">
        <f>SUM('1일:31일'!D33)</f>
        <v>0</v>
      </c>
      <c r="E33" s="146">
        <f>SUM('1일:31일'!E33)</f>
        <v>0</v>
      </c>
      <c r="F33" s="146">
        <f>SUM('1일:31일'!F33)</f>
        <v>0</v>
      </c>
      <c r="G33" s="146"/>
      <c r="H33" s="146">
        <f>SUM('1일:31일'!H33)</f>
        <v>1</v>
      </c>
      <c r="I33" s="146">
        <f>SUM('1일:31일'!I33)</f>
        <v>17</v>
      </c>
      <c r="J33" s="135"/>
      <c r="K33" s="244" t="s">
        <v>119</v>
      </c>
      <c r="L33" s="165"/>
      <c r="M33" s="150">
        <f t="shared" si="4"/>
        <v>0</v>
      </c>
      <c r="N33" s="194"/>
    </row>
    <row r="34" spans="1:14" ht="16.5" customHeight="1" thickBot="1" x14ac:dyDescent="0.35">
      <c r="A34" s="420"/>
      <c r="B34" s="179" t="s">
        <v>121</v>
      </c>
      <c r="C34" s="146">
        <f>SUM('1일:31일'!C34)</f>
        <v>0</v>
      </c>
      <c r="D34" s="146">
        <f>SUM('1일:31일'!D34)</f>
        <v>0</v>
      </c>
      <c r="E34" s="146">
        <f>SUM('1일:31일'!E34)</f>
        <v>0</v>
      </c>
      <c r="F34" s="146">
        <f>SUM('1일:31일'!F34)</f>
        <v>0</v>
      </c>
      <c r="G34" s="146"/>
      <c r="H34" s="146">
        <f>SUM('1일:31일'!H34)</f>
        <v>1</v>
      </c>
      <c r="I34" s="146">
        <f>SUM('1일:31일'!I34)</f>
        <v>38</v>
      </c>
      <c r="J34" s="135"/>
      <c r="K34" s="245" t="s">
        <v>121</v>
      </c>
      <c r="L34" s="218"/>
      <c r="M34" s="219">
        <f>D34/I34</f>
        <v>0</v>
      </c>
      <c r="N34" s="220"/>
    </row>
    <row r="35" spans="1:14" ht="16.5" customHeight="1" x14ac:dyDescent="0.3">
      <c r="A35" s="420"/>
      <c r="B35" s="191" t="s">
        <v>79</v>
      </c>
      <c r="C35" s="146">
        <f>SUM('1일:31일'!C35)</f>
        <v>32</v>
      </c>
      <c r="D35" s="146">
        <f>SUM('1일:31일'!D35)</f>
        <v>0</v>
      </c>
      <c r="E35" s="146">
        <f>SUM('1일:31일'!E35)</f>
        <v>10</v>
      </c>
      <c r="F35" s="146">
        <f>SUM('1일:31일'!F35)</f>
        <v>0</v>
      </c>
      <c r="G35" s="146"/>
      <c r="H35" s="146">
        <f>SUM('1일:31일'!H35)</f>
        <v>0</v>
      </c>
      <c r="I35" s="146">
        <f>SUM('1일:31일'!I35)</f>
        <v>394</v>
      </c>
      <c r="J35" s="135"/>
      <c r="K35" s="246" t="s">
        <v>79</v>
      </c>
      <c r="L35" s="224"/>
      <c r="M35" s="209">
        <f>D35/I35</f>
        <v>0</v>
      </c>
      <c r="N35" s="226"/>
    </row>
    <row r="36" spans="1:14" ht="17.25" customHeight="1" x14ac:dyDescent="0.3">
      <c r="A36" s="420"/>
      <c r="B36" s="153" t="s">
        <v>80</v>
      </c>
      <c r="C36" s="146">
        <f>SUM('1일:31일'!C36)</f>
        <v>470</v>
      </c>
      <c r="D36" s="146">
        <f>SUM('1일:31일'!D36)</f>
        <v>3</v>
      </c>
      <c r="E36" s="146">
        <f>SUM('1일:31일'!E36)</f>
        <v>1</v>
      </c>
      <c r="F36" s="146">
        <f>SUM('1일:31일'!F36)</f>
        <v>0</v>
      </c>
      <c r="G36" s="146"/>
      <c r="H36" s="146">
        <f>SUM('1일:31일'!H36)</f>
        <v>17</v>
      </c>
      <c r="I36" s="146">
        <f>SUM('1일:31일'!I36)</f>
        <v>449</v>
      </c>
      <c r="J36" s="2"/>
      <c r="K36" s="247" t="s">
        <v>80</v>
      </c>
      <c r="L36" s="283">
        <f>I36/(C36+F36)</f>
        <v>0.9553191489361702</v>
      </c>
      <c r="M36" s="150">
        <f t="shared" si="0"/>
        <v>4.4680851063829796E-2</v>
      </c>
      <c r="N36" s="197">
        <f t="shared" ref="N36:N37" si="5">H36/(C36+F36)</f>
        <v>3.6170212765957444E-2</v>
      </c>
    </row>
    <row r="37" spans="1:14" ht="17.25" customHeight="1" thickBot="1" x14ac:dyDescent="0.35">
      <c r="A37" s="420"/>
      <c r="B37" s="163" t="s">
        <v>107</v>
      </c>
      <c r="C37" s="146">
        <f>SUM('1일:31일'!C37)</f>
        <v>0</v>
      </c>
      <c r="D37" s="146">
        <f>SUM('1일:31일'!D37)</f>
        <v>0</v>
      </c>
      <c r="E37" s="146">
        <f>SUM('1일:31일'!E37)</f>
        <v>0</v>
      </c>
      <c r="F37" s="146">
        <f>SUM('1일:31일'!F37)</f>
        <v>0</v>
      </c>
      <c r="G37" s="146"/>
      <c r="H37" s="146">
        <f>SUM('1일:31일'!H37)</f>
        <v>0</v>
      </c>
      <c r="I37" s="146">
        <f>SUM('1일:31일'!I37)</f>
        <v>0</v>
      </c>
      <c r="J37" s="2"/>
      <c r="K37" s="248" t="s">
        <v>107</v>
      </c>
      <c r="L37" s="227" t="e">
        <f>(I37+I38*0.5)/(C37+F37)</f>
        <v>#DIV/0!</v>
      </c>
      <c r="M37" s="152" t="e">
        <f t="shared" si="0"/>
        <v>#DIV/0!</v>
      </c>
      <c r="N37" s="201" t="e">
        <f t="shared" si="5"/>
        <v>#DIV/0!</v>
      </c>
    </row>
    <row r="38" spans="1:14" ht="17.25" customHeight="1" x14ac:dyDescent="0.3">
      <c r="A38" s="420"/>
      <c r="B38" s="178" t="s">
        <v>131</v>
      </c>
      <c r="C38" s="146">
        <f>SUM('1일:31일'!C38)</f>
        <v>0</v>
      </c>
      <c r="D38" s="146">
        <f>SUM('1일:31일'!D38)</f>
        <v>0</v>
      </c>
      <c r="E38" s="146">
        <f>SUM('1일:31일'!E38)</f>
        <v>0</v>
      </c>
      <c r="F38" s="146">
        <f>SUM('1일:31일'!F38)</f>
        <v>0</v>
      </c>
      <c r="G38" s="146"/>
      <c r="H38" s="146">
        <f>SUM('1일:31일'!H38)</f>
        <v>0</v>
      </c>
      <c r="I38" s="146">
        <f>SUM('1일:31일'!I38)</f>
        <v>0</v>
      </c>
      <c r="J38" s="2"/>
      <c r="K38" s="249" t="s">
        <v>131</v>
      </c>
      <c r="L38" s="221"/>
      <c r="M38" s="222"/>
      <c r="N38" s="223"/>
    </row>
    <row r="39" spans="1:14" ht="17.25" customHeight="1" thickBot="1" x14ac:dyDescent="0.35">
      <c r="A39" s="420"/>
      <c r="B39" s="178" t="s">
        <v>109</v>
      </c>
      <c r="C39" s="146">
        <f>SUM('1일:31일'!C39)</f>
        <v>0</v>
      </c>
      <c r="D39" s="146">
        <f>SUM('1일:31일'!D39)</f>
        <v>0</v>
      </c>
      <c r="E39" s="146">
        <f>SUM('1일:31일'!E39)</f>
        <v>0</v>
      </c>
      <c r="F39" s="146">
        <f>SUM('1일:31일'!F39)</f>
        <v>0</v>
      </c>
      <c r="G39" s="146"/>
      <c r="H39" s="146">
        <f>SUM('1일:31일'!H39)</f>
        <v>0</v>
      </c>
      <c r="I39" s="146">
        <f>SUM('1일:31일'!I39)</f>
        <v>0</v>
      </c>
      <c r="J39" s="2"/>
      <c r="K39" s="249" t="s">
        <v>109</v>
      </c>
      <c r="L39" s="198" t="e">
        <f>(I39+I40*0.5)/(C39+F39)</f>
        <v>#DIV/0!</v>
      </c>
      <c r="M39" s="200" t="e">
        <f t="shared" si="0"/>
        <v>#DIV/0!</v>
      </c>
      <c r="N39" s="201" t="e">
        <f>H39/(C39+F39)</f>
        <v>#DIV/0!</v>
      </c>
    </row>
    <row r="40" spans="1:14" ht="16.5" customHeight="1" thickBot="1" x14ac:dyDescent="0.35">
      <c r="A40" s="420"/>
      <c r="B40" s="178" t="s">
        <v>133</v>
      </c>
      <c r="C40" s="146">
        <f>SUM('1일:31일'!C40)</f>
        <v>0</v>
      </c>
      <c r="D40" s="146">
        <f>SUM('1일:31일'!D40)</f>
        <v>0</v>
      </c>
      <c r="E40" s="146">
        <f>SUM('1일:31일'!E40)</f>
        <v>0</v>
      </c>
      <c r="F40" s="146">
        <f>SUM('1일:31일'!F40)</f>
        <v>0</v>
      </c>
      <c r="G40" s="146"/>
      <c r="H40" s="146">
        <f>SUM('1일:31일'!H40)</f>
        <v>0</v>
      </c>
      <c r="I40" s="146">
        <f>SUM('1일:31일'!I40)</f>
        <v>0</v>
      </c>
      <c r="J40" s="133"/>
      <c r="K40" s="249" t="s">
        <v>133</v>
      </c>
      <c r="L40" s="199"/>
      <c r="M40" s="202"/>
      <c r="N40" s="203"/>
    </row>
    <row r="41" spans="1:14" s="76" customFormat="1" ht="17.25" thickBot="1" x14ac:dyDescent="0.35">
      <c r="A41" s="420"/>
      <c r="B41" s="178" t="s">
        <v>111</v>
      </c>
      <c r="C41" s="146">
        <f>SUM('1일:31일'!C41)</f>
        <v>0</v>
      </c>
      <c r="D41" s="146">
        <f>SUM('1일:31일'!D41)</f>
        <v>0</v>
      </c>
      <c r="E41" s="146">
        <f>SUM('1일:31일'!E41)</f>
        <v>0</v>
      </c>
      <c r="F41" s="146">
        <f>SUM('1일:31일'!F41)</f>
        <v>0</v>
      </c>
      <c r="G41" s="146"/>
      <c r="H41" s="146">
        <f>SUM('1일:31일'!H41)</f>
        <v>0</v>
      </c>
      <c r="I41" s="146">
        <f>SUM('1일:31일'!I41)</f>
        <v>0</v>
      </c>
      <c r="J41" s="134"/>
      <c r="K41" s="249" t="s">
        <v>111</v>
      </c>
      <c r="L41" s="198" t="e">
        <f>(I41+I42*0.5)/(C41+F41)</f>
        <v>#DIV/0!</v>
      </c>
      <c r="M41" s="200" t="e">
        <f t="shared" ref="M41" si="6">1-L41</f>
        <v>#DIV/0!</v>
      </c>
      <c r="N41" s="201" t="e">
        <f>H41/(C41+F41)</f>
        <v>#DIV/0!</v>
      </c>
    </row>
    <row r="42" spans="1:14" ht="17.25" thickBot="1" x14ac:dyDescent="0.35">
      <c r="A42" s="420"/>
      <c r="B42" s="178" t="s">
        <v>135</v>
      </c>
      <c r="C42" s="146">
        <f>SUM('1일:31일'!C42)</f>
        <v>0</v>
      </c>
      <c r="D42" s="146">
        <f>SUM('1일:31일'!D42)</f>
        <v>0</v>
      </c>
      <c r="E42" s="146">
        <f>SUM('1일:31일'!E42)</f>
        <v>0</v>
      </c>
      <c r="F42" s="146">
        <f>SUM('1일:31일'!F42)</f>
        <v>0</v>
      </c>
      <c r="G42" s="146"/>
      <c r="H42" s="146">
        <f>SUM('1일:31일'!H42)</f>
        <v>0</v>
      </c>
      <c r="I42" s="146">
        <f>SUM('1일:31일'!I42)</f>
        <v>0</v>
      </c>
      <c r="K42" s="249" t="s">
        <v>135</v>
      </c>
      <c r="L42" s="199"/>
      <c r="M42" s="202"/>
      <c r="N42" s="203"/>
    </row>
    <row r="43" spans="1:14" x14ac:dyDescent="0.3">
      <c r="A43" s="420"/>
      <c r="B43" s="178" t="s">
        <v>113</v>
      </c>
      <c r="C43" s="146">
        <f>SUM('1일:31일'!C43)</f>
        <v>0</v>
      </c>
      <c r="D43" s="146">
        <f>SUM('1일:31일'!D35)</f>
        <v>0</v>
      </c>
      <c r="E43" s="146">
        <f>SUM('1일:31일'!E35)</f>
        <v>10</v>
      </c>
      <c r="F43" s="146">
        <f>SUM('1일:31일'!F35)</f>
        <v>0</v>
      </c>
      <c r="G43" s="146"/>
      <c r="H43" s="146">
        <f>SUM('1일:31일'!H35)</f>
        <v>0</v>
      </c>
      <c r="I43" s="146">
        <f>SUM('1일:31일'!I43)</f>
        <v>0</v>
      </c>
      <c r="K43" s="249" t="s">
        <v>113</v>
      </c>
      <c r="L43" s="212"/>
      <c r="M43" s="209" t="e">
        <f>D43/I43</f>
        <v>#DIV/0!</v>
      </c>
      <c r="N43" s="215"/>
    </row>
    <row r="44" spans="1:14" x14ac:dyDescent="0.3">
      <c r="A44" s="420"/>
      <c r="B44" s="178" t="s">
        <v>125</v>
      </c>
      <c r="C44" s="146">
        <f>SUM('1일:31일'!C44)</f>
        <v>0</v>
      </c>
      <c r="D44" s="146">
        <f>SUM('1일:31일'!D36)</f>
        <v>3</v>
      </c>
      <c r="E44" s="146">
        <f>SUM('1일:31일'!E36)</f>
        <v>1</v>
      </c>
      <c r="F44" s="146">
        <f>SUM('1일:31일'!F36)</f>
        <v>0</v>
      </c>
      <c r="G44" s="146"/>
      <c r="H44" s="146">
        <f>SUM('1일:31일'!H36)</f>
        <v>17</v>
      </c>
      <c r="I44" s="146">
        <f>SUM('1일:31일'!I44)</f>
        <v>0</v>
      </c>
      <c r="K44" s="249" t="s">
        <v>125</v>
      </c>
      <c r="L44" s="213"/>
      <c r="M44" s="210" t="e">
        <f t="shared" ref="M44:M50" si="7">D44/I44</f>
        <v>#DIV/0!</v>
      </c>
      <c r="N44" s="216"/>
    </row>
    <row r="45" spans="1:14" ht="17.25" thickBot="1" x14ac:dyDescent="0.35">
      <c r="A45" s="420"/>
      <c r="B45" s="164" t="s">
        <v>115</v>
      </c>
      <c r="C45" s="146">
        <f>SUM('1일:31일'!C45)</f>
        <v>0</v>
      </c>
      <c r="D45" s="146">
        <f>SUM('1일:31일'!D37)</f>
        <v>0</v>
      </c>
      <c r="E45" s="146">
        <f>SUM('1일:31일'!E37)</f>
        <v>0</v>
      </c>
      <c r="F45" s="146">
        <f>SUM('1일:31일'!F37)</f>
        <v>0</v>
      </c>
      <c r="G45" s="146"/>
      <c r="H45" s="146">
        <f>SUM('1일:31일'!H37)</f>
        <v>0</v>
      </c>
      <c r="I45" s="146">
        <f>SUM('1일:31일'!I45)</f>
        <v>0</v>
      </c>
      <c r="K45" s="250" t="s">
        <v>115</v>
      </c>
      <c r="L45" s="214"/>
      <c r="M45" s="211" t="e">
        <f t="shared" si="7"/>
        <v>#DIV/0!</v>
      </c>
      <c r="N45" s="217"/>
    </row>
    <row r="46" spans="1:14" ht="17.25" thickBot="1" x14ac:dyDescent="0.35">
      <c r="A46" s="420"/>
      <c r="B46" s="120" t="s">
        <v>89</v>
      </c>
      <c r="C46" s="146">
        <f>SUM('1일:31일'!C46)</f>
        <v>292</v>
      </c>
      <c r="D46" s="146">
        <f>SUM('1일:31일'!D45)</f>
        <v>0</v>
      </c>
      <c r="E46" s="146">
        <f>SUM('1일:31일'!E45)</f>
        <v>0</v>
      </c>
      <c r="F46" s="146">
        <f>SUM('1일:31일'!F45)</f>
        <v>0</v>
      </c>
      <c r="G46" s="146"/>
      <c r="H46" s="146">
        <f>SUM('1일:31일'!H45)</f>
        <v>0</v>
      </c>
      <c r="I46" s="146">
        <f>SUM('1일:31일'!I46)</f>
        <v>292</v>
      </c>
      <c r="K46" s="246" t="s">
        <v>89</v>
      </c>
      <c r="L46" s="224">
        <f>I46/(C46+F46)</f>
        <v>1</v>
      </c>
      <c r="M46" s="209">
        <f t="shared" si="7"/>
        <v>0</v>
      </c>
      <c r="N46" s="215">
        <f t="shared" ref="N46:N48" si="8">H46/(C46+F46)</f>
        <v>0</v>
      </c>
    </row>
    <row r="47" spans="1:14" ht="17.25" thickBot="1" x14ac:dyDescent="0.35">
      <c r="A47" s="420"/>
      <c r="B47" s="120" t="s">
        <v>88</v>
      </c>
      <c r="C47" s="146">
        <f>SUM('1일:31일'!C47)</f>
        <v>175</v>
      </c>
      <c r="D47" s="146">
        <f>SUM('1일:31일'!D46)</f>
        <v>0</v>
      </c>
      <c r="E47" s="146">
        <f>SUM('1일:31일'!E46)</f>
        <v>0</v>
      </c>
      <c r="F47" s="146">
        <f>SUM('1일:31일'!F46)</f>
        <v>0</v>
      </c>
      <c r="G47" s="146"/>
      <c r="H47" s="146">
        <f>SUM('1일:31일'!H46)</f>
        <v>0</v>
      </c>
      <c r="I47" s="146">
        <f>SUM('1일:31일'!I47)</f>
        <v>175</v>
      </c>
      <c r="K47" s="251" t="s">
        <v>88</v>
      </c>
      <c r="L47" s="224">
        <f t="shared" ref="L47:L48" si="9">I47/(C47+F47)</f>
        <v>1</v>
      </c>
      <c r="M47" s="210">
        <f t="shared" si="7"/>
        <v>0</v>
      </c>
      <c r="N47" s="216">
        <f t="shared" si="8"/>
        <v>0</v>
      </c>
    </row>
    <row r="48" spans="1:14" x14ac:dyDescent="0.3">
      <c r="A48" s="420"/>
      <c r="B48" s="56" t="s">
        <v>123</v>
      </c>
      <c r="C48" s="146">
        <f>SUM('1일:31일'!C48)</f>
        <v>0</v>
      </c>
      <c r="D48" s="146">
        <f>SUM('1일:31일'!D47)</f>
        <v>0</v>
      </c>
      <c r="E48" s="146">
        <f>SUM('1일:31일'!E47)</f>
        <v>0</v>
      </c>
      <c r="F48" s="146">
        <f>SUM('1일:31일'!F47)</f>
        <v>0</v>
      </c>
      <c r="G48" s="146"/>
      <c r="H48" s="146">
        <f>SUM('1일:31일'!H47)</f>
        <v>0</v>
      </c>
      <c r="I48" s="146">
        <f>SUM('1일:31일'!I48)</f>
        <v>0</v>
      </c>
      <c r="K48" s="252" t="s">
        <v>123</v>
      </c>
      <c r="L48" s="224" t="e">
        <f t="shared" si="9"/>
        <v>#DIV/0!</v>
      </c>
      <c r="M48" s="210" t="e">
        <f t="shared" si="7"/>
        <v>#DIV/0!</v>
      </c>
      <c r="N48" s="216" t="e">
        <f t="shared" si="8"/>
        <v>#DIV/0!</v>
      </c>
    </row>
    <row r="49" spans="1:14" x14ac:dyDescent="0.3">
      <c r="A49" s="420"/>
      <c r="B49" s="179" t="s">
        <v>127</v>
      </c>
      <c r="C49" s="146">
        <f>SUM('1일:31일'!C49)</f>
        <v>0</v>
      </c>
      <c r="D49" s="146">
        <f>SUM('1일:31일'!D48)</f>
        <v>0</v>
      </c>
      <c r="E49" s="146">
        <f>SUM('1일:31일'!E48)</f>
        <v>0</v>
      </c>
      <c r="F49" s="146">
        <f>SUM('1일:31일'!F48)</f>
        <v>0</v>
      </c>
      <c r="G49" s="146"/>
      <c r="H49" s="146">
        <f>SUM('1일:31일'!H48)</f>
        <v>0</v>
      </c>
      <c r="I49" s="146">
        <f>SUM('1일:31일'!I49)</f>
        <v>20</v>
      </c>
      <c r="K49" s="244" t="s">
        <v>127</v>
      </c>
      <c r="L49" s="213"/>
      <c r="M49" s="210">
        <f t="shared" si="7"/>
        <v>0</v>
      </c>
      <c r="N49" s="216"/>
    </row>
    <row r="50" spans="1:14" ht="17.25" thickBot="1" x14ac:dyDescent="0.35">
      <c r="A50" s="420"/>
      <c r="B50" s="58" t="s">
        <v>129</v>
      </c>
      <c r="C50" s="146">
        <f>SUM('1일:31일'!C50)</f>
        <v>0</v>
      </c>
      <c r="D50" s="146">
        <f>SUM('1일:31일'!D50)</f>
        <v>0</v>
      </c>
      <c r="E50" s="146">
        <f>SUM('1일:31일'!E50)</f>
        <v>0</v>
      </c>
      <c r="F50" s="146">
        <f>SUM('1일:31일'!F50)</f>
        <v>0</v>
      </c>
      <c r="G50" s="146"/>
      <c r="H50" s="146">
        <f>SUM('1일:31일'!H50)</f>
        <v>0</v>
      </c>
      <c r="I50" s="146">
        <f>SUM('1일:31일'!I50)</f>
        <v>40</v>
      </c>
      <c r="K50" s="245" t="s">
        <v>129</v>
      </c>
      <c r="L50" s="214"/>
      <c r="M50" s="211">
        <f t="shared" si="7"/>
        <v>0</v>
      </c>
      <c r="N50" s="217"/>
    </row>
    <row r="51" spans="1:14" ht="17.25" thickBot="1" x14ac:dyDescent="0.35">
      <c r="A51" s="420"/>
      <c r="B51" s="128" t="s">
        <v>42</v>
      </c>
      <c r="C51" s="147">
        <f>SUM(C13:C50)</f>
        <v>17613</v>
      </c>
      <c r="D51" s="66">
        <f>SUM(D13:D50)</f>
        <v>224</v>
      </c>
      <c r="E51" s="69">
        <f>SUM(E13:E50)</f>
        <v>226</v>
      </c>
      <c r="F51" s="67">
        <f>SUM(F13:F50)</f>
        <v>0</v>
      </c>
      <c r="G51" s="148" t="s">
        <v>22</v>
      </c>
      <c r="H51" s="67">
        <f>SUM(H13:H50)</f>
        <v>970</v>
      </c>
      <c r="I51" s="67" t="e">
        <f>SUM(I13:I50)</f>
        <v>#VALUE!</v>
      </c>
      <c r="K51" s="131" t="s">
        <v>106</v>
      </c>
      <c r="L51" s="172" t="e">
        <f>SUM(L13:L50)/31</f>
        <v>#VALUE!</v>
      </c>
      <c r="M51" s="172" t="e">
        <f>SUM(M13:M50)/31</f>
        <v>#VALUE!</v>
      </c>
      <c r="N51" s="172" t="e">
        <f>SUM(N13:N50)/31</f>
        <v>#DIV/0!</v>
      </c>
    </row>
    <row r="52" spans="1:14" ht="17.25" x14ac:dyDescent="0.3">
      <c r="G52" s="97"/>
      <c r="H52" s="176" t="s">
        <v>66</v>
      </c>
    </row>
  </sheetData>
  <mergeCells count="23">
    <mergeCell ref="A9:A11"/>
    <mergeCell ref="B9:B11"/>
    <mergeCell ref="F12:G12"/>
    <mergeCell ref="A12:A51"/>
    <mergeCell ref="A1:I1"/>
    <mergeCell ref="A2:B2"/>
    <mergeCell ref="C2:D2"/>
    <mergeCell ref="E2:E3"/>
    <mergeCell ref="F2:G2"/>
    <mergeCell ref="H2:I2"/>
    <mergeCell ref="A3:B3"/>
    <mergeCell ref="F3:G3"/>
    <mergeCell ref="H3:I3"/>
    <mergeCell ref="N23:N24"/>
    <mergeCell ref="N30:N31"/>
    <mergeCell ref="C9:D9"/>
    <mergeCell ref="E9:F9"/>
    <mergeCell ref="G9:H9"/>
    <mergeCell ref="I9:I10"/>
    <mergeCell ref="L23:L24"/>
    <mergeCell ref="M23:M24"/>
    <mergeCell ref="L30:L31"/>
    <mergeCell ref="M30:M31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8" orientation="portrait" r:id="rId1"/>
  <colBreaks count="1" manualBreakCount="1">
    <brk id="8" max="58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33</vt:i4>
      </vt:variant>
      <vt:variant>
        <vt:lpstr>이름이 지정된 범위</vt:lpstr>
      </vt:variant>
      <vt:variant>
        <vt:i4>2</vt:i4>
      </vt:variant>
    </vt:vector>
  </HeadingPairs>
  <TitlesOfParts>
    <vt:vector size="35" baseType="lpstr">
      <vt:lpstr>사용법</vt:lpstr>
      <vt:lpstr>1일</vt:lpstr>
      <vt:lpstr>2일</vt:lpstr>
      <vt:lpstr>3일</vt:lpstr>
      <vt:lpstr>4일</vt:lpstr>
      <vt:lpstr>5일</vt:lpstr>
      <vt:lpstr>6일</vt:lpstr>
      <vt:lpstr>7일</vt:lpstr>
      <vt:lpstr>8일</vt:lpstr>
      <vt:lpstr>9일</vt:lpstr>
      <vt:lpstr>10일</vt:lpstr>
      <vt:lpstr>11일</vt:lpstr>
      <vt:lpstr>12일</vt:lpstr>
      <vt:lpstr>13일</vt:lpstr>
      <vt:lpstr>14일</vt:lpstr>
      <vt:lpstr>15일</vt:lpstr>
      <vt:lpstr>16일</vt:lpstr>
      <vt:lpstr>17일</vt:lpstr>
      <vt:lpstr>18일</vt:lpstr>
      <vt:lpstr>19일</vt:lpstr>
      <vt:lpstr>20일</vt:lpstr>
      <vt:lpstr>21일</vt:lpstr>
      <vt:lpstr>22일</vt:lpstr>
      <vt:lpstr>23일</vt:lpstr>
      <vt:lpstr>24일</vt:lpstr>
      <vt:lpstr>25일</vt:lpstr>
      <vt:lpstr>26일</vt:lpstr>
      <vt:lpstr>27일</vt:lpstr>
      <vt:lpstr>28일</vt:lpstr>
      <vt:lpstr>29일</vt:lpstr>
      <vt:lpstr>30일</vt:lpstr>
      <vt:lpstr>31일</vt:lpstr>
      <vt:lpstr>결산</vt:lpstr>
      <vt:lpstr>'1일'!Print_Area</vt:lpstr>
      <vt:lpstr>결산!Print_Area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Ines</dc:creator>
  <cp:lastModifiedBy>yoonis</cp:lastModifiedBy>
  <cp:lastPrinted>2022-01-08T02:12:48Z</cp:lastPrinted>
  <dcterms:created xsi:type="dcterms:W3CDTF">2021-11-17T07:36:39Z</dcterms:created>
  <dcterms:modified xsi:type="dcterms:W3CDTF">2026-02-28T09:27:56Z</dcterms:modified>
</cp:coreProperties>
</file>